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7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0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h\Documents\GitHub\Select Projects\Alliant Energy\"/>
    </mc:Choice>
  </mc:AlternateContent>
  <bookViews>
    <workbookView xWindow="0" yWindow="0" windowWidth="20490" windowHeight="7455" activeTab="1"/>
  </bookViews>
  <sheets>
    <sheet name="Input Sheet" sheetId="7" r:id="rId1"/>
    <sheet name="Graph" sheetId="4" r:id="rId2"/>
    <sheet name="Autocorrelate" sheetId="20" r:id="rId3"/>
    <sheet name="Cross Correlate" sheetId="19" r:id="rId4"/>
    <sheet name="Linear" sheetId="1" r:id="rId5"/>
    <sheet name="Quadratic" sheetId="14" r:id="rId6"/>
    <sheet name="Cubic" sheetId="15" r:id="rId7"/>
    <sheet name="Logarithmic" sheetId="16" r:id="rId8"/>
    <sheet name="Exponential" sheetId="17" r:id="rId9"/>
    <sheet name="Power" sheetId="18" r:id="rId10"/>
    <sheet name="Graph Sheet" sheetId="21" r:id="rId11"/>
    <sheet name="Output Sheet" sheetId="12" r:id="rId12"/>
  </sheets>
  <definedNames>
    <definedName name="lag_xrange" localSheetId="2">OFFSET(Autocorrelate!$G$7, 0, 0, COUNTA(Autocorrelate!$G$7:$G499994),1)</definedName>
    <definedName name="lag_xrange" localSheetId="3">OFFSET('Cross Correlate'!$G$7, 0, 0, COUNTA('Cross Correlate'!$G$7:$G499994),1)</definedName>
    <definedName name="LCV" localSheetId="2">OFFSET(Autocorrelate!$I$7, 0, 0, COUNTA(Autocorrelate!$I$7:$I499994),1)</definedName>
    <definedName name="LCV" localSheetId="3">OFFSET('Cross Correlate'!$I$7, 0, 0, COUNTA('Cross Correlate'!$I$7:$I499994),1)</definedName>
    <definedName name="n_data_points" localSheetId="2">Autocorrelate!$H$3</definedName>
    <definedName name="n_data_points" localSheetId="3">'Cross Correlate'!$H$3</definedName>
    <definedName name="_xlnm.Print_Area" localSheetId="0">'Input Sheet'!$A$1:$J$28</definedName>
    <definedName name="solver_adj" localSheetId="6" hidden="1">Cubic!$B$2:$B$5</definedName>
    <definedName name="solver_adj" localSheetId="8" hidden="1">Exponential!$B$2:$B$4</definedName>
    <definedName name="solver_adj" localSheetId="0" hidden="1">'Input Sheet'!$B$2:$B$3</definedName>
    <definedName name="solver_adj" localSheetId="4" hidden="1">Linear!$B$2:$B$3</definedName>
    <definedName name="solver_adj" localSheetId="7" hidden="1">Logarithmic!$B$2:$B$4</definedName>
    <definedName name="solver_adj" localSheetId="9" hidden="1">Power!$B$2:$B$4</definedName>
    <definedName name="solver_adj" localSheetId="5" hidden="1">Quadratic!$B$2:$B$4</definedName>
    <definedName name="solver_cvg" localSheetId="6" hidden="1">0.000001</definedName>
    <definedName name="solver_cvg" localSheetId="8" hidden="1">0.000001</definedName>
    <definedName name="solver_cvg" localSheetId="4" hidden="1">0.000001</definedName>
    <definedName name="solver_cvg" localSheetId="7" hidden="1">0.000001</definedName>
    <definedName name="solver_cvg" localSheetId="9" hidden="1">0.000001</definedName>
    <definedName name="solver_cvg" localSheetId="5" hidden="1">0.000001</definedName>
    <definedName name="solver_drv" localSheetId="6" hidden="1">2</definedName>
    <definedName name="solver_drv" localSheetId="8" hidden="1">2</definedName>
    <definedName name="solver_drv" localSheetId="4" hidden="1">2</definedName>
    <definedName name="solver_drv" localSheetId="7" hidden="1">2</definedName>
    <definedName name="solver_drv" localSheetId="9" hidden="1">2</definedName>
    <definedName name="solver_drv" localSheetId="5" hidden="1">2</definedName>
    <definedName name="solver_eng" localSheetId="6" hidden="1">1</definedName>
    <definedName name="solver_eng" localSheetId="8" hidden="1">1</definedName>
    <definedName name="solver_eng" localSheetId="0" hidden="1">1</definedName>
    <definedName name="solver_eng" localSheetId="4" hidden="1">1</definedName>
    <definedName name="solver_eng" localSheetId="7" hidden="1">1</definedName>
    <definedName name="solver_eng" localSheetId="9" hidden="1">1</definedName>
    <definedName name="solver_eng" localSheetId="5" hidden="1">1</definedName>
    <definedName name="solver_est" localSheetId="6" hidden="1">1</definedName>
    <definedName name="solver_est" localSheetId="8" hidden="1">1</definedName>
    <definedName name="solver_est" localSheetId="4" hidden="1">1</definedName>
    <definedName name="solver_est" localSheetId="7" hidden="1">1</definedName>
    <definedName name="solver_est" localSheetId="9" hidden="1">1</definedName>
    <definedName name="solver_est" localSheetId="5" hidden="1">1</definedName>
    <definedName name="solver_itr" localSheetId="6" hidden="1">2147483647</definedName>
    <definedName name="solver_itr" localSheetId="8" hidden="1">2147483647</definedName>
    <definedName name="solver_itr" localSheetId="4" hidden="1">2147483647</definedName>
    <definedName name="solver_itr" localSheetId="7" hidden="1">2147483647</definedName>
    <definedName name="solver_itr" localSheetId="9" hidden="1">2147483647</definedName>
    <definedName name="solver_itr" localSheetId="5" hidden="1">2147483647</definedName>
    <definedName name="solver_lhs1" localSheetId="7" hidden="1">Logarithmic!$B$3</definedName>
    <definedName name="solver_mip" localSheetId="6" hidden="1">2147483647</definedName>
    <definedName name="solver_mip" localSheetId="8" hidden="1">2147483647</definedName>
    <definedName name="solver_mip" localSheetId="4" hidden="1">2147483647</definedName>
    <definedName name="solver_mip" localSheetId="7" hidden="1">2147483647</definedName>
    <definedName name="solver_mip" localSheetId="9" hidden="1">2147483647</definedName>
    <definedName name="solver_mip" localSheetId="5" hidden="1">2147483647</definedName>
    <definedName name="solver_mni" localSheetId="6" hidden="1">30</definedName>
    <definedName name="solver_mni" localSheetId="8" hidden="1">30</definedName>
    <definedName name="solver_mni" localSheetId="4" hidden="1">30</definedName>
    <definedName name="solver_mni" localSheetId="7" hidden="1">30</definedName>
    <definedName name="solver_mni" localSheetId="9" hidden="1">30</definedName>
    <definedName name="solver_mni" localSheetId="5" hidden="1">30</definedName>
    <definedName name="solver_mrt" localSheetId="6" hidden="1">0.075</definedName>
    <definedName name="solver_mrt" localSheetId="8" hidden="1">0.075</definedName>
    <definedName name="solver_mrt" localSheetId="4" hidden="1">0.075</definedName>
    <definedName name="solver_mrt" localSheetId="7" hidden="1">0.075</definedName>
    <definedName name="solver_mrt" localSheetId="9" hidden="1">0.075</definedName>
    <definedName name="solver_mrt" localSheetId="5" hidden="1">0.075</definedName>
    <definedName name="solver_msl" localSheetId="6" hidden="1">2</definedName>
    <definedName name="solver_msl" localSheetId="8" hidden="1">2</definedName>
    <definedName name="solver_msl" localSheetId="4" hidden="1">2</definedName>
    <definedName name="solver_msl" localSheetId="7" hidden="1">2</definedName>
    <definedName name="solver_msl" localSheetId="9" hidden="1">2</definedName>
    <definedName name="solver_msl" localSheetId="5" hidden="1">2</definedName>
    <definedName name="solver_neg" localSheetId="6" hidden="1">2</definedName>
    <definedName name="solver_neg" localSheetId="8" hidden="1">2</definedName>
    <definedName name="solver_neg" localSheetId="4" hidden="1">2</definedName>
    <definedName name="solver_neg" localSheetId="7" hidden="1">2</definedName>
    <definedName name="solver_neg" localSheetId="9" hidden="1">2</definedName>
    <definedName name="solver_neg" localSheetId="5" hidden="1">2</definedName>
    <definedName name="solver_nod" localSheetId="6" hidden="1">2147483647</definedName>
    <definedName name="solver_nod" localSheetId="8" hidden="1">2147483647</definedName>
    <definedName name="solver_nod" localSheetId="4" hidden="1">2147483647</definedName>
    <definedName name="solver_nod" localSheetId="7" hidden="1">2147483647</definedName>
    <definedName name="solver_nod" localSheetId="9" hidden="1">2147483647</definedName>
    <definedName name="solver_nod" localSheetId="5" hidden="1">2147483647</definedName>
    <definedName name="solver_num" localSheetId="6" hidden="1">0</definedName>
    <definedName name="solver_num" localSheetId="8" hidden="1">0</definedName>
    <definedName name="solver_num" localSheetId="4" hidden="1">0</definedName>
    <definedName name="solver_num" localSheetId="7" hidden="1">1</definedName>
    <definedName name="solver_num" localSheetId="9" hidden="1">0</definedName>
    <definedName name="solver_num" localSheetId="5" hidden="1">0</definedName>
    <definedName name="solver_nwt" localSheetId="6" hidden="1">1</definedName>
    <definedName name="solver_nwt" localSheetId="8" hidden="1">1</definedName>
    <definedName name="solver_nwt" localSheetId="4" hidden="1">1</definedName>
    <definedName name="solver_nwt" localSheetId="7" hidden="1">1</definedName>
    <definedName name="solver_nwt" localSheetId="9" hidden="1">1</definedName>
    <definedName name="solver_nwt" localSheetId="5" hidden="1">1</definedName>
    <definedName name="solver_opt" localSheetId="6" hidden="1">Cubic!$B$10</definedName>
    <definedName name="solver_opt" localSheetId="8" hidden="1">Exponential!$B$10</definedName>
    <definedName name="solver_opt" localSheetId="0" hidden="1">'Input Sheet'!$B$13</definedName>
    <definedName name="solver_opt" localSheetId="4" hidden="1">Linear!$B$10</definedName>
    <definedName name="solver_opt" localSheetId="7" hidden="1">Logarithmic!$B$10</definedName>
    <definedName name="solver_opt" localSheetId="9" hidden="1">Power!$B$10</definedName>
    <definedName name="solver_opt" localSheetId="5" hidden="1">Quadratic!$B$10</definedName>
    <definedName name="solver_pre" localSheetId="6" hidden="1">0.000001</definedName>
    <definedName name="solver_pre" localSheetId="8" hidden="1">0.000001</definedName>
    <definedName name="solver_pre" localSheetId="4" hidden="1">0.000001</definedName>
    <definedName name="solver_pre" localSheetId="7" hidden="1">0.000001</definedName>
    <definedName name="solver_pre" localSheetId="9" hidden="1">0.000001</definedName>
    <definedName name="solver_pre" localSheetId="5" hidden="1">0.000001</definedName>
    <definedName name="solver_rbv" localSheetId="6" hidden="1">2</definedName>
    <definedName name="solver_rbv" localSheetId="8" hidden="1">2</definedName>
    <definedName name="solver_rbv" localSheetId="4" hidden="1">2</definedName>
    <definedName name="solver_rbv" localSheetId="7" hidden="1">2</definedName>
    <definedName name="solver_rbv" localSheetId="9" hidden="1">2</definedName>
    <definedName name="solver_rbv" localSheetId="5" hidden="1">2</definedName>
    <definedName name="solver_rel1" localSheetId="7" hidden="1">3</definedName>
    <definedName name="solver_rhs1" localSheetId="7" hidden="1">0.000000000001</definedName>
    <definedName name="solver_rlx" localSheetId="6" hidden="1">2</definedName>
    <definedName name="solver_rlx" localSheetId="8" hidden="1">2</definedName>
    <definedName name="solver_rlx" localSheetId="4" hidden="1">2</definedName>
    <definedName name="solver_rlx" localSheetId="7" hidden="1">2</definedName>
    <definedName name="solver_rlx" localSheetId="9" hidden="1">2</definedName>
    <definedName name="solver_rlx" localSheetId="5" hidden="1">2</definedName>
    <definedName name="solver_rsd" localSheetId="6" hidden="1">0</definedName>
    <definedName name="solver_rsd" localSheetId="8" hidden="1">0</definedName>
    <definedName name="solver_rsd" localSheetId="4" hidden="1">0</definedName>
    <definedName name="solver_rsd" localSheetId="7" hidden="1">0</definedName>
    <definedName name="solver_rsd" localSheetId="9" hidden="1">0</definedName>
    <definedName name="solver_rsd" localSheetId="5" hidden="1">0</definedName>
    <definedName name="solver_scl" localSheetId="6" hidden="1">2</definedName>
    <definedName name="solver_scl" localSheetId="8" hidden="1">2</definedName>
    <definedName name="solver_scl" localSheetId="4" hidden="1">2</definedName>
    <definedName name="solver_scl" localSheetId="7" hidden="1">2</definedName>
    <definedName name="solver_scl" localSheetId="9" hidden="1">2</definedName>
    <definedName name="solver_scl" localSheetId="5" hidden="1">2</definedName>
    <definedName name="solver_sho" localSheetId="6" hidden="1">2</definedName>
    <definedName name="solver_sho" localSheetId="8" hidden="1">2</definedName>
    <definedName name="solver_sho" localSheetId="4" hidden="1">2</definedName>
    <definedName name="solver_sho" localSheetId="7" hidden="1">2</definedName>
    <definedName name="solver_sho" localSheetId="9" hidden="1">2</definedName>
    <definedName name="solver_sho" localSheetId="5" hidden="1">2</definedName>
    <definedName name="solver_ssz" localSheetId="6" hidden="1">100</definedName>
    <definedName name="solver_ssz" localSheetId="8" hidden="1">100</definedName>
    <definedName name="solver_ssz" localSheetId="4" hidden="1">100</definedName>
    <definedName name="solver_ssz" localSheetId="7" hidden="1">100</definedName>
    <definedName name="solver_ssz" localSheetId="9" hidden="1">100</definedName>
    <definedName name="solver_ssz" localSheetId="5" hidden="1">100</definedName>
    <definedName name="solver_tim" localSheetId="6" hidden="1">2147483647</definedName>
    <definedName name="solver_tim" localSheetId="8" hidden="1">2147483647</definedName>
    <definedName name="solver_tim" localSheetId="4" hidden="1">2147483647</definedName>
    <definedName name="solver_tim" localSheetId="7" hidden="1">2147483647</definedName>
    <definedName name="solver_tim" localSheetId="9" hidden="1">2147483647</definedName>
    <definedName name="solver_tim" localSheetId="5" hidden="1">2147483647</definedName>
    <definedName name="solver_tol" localSheetId="6" hidden="1">0.01</definedName>
    <definedName name="solver_tol" localSheetId="8" hidden="1">0.01</definedName>
    <definedName name="solver_tol" localSheetId="4" hidden="1">0.01</definedName>
    <definedName name="solver_tol" localSheetId="7" hidden="1">0.01</definedName>
    <definedName name="solver_tol" localSheetId="9" hidden="1">0.01</definedName>
    <definedName name="solver_tol" localSheetId="5" hidden="1">0.01</definedName>
    <definedName name="solver_typ" localSheetId="6" hidden="1">2</definedName>
    <definedName name="solver_typ" localSheetId="8" hidden="1">2</definedName>
    <definedName name="solver_typ" localSheetId="0" hidden="1">2</definedName>
    <definedName name="solver_typ" localSheetId="4" hidden="1">2</definedName>
    <definedName name="solver_typ" localSheetId="7" hidden="1">2</definedName>
    <definedName name="solver_typ" localSheetId="9" hidden="1">2</definedName>
    <definedName name="solver_typ" localSheetId="5" hidden="1">2</definedName>
    <definedName name="solver_val" localSheetId="6" hidden="1">0</definedName>
    <definedName name="solver_val" localSheetId="8" hidden="1">0</definedName>
    <definedName name="solver_val" localSheetId="0" hidden="1">0</definedName>
    <definedName name="solver_val" localSheetId="4" hidden="1">0</definedName>
    <definedName name="solver_val" localSheetId="7" hidden="1">0</definedName>
    <definedName name="solver_val" localSheetId="9" hidden="1">0</definedName>
    <definedName name="solver_val" localSheetId="5" hidden="1">0</definedName>
    <definedName name="solver_ver" localSheetId="6" hidden="1">3</definedName>
    <definedName name="solver_ver" localSheetId="8" hidden="1">3</definedName>
    <definedName name="solver_ver" localSheetId="4" hidden="1">3</definedName>
    <definedName name="solver_ver" localSheetId="7" hidden="1">3</definedName>
    <definedName name="solver_ver" localSheetId="9" hidden="1">3</definedName>
    <definedName name="solver_ver" localSheetId="5" hidden="1">3</definedName>
    <definedName name="Time" localSheetId="2">OFFSET(Autocorrelate!$A$2, 0, 0, COUNTA(Autocorrelate!$A$2:$A499994),1)</definedName>
    <definedName name="UCV" localSheetId="2">OFFSET(Autocorrelate!$H$7, 0, 0, COUNTA(Autocorrelate!$H$7:$H499994),1)</definedName>
    <definedName name="UCV" localSheetId="3">OFFSET('Cross Correlate'!$H$7, 0, 0, COUNTA('Cross Correlate'!$H$7:$H499994),1)</definedName>
    <definedName name="xrange" localSheetId="2">OFFSET(Autocorrelate!$B$2, 0, 0, COUNTA(Autocorrelate!$B$2:$B499994),1)</definedName>
    <definedName name="xrange" localSheetId="3">OFFSET('Cross Correlate'!$A$2, 0, 0, COUNTA('Cross Correlate'!$A$2:$A499994),1)</definedName>
    <definedName name="xrange" localSheetId="6">OFFSET(Cubic!$D$16, 0, 0, COUNTA(Cubic!$D$16:$D499994),1)</definedName>
    <definedName name="xrange" localSheetId="8">OFFSET(Exponential!$D$16, 0, 0, COUNTA(Exponential!$D$16:$D499994),1)</definedName>
    <definedName name="xrange" localSheetId="7">OFFSET(Logarithmic!$D$16, 0, 0, COUNTA(Logarithmic!$D$16:$D499994),1)</definedName>
    <definedName name="xrange" localSheetId="9">OFFSET(Power!$D$16, 0, 0, COUNTA(Power!$D$16:$D499994),1)</definedName>
    <definedName name="xrange" localSheetId="5">OFFSET(Quadratic!$D$16, 0, 0, COUNTA(Quadratic!$D$16:$D499994),1)</definedName>
    <definedName name="xrange_actual">OFFSET('Graph Sheet'!$A$3, 0, 0, COUNTA('Graph Sheet'!$A$3:$A1048561),1)</definedName>
    <definedName name="xrange_actual_output">OFFSET('Graph Sheet'!$O$3, 0, 0, COUNTA('Graph Sheet'!$O$3:$O1048561),1)</definedName>
    <definedName name="xrange_cubic">OFFSET('Graph Sheet'!$G$3, 0, 0, COUNTA('Graph Sheet'!$G$3:$G1048561),1)</definedName>
    <definedName name="xrange_deleted" localSheetId="6">Cubic!$J$16:$J499994</definedName>
    <definedName name="xrange_deleted" localSheetId="8">Exponential!$J$16:$J499994</definedName>
    <definedName name="xrange_deleted" localSheetId="7">Logarithmic!$J$16:$J499994</definedName>
    <definedName name="xrange_deleted" localSheetId="9">Power!$J$16:$J499994</definedName>
    <definedName name="xrange_deleted" localSheetId="5">Quadratic!$J$16:$J499994</definedName>
    <definedName name="xrange_deleted">Linear!$J$16:$J499994</definedName>
    <definedName name="xrange_exp">OFFSET('Graph Sheet'!$K$3, 0, 0, COUNTA('Graph Sheet'!$K$3:$K1048561),1)</definedName>
    <definedName name="xrange_input_sheet">OFFSET(Autocorrelate!$I$7, 0, 0, COUNTA(Autocorrelate!$I$7:$I499994),1)</definedName>
    <definedName name="xrange_linear">OFFSET('Graph Sheet'!$C$3, 0, 0, COUNTA('Graph Sheet'!$C$3:$C1048561),1)</definedName>
    <definedName name="xrange_log">OFFSET('Graph Sheet'!$I$3, 0, 0, COUNTA('Graph Sheet'!$I$3:$I1048561),1)</definedName>
    <definedName name="xrange_power">OFFSET('Graph Sheet'!$M$3, 0, 0, COUNTA('Graph Sheet'!$M$3:$M1048561),1)</definedName>
    <definedName name="xrange_quadratic">OFFSET('Graph Sheet'!$E$3, 0, 0, COUNTA('Graph Sheet'!$E$3:$E1048561),1)</definedName>
    <definedName name="yrange" localSheetId="2">OFFSET(Autocorrelate!$B$2, 0, 0, COUNTA(Autocorrelate!$B$2:$B499994),1)</definedName>
    <definedName name="yrange" localSheetId="3">OFFSET('Cross Correlate'!$B$2, 0, 0, COUNTA('Cross Correlate'!$B$2:$B499994),1)</definedName>
    <definedName name="yrange_actual" localSheetId="6">OFFSET(Cubic!$E$16, 0, 0, COUNTA(Cubic!$E$16:$E499994),1)</definedName>
    <definedName name="yrange_actual" localSheetId="8">OFFSET(Exponential!$E$16, 0, 0, COUNTA(Exponential!$E$16:$E499994),1)</definedName>
    <definedName name="yrange_actual" localSheetId="7">OFFSET(Logarithmic!$E$16, 0, 0, COUNTA(Logarithmic!$E$16:$E499994),1)</definedName>
    <definedName name="yrange_actual" localSheetId="9">OFFSET(Power!$E$16, 0, 0, COUNTA(Power!$E$16:$E499994),1)</definedName>
    <definedName name="yrange_actual" localSheetId="5">OFFSET(Quadratic!$E$16, 0, 0, COUNTA(Quadratic!$E$16:$E499994),1)</definedName>
    <definedName name="yrange_actual">OFFSET('Graph Sheet'!$B$3, 0, 0, COUNTA('Graph Sheet'!$B$3:$B1048561),1)</definedName>
    <definedName name="yrange_actual_output">OFFSET('Graph Sheet'!$P$3, 0, 0, COUNTA('Graph Sheet'!$P$3:$P1048561),1)</definedName>
    <definedName name="yrange_cubic">OFFSET('Graph Sheet'!$H$3, 0, 0, COUNTA('Graph Sheet'!$H$3:$H1048561),1)</definedName>
    <definedName name="yrange_deleted" localSheetId="6">Cubic!$K$16:$K499994</definedName>
    <definedName name="yrange_deleted" localSheetId="8">Exponential!$K$16:$K499994</definedName>
    <definedName name="yrange_deleted" localSheetId="7">Logarithmic!$K$16:$K499994</definedName>
    <definedName name="yrange_deleted" localSheetId="9">Power!$K$16:$K499994</definedName>
    <definedName name="yrange_deleted" localSheetId="5">Quadratic!$K$16:$K499994</definedName>
    <definedName name="yrange_deleted">Linear!$K$16:$K499994</definedName>
    <definedName name="yrange_exp">OFFSET('Graph Sheet'!$L$3, 0, 0, COUNTA('Graph Sheet'!$L$3:$L1048561),1)</definedName>
    <definedName name="yrange_linear">OFFSET('Graph Sheet'!$D$3, 0, 0, COUNTA('Graph Sheet'!$D$3:$D1048561),1)</definedName>
    <definedName name="yrange_log">OFFSET('Graph Sheet'!$J$3, 0, 0, COUNTA('Graph Sheet'!$J$3:$J1048561),1)</definedName>
    <definedName name="yrange_power">OFFSET('Graph Sheet'!$N$3, 0, 0, COUNTA('Graph Sheet'!$N$3:$N1048561),1)</definedName>
    <definedName name="yrange_pred_lin" localSheetId="6">OFFSET(Cubic!$F$16, 0, 0, COUNTA(Cubic!$F$16:$F499994),1)</definedName>
    <definedName name="yrange_pred_lin" localSheetId="8">OFFSET(Exponential!$F$16, 0, 0, COUNTA(Exponential!$F$16:$F499994),1)</definedName>
    <definedName name="yrange_pred_lin" localSheetId="7">OFFSET(Logarithmic!$F$16, 0, 0, COUNTA(Logarithmic!$F$16:$F499994),1)</definedName>
    <definedName name="yrange_pred_lin" localSheetId="9">OFFSET(Power!$F$16, 0, 0, COUNTA(Power!$F$16:$F499994),1)</definedName>
    <definedName name="yrange_pred_lin" localSheetId="5">OFFSET(Quadratic!$F$16, 0, 0, COUNTA(Quadratic!$F$16:$F499994),1)</definedName>
    <definedName name="yrange_pred_lin">OFFSET(Linear!$F$16, 0, 0, COUNTA(Linear!$F$16:$F499994),1)</definedName>
    <definedName name="yrange_quadratic">OFFSET('Graph Sheet'!$F$3, 0, 0, COUNTA('Graph Sheet'!$F$3:$F1048561),1)</definedName>
  </definedNames>
  <calcPr calcId="152511"/>
</workbook>
</file>

<file path=xl/calcChain.xml><?xml version="1.0" encoding="utf-8"?>
<calcChain xmlns="http://schemas.openxmlformats.org/spreadsheetml/2006/main">
  <c r="F45" i="18" l="1"/>
  <c r="G45" i="18" s="1"/>
  <c r="F44" i="18"/>
  <c r="G44" i="18" s="1"/>
  <c r="F43" i="18"/>
  <c r="G43" i="18" s="1"/>
  <c r="F42" i="18"/>
  <c r="G42" i="18" s="1"/>
  <c r="F41" i="18"/>
  <c r="G41" i="18" s="1"/>
  <c r="F40" i="18"/>
  <c r="G40" i="18" s="1"/>
  <c r="F39" i="18"/>
  <c r="G39" i="18" s="1"/>
  <c r="F38" i="18"/>
  <c r="G38" i="18" s="1"/>
  <c r="F37" i="18"/>
  <c r="G37" i="18" s="1"/>
  <c r="F36" i="18"/>
  <c r="G36" i="18" s="1"/>
  <c r="F35" i="18"/>
  <c r="G35" i="18" s="1"/>
  <c r="F34" i="18"/>
  <c r="G34" i="18" s="1"/>
  <c r="F33" i="18"/>
  <c r="G33" i="18" s="1"/>
  <c r="F32" i="18"/>
  <c r="G32" i="18" s="1"/>
  <c r="F31" i="18"/>
  <c r="G31" i="18" s="1"/>
  <c r="F30" i="18"/>
  <c r="G30" i="18" s="1"/>
  <c r="F29" i="18"/>
  <c r="G29" i="18" s="1"/>
  <c r="F28" i="18"/>
  <c r="G28" i="18" s="1"/>
  <c r="F27" i="18"/>
  <c r="G27" i="18" s="1"/>
  <c r="F26" i="18"/>
  <c r="G26" i="18" s="1"/>
  <c r="F25" i="18"/>
  <c r="G25" i="18" s="1"/>
  <c r="F24" i="18"/>
  <c r="G24" i="18" s="1"/>
  <c r="F23" i="18"/>
  <c r="G23" i="18" s="1"/>
  <c r="F22" i="18"/>
  <c r="G22" i="18" s="1"/>
  <c r="F21" i="18"/>
  <c r="G21" i="18" s="1"/>
  <c r="F20" i="18"/>
  <c r="G20" i="18" s="1"/>
  <c r="F19" i="18"/>
  <c r="G19" i="18" s="1"/>
  <c r="F18" i="18"/>
  <c r="G18" i="18" s="1"/>
  <c r="F17" i="18"/>
  <c r="G17" i="18" s="1"/>
  <c r="F16" i="18"/>
  <c r="G16" i="18" s="1"/>
  <c r="F45" i="17"/>
  <c r="G45" i="17" s="1"/>
  <c r="F44" i="17"/>
  <c r="G44" i="17" s="1"/>
  <c r="F43" i="17"/>
  <c r="G43" i="17" s="1"/>
  <c r="F42" i="17"/>
  <c r="G42" i="17" s="1"/>
  <c r="F41" i="17"/>
  <c r="G41" i="17" s="1"/>
  <c r="F40" i="17"/>
  <c r="G40" i="17" s="1"/>
  <c r="F39" i="17"/>
  <c r="G39" i="17" s="1"/>
  <c r="F38" i="17"/>
  <c r="G38" i="17" s="1"/>
  <c r="F37" i="17"/>
  <c r="G37" i="17" s="1"/>
  <c r="F36" i="17"/>
  <c r="G36" i="17" s="1"/>
  <c r="F35" i="17"/>
  <c r="G35" i="17" s="1"/>
  <c r="F34" i="17"/>
  <c r="G34" i="17" s="1"/>
  <c r="F33" i="17"/>
  <c r="G33" i="17" s="1"/>
  <c r="F32" i="17"/>
  <c r="G32" i="17" s="1"/>
  <c r="F31" i="17"/>
  <c r="G31" i="17" s="1"/>
  <c r="F30" i="17"/>
  <c r="G30" i="17" s="1"/>
  <c r="F29" i="17"/>
  <c r="G29" i="17" s="1"/>
  <c r="F28" i="17"/>
  <c r="G28" i="17" s="1"/>
  <c r="F27" i="17"/>
  <c r="G27" i="17" s="1"/>
  <c r="F26" i="17"/>
  <c r="G26" i="17" s="1"/>
  <c r="F25" i="17"/>
  <c r="G25" i="17" s="1"/>
  <c r="F24" i="17"/>
  <c r="G24" i="17" s="1"/>
  <c r="F23" i="17"/>
  <c r="G23" i="17" s="1"/>
  <c r="F22" i="17"/>
  <c r="G22" i="17" s="1"/>
  <c r="F21" i="17"/>
  <c r="G21" i="17" s="1"/>
  <c r="F20" i="17"/>
  <c r="G20" i="17" s="1"/>
  <c r="F19" i="17"/>
  <c r="G19" i="17" s="1"/>
  <c r="F18" i="17"/>
  <c r="G18" i="17" s="1"/>
  <c r="F17" i="17"/>
  <c r="G17" i="17" s="1"/>
  <c r="F16" i="17"/>
  <c r="G16" i="17" s="1"/>
  <c r="F45" i="16"/>
  <c r="G45" i="16" s="1"/>
  <c r="F44" i="16"/>
  <c r="G44" i="16" s="1"/>
  <c r="F43" i="16"/>
  <c r="G43" i="16" s="1"/>
  <c r="F42" i="16"/>
  <c r="G42" i="16" s="1"/>
  <c r="F41" i="16"/>
  <c r="G41" i="16" s="1"/>
  <c r="F40" i="16"/>
  <c r="G40" i="16" s="1"/>
  <c r="F39" i="16"/>
  <c r="G39" i="16" s="1"/>
  <c r="F38" i="16"/>
  <c r="G38" i="16" s="1"/>
  <c r="F37" i="16"/>
  <c r="G37" i="16" s="1"/>
  <c r="F36" i="16"/>
  <c r="G36" i="16" s="1"/>
  <c r="F35" i="16"/>
  <c r="G35" i="16" s="1"/>
  <c r="F34" i="16"/>
  <c r="G34" i="16" s="1"/>
  <c r="F33" i="16"/>
  <c r="G33" i="16" s="1"/>
  <c r="F32" i="16"/>
  <c r="G32" i="16" s="1"/>
  <c r="F31" i="16"/>
  <c r="G31" i="16" s="1"/>
  <c r="F30" i="16"/>
  <c r="G30" i="16" s="1"/>
  <c r="F29" i="16"/>
  <c r="G29" i="16" s="1"/>
  <c r="F28" i="16"/>
  <c r="G28" i="16" s="1"/>
  <c r="F27" i="16"/>
  <c r="G27" i="16" s="1"/>
  <c r="F26" i="16"/>
  <c r="G26" i="16" s="1"/>
  <c r="F25" i="16"/>
  <c r="G25" i="16" s="1"/>
  <c r="F24" i="16"/>
  <c r="G24" i="16" s="1"/>
  <c r="F23" i="16"/>
  <c r="G23" i="16" s="1"/>
  <c r="F22" i="16"/>
  <c r="G22" i="16" s="1"/>
  <c r="F21" i="16"/>
  <c r="G21" i="16" s="1"/>
  <c r="F20" i="16"/>
  <c r="G20" i="16" s="1"/>
  <c r="F19" i="16"/>
  <c r="G19" i="16" s="1"/>
  <c r="F18" i="16"/>
  <c r="G18" i="16" s="1"/>
  <c r="F17" i="16"/>
  <c r="G17" i="16" s="1"/>
  <c r="F16" i="16"/>
  <c r="G16" i="16" s="1"/>
  <c r="F45" i="15"/>
  <c r="G45" i="15" s="1"/>
  <c r="F44" i="15"/>
  <c r="G44" i="15" s="1"/>
  <c r="F43" i="15"/>
  <c r="G43" i="15" s="1"/>
  <c r="F42" i="15"/>
  <c r="G42" i="15" s="1"/>
  <c r="F41" i="15"/>
  <c r="G41" i="15" s="1"/>
  <c r="F40" i="15"/>
  <c r="G40" i="15" s="1"/>
  <c r="F39" i="15"/>
  <c r="G39" i="15" s="1"/>
  <c r="F38" i="15"/>
  <c r="G38" i="15" s="1"/>
  <c r="F37" i="15"/>
  <c r="G37" i="15" s="1"/>
  <c r="F36" i="15"/>
  <c r="G36" i="15" s="1"/>
  <c r="F35" i="15"/>
  <c r="G35" i="15" s="1"/>
  <c r="F34" i="15"/>
  <c r="G34" i="15" s="1"/>
  <c r="F33" i="15"/>
  <c r="G33" i="15" s="1"/>
  <c r="F32" i="15"/>
  <c r="G32" i="15" s="1"/>
  <c r="F31" i="15"/>
  <c r="G31" i="15" s="1"/>
  <c r="F30" i="15"/>
  <c r="G30" i="15" s="1"/>
  <c r="F29" i="15"/>
  <c r="G29" i="15" s="1"/>
  <c r="F28" i="15"/>
  <c r="G28" i="15" s="1"/>
  <c r="F27" i="15"/>
  <c r="G27" i="15" s="1"/>
  <c r="F26" i="15"/>
  <c r="G26" i="15" s="1"/>
  <c r="F25" i="15"/>
  <c r="G25" i="15" s="1"/>
  <c r="F24" i="15"/>
  <c r="G24" i="15" s="1"/>
  <c r="F23" i="15"/>
  <c r="G23" i="15" s="1"/>
  <c r="F22" i="15"/>
  <c r="G22" i="15" s="1"/>
  <c r="F21" i="15"/>
  <c r="G21" i="15" s="1"/>
  <c r="F20" i="15"/>
  <c r="G20" i="15" s="1"/>
  <c r="F19" i="15"/>
  <c r="G19" i="15" s="1"/>
  <c r="F18" i="15"/>
  <c r="G18" i="15" s="1"/>
  <c r="F17" i="15"/>
  <c r="G17" i="15" s="1"/>
  <c r="F16" i="15"/>
  <c r="G16" i="15" s="1"/>
  <c r="F45" i="14"/>
  <c r="G45" i="14" s="1"/>
  <c r="F44" i="14"/>
  <c r="G44" i="14" s="1"/>
  <c r="F43" i="14"/>
  <c r="G43" i="14" s="1"/>
  <c r="F42" i="14"/>
  <c r="G42" i="14" s="1"/>
  <c r="F41" i="14"/>
  <c r="G41" i="14" s="1"/>
  <c r="F40" i="14"/>
  <c r="G40" i="14" s="1"/>
  <c r="F39" i="14"/>
  <c r="G39" i="14" s="1"/>
  <c r="F38" i="14"/>
  <c r="G38" i="14" s="1"/>
  <c r="F37" i="14"/>
  <c r="G37" i="14" s="1"/>
  <c r="F36" i="14"/>
  <c r="G36" i="14" s="1"/>
  <c r="F35" i="14"/>
  <c r="G35" i="14" s="1"/>
  <c r="F34" i="14"/>
  <c r="G34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2" i="14"/>
  <c r="G22" i="14" s="1"/>
  <c r="F21" i="14"/>
  <c r="G21" i="14" s="1"/>
  <c r="F20" i="14"/>
  <c r="G20" i="14" s="1"/>
  <c r="F19" i="14"/>
  <c r="G19" i="14" s="1"/>
  <c r="F18" i="14"/>
  <c r="G18" i="14" s="1"/>
  <c r="F17" i="14"/>
  <c r="G17" i="14" s="1"/>
  <c r="F16" i="14"/>
  <c r="G16" i="14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5" i="1"/>
  <c r="G25" i="1" s="1"/>
  <c r="F24" i="1"/>
  <c r="G24" i="1" s="1"/>
  <c r="F23" i="1"/>
  <c r="G23" i="1" s="1"/>
  <c r="F22" i="1"/>
  <c r="G22" i="1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P32" i="21"/>
  <c r="O32" i="21"/>
  <c r="B32" i="21"/>
  <c r="A32" i="21"/>
  <c r="P31" i="21"/>
  <c r="O31" i="21"/>
  <c r="B31" i="21"/>
  <c r="A31" i="21"/>
  <c r="P30" i="21"/>
  <c r="O30" i="21"/>
  <c r="B30" i="21"/>
  <c r="A30" i="21"/>
  <c r="P29" i="21"/>
  <c r="O29" i="21"/>
  <c r="B29" i="21"/>
  <c r="A29" i="21"/>
  <c r="P28" i="21"/>
  <c r="O28" i="21"/>
  <c r="B28" i="21"/>
  <c r="A28" i="21"/>
  <c r="P27" i="21"/>
  <c r="O27" i="21"/>
  <c r="B27" i="21"/>
  <c r="A27" i="21"/>
  <c r="P26" i="21"/>
  <c r="O26" i="21"/>
  <c r="B26" i="21"/>
  <c r="A26" i="21"/>
  <c r="P25" i="21"/>
  <c r="O25" i="21"/>
  <c r="B25" i="21"/>
  <c r="A25" i="21"/>
  <c r="P24" i="21"/>
  <c r="O24" i="21"/>
  <c r="B24" i="21"/>
  <c r="A24" i="21"/>
  <c r="P23" i="21"/>
  <c r="O23" i="21"/>
  <c r="B23" i="21"/>
  <c r="A23" i="21"/>
  <c r="P22" i="21"/>
  <c r="O22" i="21"/>
  <c r="B22" i="21"/>
  <c r="A22" i="21"/>
  <c r="P21" i="21"/>
  <c r="O21" i="21"/>
  <c r="B21" i="21"/>
  <c r="A21" i="21"/>
  <c r="P20" i="21"/>
  <c r="O20" i="21"/>
  <c r="B20" i="21"/>
  <c r="A20" i="21"/>
  <c r="P19" i="21"/>
  <c r="O19" i="21"/>
  <c r="B19" i="21"/>
  <c r="A19" i="21"/>
  <c r="P18" i="21"/>
  <c r="O18" i="21"/>
  <c r="B18" i="21"/>
  <c r="A18" i="21"/>
  <c r="P17" i="21"/>
  <c r="O17" i="21"/>
  <c r="B17" i="21"/>
  <c r="A17" i="21"/>
  <c r="P16" i="21"/>
  <c r="O16" i="21"/>
  <c r="B16" i="21"/>
  <c r="A16" i="21"/>
  <c r="P15" i="21"/>
  <c r="O15" i="21"/>
  <c r="B15" i="21"/>
  <c r="A15" i="21"/>
  <c r="P14" i="21"/>
  <c r="O14" i="21"/>
  <c r="B14" i="21"/>
  <c r="A14" i="21"/>
  <c r="P13" i="21"/>
  <c r="O13" i="21"/>
  <c r="B13" i="21"/>
  <c r="A13" i="21"/>
  <c r="P12" i="21"/>
  <c r="O12" i="21"/>
  <c r="B12" i="21"/>
  <c r="A12" i="21"/>
  <c r="P11" i="21"/>
  <c r="O11" i="21"/>
  <c r="B11" i="21"/>
  <c r="A11" i="21"/>
  <c r="P10" i="21"/>
  <c r="O10" i="21"/>
  <c r="B10" i="21"/>
  <c r="A10" i="21"/>
  <c r="P9" i="21"/>
  <c r="O9" i="21"/>
  <c r="B9" i="21"/>
  <c r="A9" i="21"/>
  <c r="P8" i="21"/>
  <c r="O8" i="21"/>
  <c r="B8" i="21"/>
  <c r="A8" i="21"/>
  <c r="P7" i="21"/>
  <c r="O7" i="21"/>
  <c r="B7" i="21"/>
  <c r="A7" i="21"/>
  <c r="P6" i="21"/>
  <c r="O6" i="21"/>
  <c r="B6" i="21"/>
  <c r="A6" i="21"/>
  <c r="P5" i="21"/>
  <c r="O5" i="21"/>
  <c r="B5" i="21"/>
  <c r="A5" i="21"/>
  <c r="P4" i="21"/>
  <c r="O4" i="21"/>
  <c r="B4" i="21"/>
  <c r="A4" i="21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10" i="7"/>
  <c r="I30" i="19" l="1"/>
  <c r="H30" i="19"/>
  <c r="I29" i="19"/>
  <c r="H29" i="19"/>
  <c r="I28" i="19"/>
  <c r="H28" i="19"/>
  <c r="I27" i="19"/>
  <c r="H27" i="19"/>
  <c r="I26" i="19"/>
  <c r="H26" i="19"/>
  <c r="I25" i="19"/>
  <c r="H25" i="19"/>
  <c r="I24" i="19"/>
  <c r="H24" i="19"/>
  <c r="I23" i="19"/>
  <c r="H23" i="19"/>
  <c r="I22" i="19"/>
  <c r="H22" i="19"/>
  <c r="I21" i="19"/>
  <c r="H21" i="19"/>
  <c r="I20" i="19"/>
  <c r="H20" i="19"/>
  <c r="I19" i="19"/>
  <c r="H19" i="19"/>
  <c r="I18" i="19"/>
  <c r="H18" i="19"/>
  <c r="I17" i="19"/>
  <c r="H17" i="19"/>
  <c r="I16" i="19"/>
  <c r="H16" i="19"/>
  <c r="I15" i="19"/>
  <c r="H15" i="19"/>
  <c r="I14" i="19"/>
  <c r="H14" i="19"/>
  <c r="I13" i="19"/>
  <c r="H13" i="19"/>
  <c r="I12" i="19"/>
  <c r="H12" i="19"/>
  <c r="I11" i="19"/>
  <c r="H11" i="19"/>
  <c r="I10" i="19"/>
  <c r="H10" i="19"/>
  <c r="I9" i="19"/>
  <c r="H9" i="19"/>
  <c r="I8" i="19"/>
  <c r="H8" i="19"/>
  <c r="B2" i="7" l="1"/>
  <c r="B7" i="18"/>
  <c r="B13" i="18"/>
  <c r="B7" i="15"/>
  <c r="B13" i="15"/>
  <c r="I26" i="20"/>
  <c r="H26" i="20"/>
  <c r="I25" i="20"/>
  <c r="H25" i="20"/>
  <c r="I24" i="20"/>
  <c r="H24" i="20"/>
  <c r="I23" i="20"/>
  <c r="H23" i="20"/>
  <c r="I22" i="20"/>
  <c r="H22" i="20"/>
  <c r="I21" i="20"/>
  <c r="H21" i="20"/>
  <c r="I20" i="20"/>
  <c r="H20" i="20"/>
  <c r="I19" i="20"/>
  <c r="H19" i="20"/>
  <c r="I18" i="20"/>
  <c r="H18" i="20"/>
  <c r="I17" i="20"/>
  <c r="H17" i="20"/>
  <c r="I16" i="20"/>
  <c r="H16" i="20"/>
  <c r="I15" i="20"/>
  <c r="H15" i="20"/>
  <c r="I14" i="20"/>
  <c r="H14" i="20"/>
  <c r="I13" i="20"/>
  <c r="H13" i="20"/>
  <c r="I12" i="20"/>
  <c r="H12" i="20"/>
  <c r="I11" i="20"/>
  <c r="H11" i="20"/>
  <c r="I10" i="20"/>
  <c r="H10" i="20"/>
  <c r="I9" i="20"/>
  <c r="H9" i="20"/>
  <c r="I8" i="20"/>
  <c r="H8" i="20"/>
  <c r="B26" i="7"/>
  <c r="B16" i="7"/>
  <c r="C16" i="7"/>
  <c r="B8" i="18"/>
  <c r="B8" i="15"/>
  <c r="A3" i="21" l="1"/>
  <c r="P3" i="21"/>
  <c r="O3" i="21"/>
  <c r="P2" i="21"/>
  <c r="B10" i="18"/>
  <c r="B11" i="15"/>
  <c r="B10" i="15"/>
  <c r="B11" i="18"/>
  <c r="B3" i="21" l="1"/>
  <c r="B2" i="21" l="1"/>
  <c r="M1" i="21"/>
  <c r="K1" i="21"/>
  <c r="I1" i="21"/>
  <c r="G1" i="21"/>
  <c r="E1" i="21"/>
  <c r="C1" i="21"/>
  <c r="F1" i="18"/>
  <c r="G1" i="18" s="1"/>
  <c r="B13" i="17"/>
  <c r="B7" i="17"/>
  <c r="F1" i="17"/>
  <c r="G1" i="17" s="1"/>
  <c r="B13" i="16"/>
  <c r="B7" i="16"/>
  <c r="F1" i="16"/>
  <c r="G1" i="16" s="1"/>
  <c r="F1" i="15"/>
  <c r="G1" i="15" s="1"/>
  <c r="B13" i="14"/>
  <c r="B7" i="14"/>
  <c r="F1" i="14"/>
  <c r="G1" i="14" s="1"/>
  <c r="B13" i="1"/>
  <c r="F1" i="1"/>
  <c r="G1" i="1" s="1"/>
  <c r="I7" i="19"/>
  <c r="H7" i="19"/>
  <c r="I6" i="19"/>
  <c r="H6" i="19"/>
  <c r="F6" i="19"/>
  <c r="F7" i="19" s="1"/>
  <c r="F8" i="19" s="1"/>
  <c r="I7" i="20"/>
  <c r="H7" i="20"/>
  <c r="F7" i="20"/>
  <c r="F8" i="20" s="1"/>
  <c r="I6" i="20"/>
  <c r="H6" i="20"/>
  <c r="G6" i="20"/>
  <c r="B11" i="16"/>
  <c r="B11" i="14"/>
  <c r="B10" i="14"/>
  <c r="B8" i="16"/>
  <c r="B8" i="1"/>
  <c r="B8" i="17"/>
  <c r="B10" i="17"/>
  <c r="B8" i="14"/>
  <c r="B11" i="17"/>
  <c r="B11" i="1"/>
  <c r="B10" i="16"/>
  <c r="B10" i="1"/>
  <c r="M29" i="21" l="1"/>
  <c r="M25" i="21"/>
  <c r="M21" i="21"/>
  <c r="M17" i="21"/>
  <c r="M13" i="21"/>
  <c r="M9" i="21"/>
  <c r="M5" i="21"/>
  <c r="M32" i="21"/>
  <c r="M28" i="21"/>
  <c r="M24" i="21"/>
  <c r="M20" i="21"/>
  <c r="M16" i="21"/>
  <c r="M12" i="21"/>
  <c r="M8" i="21"/>
  <c r="M4" i="21"/>
  <c r="M31" i="21"/>
  <c r="M27" i="21"/>
  <c r="M23" i="21"/>
  <c r="M19" i="21"/>
  <c r="M15" i="21"/>
  <c r="M11" i="21"/>
  <c r="M7" i="21"/>
  <c r="M30" i="21"/>
  <c r="M26" i="21"/>
  <c r="M22" i="21"/>
  <c r="M18" i="21"/>
  <c r="M14" i="21"/>
  <c r="M10" i="21"/>
  <c r="M6" i="21"/>
  <c r="N7" i="21"/>
  <c r="N32" i="21"/>
  <c r="N11" i="21"/>
  <c r="N27" i="21"/>
  <c r="N14" i="21"/>
  <c r="N30" i="21"/>
  <c r="N17" i="21"/>
  <c r="N4" i="21"/>
  <c r="N20" i="21"/>
  <c r="N31" i="21"/>
  <c r="N18" i="21"/>
  <c r="N5" i="21"/>
  <c r="N21" i="21"/>
  <c r="N8" i="21"/>
  <c r="N24" i="21"/>
  <c r="N15" i="21"/>
  <c r="N19" i="21"/>
  <c r="N6" i="21"/>
  <c r="N22" i="21"/>
  <c r="N9" i="21"/>
  <c r="N25" i="21"/>
  <c r="N12" i="21"/>
  <c r="N28" i="21"/>
  <c r="N23" i="21"/>
  <c r="N10" i="21"/>
  <c r="N26" i="21"/>
  <c r="N13" i="21"/>
  <c r="N29" i="21"/>
  <c r="N16" i="21"/>
  <c r="K31" i="21"/>
  <c r="K29" i="21"/>
  <c r="K27" i="21"/>
  <c r="K25" i="21"/>
  <c r="K23" i="21"/>
  <c r="K21" i="21"/>
  <c r="K19" i="21"/>
  <c r="K17" i="21"/>
  <c r="K15" i="21"/>
  <c r="K13" i="21"/>
  <c r="K11" i="21"/>
  <c r="K9" i="21"/>
  <c r="K7" i="21"/>
  <c r="K5" i="21"/>
  <c r="K32" i="21"/>
  <c r="K30" i="21"/>
  <c r="K28" i="21"/>
  <c r="K26" i="21"/>
  <c r="K24" i="21"/>
  <c r="K22" i="21"/>
  <c r="K20" i="21"/>
  <c r="K18" i="21"/>
  <c r="K16" i="21"/>
  <c r="K14" i="21"/>
  <c r="K12" i="21"/>
  <c r="K10" i="21"/>
  <c r="K8" i="21"/>
  <c r="K6" i="21"/>
  <c r="K4" i="21"/>
  <c r="L7" i="21"/>
  <c r="L4" i="21"/>
  <c r="L8" i="21"/>
  <c r="L12" i="21"/>
  <c r="L24" i="21"/>
  <c r="L5" i="21"/>
  <c r="L9" i="21"/>
  <c r="L13" i="21"/>
  <c r="L17" i="21"/>
  <c r="L21" i="21"/>
  <c r="L25" i="21"/>
  <c r="L29" i="21"/>
  <c r="L27" i="21"/>
  <c r="L20" i="21"/>
  <c r="L32" i="21"/>
  <c r="L6" i="21"/>
  <c r="L10" i="21"/>
  <c r="L14" i="21"/>
  <c r="L18" i="21"/>
  <c r="L22" i="21"/>
  <c r="L26" i="21"/>
  <c r="L30" i="21"/>
  <c r="L11" i="21"/>
  <c r="L15" i="21"/>
  <c r="L19" i="21"/>
  <c r="L23" i="21"/>
  <c r="L31" i="21"/>
  <c r="L16" i="21"/>
  <c r="L28" i="21"/>
  <c r="I29" i="21"/>
  <c r="I25" i="21"/>
  <c r="I21" i="21"/>
  <c r="I17" i="21"/>
  <c r="I13" i="21"/>
  <c r="I9" i="21"/>
  <c r="I5" i="21"/>
  <c r="I30" i="21"/>
  <c r="I26" i="21"/>
  <c r="I22" i="21"/>
  <c r="I18" i="21"/>
  <c r="I14" i="21"/>
  <c r="I10" i="21"/>
  <c r="I6" i="21"/>
  <c r="I31" i="21"/>
  <c r="I27" i="21"/>
  <c r="I23" i="21"/>
  <c r="I19" i="21"/>
  <c r="I15" i="21"/>
  <c r="I11" i="21"/>
  <c r="I7" i="21"/>
  <c r="I32" i="21"/>
  <c r="I28" i="21"/>
  <c r="I24" i="21"/>
  <c r="I20" i="21"/>
  <c r="I16" i="21"/>
  <c r="I12" i="21"/>
  <c r="I8" i="21"/>
  <c r="I4" i="21"/>
  <c r="J12" i="21"/>
  <c r="J16" i="21"/>
  <c r="J32" i="21"/>
  <c r="J17" i="21"/>
  <c r="J6" i="21"/>
  <c r="J22" i="21"/>
  <c r="J11" i="21"/>
  <c r="J27" i="21"/>
  <c r="J20" i="21"/>
  <c r="J5" i="21"/>
  <c r="J21" i="21"/>
  <c r="J26" i="21"/>
  <c r="J15" i="21"/>
  <c r="J4" i="21"/>
  <c r="J10" i="21"/>
  <c r="J31" i="21"/>
  <c r="J8" i="21"/>
  <c r="J24" i="21"/>
  <c r="J9" i="21"/>
  <c r="J25" i="21"/>
  <c r="J14" i="21"/>
  <c r="J30" i="21"/>
  <c r="J19" i="21"/>
  <c r="J28" i="21"/>
  <c r="J13" i="21"/>
  <c r="J29" i="21"/>
  <c r="J18" i="21"/>
  <c r="J7" i="21"/>
  <c r="J23" i="21"/>
  <c r="G32" i="21"/>
  <c r="G31" i="21"/>
  <c r="G30" i="21"/>
  <c r="G29" i="21"/>
  <c r="G28" i="21"/>
  <c r="G27" i="21"/>
  <c r="G26" i="21"/>
  <c r="G25" i="21"/>
  <c r="G24" i="21"/>
  <c r="G23" i="21"/>
  <c r="G22" i="21"/>
  <c r="G21" i="21"/>
  <c r="G20" i="21"/>
  <c r="G19" i="21"/>
  <c r="G18" i="21"/>
  <c r="G17" i="21"/>
  <c r="G16" i="21"/>
  <c r="G15" i="21"/>
  <c r="G14" i="21"/>
  <c r="G13" i="21"/>
  <c r="G12" i="21"/>
  <c r="G11" i="21"/>
  <c r="G10" i="21"/>
  <c r="G9" i="21"/>
  <c r="G8" i="21"/>
  <c r="G7" i="21"/>
  <c r="G5" i="21"/>
  <c r="G4" i="21"/>
  <c r="G6" i="21"/>
  <c r="H20" i="21"/>
  <c r="H28" i="21"/>
  <c r="H5" i="21"/>
  <c r="H13" i="21"/>
  <c r="H29" i="21"/>
  <c r="H8" i="21"/>
  <c r="H16" i="21"/>
  <c r="H18" i="21"/>
  <c r="H7" i="21"/>
  <c r="H15" i="21"/>
  <c r="H23" i="21"/>
  <c r="H31" i="21"/>
  <c r="H17" i="21"/>
  <c r="H24" i="21"/>
  <c r="H32" i="21"/>
  <c r="H22" i="21"/>
  <c r="H9" i="21"/>
  <c r="H25" i="21"/>
  <c r="H6" i="21"/>
  <c r="H4" i="21"/>
  <c r="H12" i="21"/>
  <c r="H10" i="21"/>
  <c r="H26" i="21"/>
  <c r="H11" i="21"/>
  <c r="H19" i="21"/>
  <c r="H27" i="21"/>
  <c r="H30" i="21"/>
  <c r="H14" i="21"/>
  <c r="H21" i="21"/>
  <c r="E30" i="21"/>
  <c r="E26" i="21"/>
  <c r="E22" i="21"/>
  <c r="E18" i="21"/>
  <c r="E14" i="21"/>
  <c r="E10" i="21"/>
  <c r="E6" i="21"/>
  <c r="E31" i="21"/>
  <c r="E29" i="21"/>
  <c r="E25" i="21"/>
  <c r="E21" i="21"/>
  <c r="E17" i="21"/>
  <c r="E13" i="21"/>
  <c r="E9" i="21"/>
  <c r="E5" i="21"/>
  <c r="E23" i="21"/>
  <c r="E19" i="21"/>
  <c r="E11" i="21"/>
  <c r="E32" i="21"/>
  <c r="E28" i="21"/>
  <c r="E24" i="21"/>
  <c r="E20" i="21"/>
  <c r="E16" i="21"/>
  <c r="E12" i="21"/>
  <c r="E8" i="21"/>
  <c r="E4" i="21"/>
  <c r="E27" i="21"/>
  <c r="E15" i="21"/>
  <c r="E7" i="21"/>
  <c r="F11" i="21"/>
  <c r="F19" i="21"/>
  <c r="F10" i="21"/>
  <c r="F26" i="21"/>
  <c r="F13" i="21"/>
  <c r="F29" i="21"/>
  <c r="F16" i="21"/>
  <c r="F32" i="21"/>
  <c r="F15" i="21"/>
  <c r="F7" i="21"/>
  <c r="F14" i="21"/>
  <c r="F30" i="21"/>
  <c r="F17" i="21"/>
  <c r="F4" i="21"/>
  <c r="F20" i="21"/>
  <c r="F31" i="21"/>
  <c r="F23" i="21"/>
  <c r="F18" i="21"/>
  <c r="F5" i="21"/>
  <c r="F21" i="21"/>
  <c r="F8" i="21"/>
  <c r="F24" i="21"/>
  <c r="F27" i="21"/>
  <c r="F6" i="21"/>
  <c r="F22" i="21"/>
  <c r="F9" i="21"/>
  <c r="F25" i="21"/>
  <c r="F12" i="21"/>
  <c r="F28" i="21"/>
  <c r="C31" i="21"/>
  <c r="C21" i="21"/>
  <c r="C17" i="21"/>
  <c r="C11" i="21"/>
  <c r="C7" i="21"/>
  <c r="C32" i="21"/>
  <c r="C30" i="21"/>
  <c r="C28" i="21"/>
  <c r="C26" i="21"/>
  <c r="C24" i="21"/>
  <c r="C22" i="21"/>
  <c r="C20" i="21"/>
  <c r="C18" i="21"/>
  <c r="C16" i="21"/>
  <c r="C14" i="21"/>
  <c r="C12" i="21"/>
  <c r="C10" i="21"/>
  <c r="C8" i="21"/>
  <c r="C6" i="21"/>
  <c r="C4" i="21"/>
  <c r="C29" i="21"/>
  <c r="C27" i="21"/>
  <c r="C25" i="21"/>
  <c r="C23" i="21"/>
  <c r="C19" i="21"/>
  <c r="C15" i="21"/>
  <c r="C13" i="21"/>
  <c r="C9" i="21"/>
  <c r="C5" i="21"/>
  <c r="D7" i="21"/>
  <c r="D11" i="21"/>
  <c r="D15" i="21"/>
  <c r="D19" i="21"/>
  <c r="D23" i="21"/>
  <c r="D27" i="21"/>
  <c r="D31" i="21"/>
  <c r="D4" i="21"/>
  <c r="D8" i="21"/>
  <c r="D12" i="21"/>
  <c r="D16" i="21"/>
  <c r="D20" i="21"/>
  <c r="D24" i="21"/>
  <c r="D28" i="21"/>
  <c r="D32" i="21"/>
  <c r="D10" i="21"/>
  <c r="D14" i="21"/>
  <c r="D18" i="21"/>
  <c r="D26" i="21"/>
  <c r="D5" i="21"/>
  <c r="D9" i="21"/>
  <c r="D13" i="21"/>
  <c r="D17" i="21"/>
  <c r="D21" i="21"/>
  <c r="D25" i="21"/>
  <c r="D29" i="21"/>
  <c r="D6" i="21"/>
  <c r="D22" i="21"/>
  <c r="D30" i="21"/>
  <c r="G8" i="20"/>
  <c r="F9" i="20"/>
  <c r="F9" i="19"/>
  <c r="G8" i="19"/>
  <c r="G7" i="20"/>
  <c r="G6" i="19"/>
  <c r="G7" i="19"/>
  <c r="N3" i="21"/>
  <c r="L3" i="21"/>
  <c r="I3" i="21"/>
  <c r="H3" i="21"/>
  <c r="E3" i="21"/>
  <c r="D2" i="21"/>
  <c r="C3" i="21"/>
  <c r="N2" i="21"/>
  <c r="M3" i="21"/>
  <c r="K3" i="21"/>
  <c r="L2" i="21"/>
  <c r="J3" i="21"/>
  <c r="J2" i="21"/>
  <c r="G3" i="21"/>
  <c r="H2" i="21"/>
  <c r="F2" i="21"/>
  <c r="F3" i="21"/>
  <c r="D3" i="21"/>
  <c r="G9" i="20" l="1"/>
  <c r="F10" i="20"/>
  <c r="G9" i="19"/>
  <c r="F10" i="19"/>
  <c r="G10" i="19" l="1"/>
  <c r="F11" i="19"/>
  <c r="G10" i="20"/>
  <c r="F11" i="20"/>
  <c r="G11" i="20" l="1"/>
  <c r="F12" i="20"/>
  <c r="G11" i="19"/>
  <c r="F12" i="19"/>
  <c r="G12" i="19" l="1"/>
  <c r="F13" i="19"/>
  <c r="G12" i="20"/>
  <c r="F13" i="20"/>
  <c r="G13" i="20" l="1"/>
  <c r="F14" i="20"/>
  <c r="F14" i="19"/>
  <c r="G13" i="19"/>
  <c r="G14" i="19" l="1"/>
  <c r="F15" i="19"/>
  <c r="G14" i="20"/>
  <c r="F15" i="20"/>
  <c r="G15" i="20" l="1"/>
  <c r="F16" i="20"/>
  <c r="G15" i="19"/>
  <c r="F16" i="19"/>
  <c r="F17" i="19" l="1"/>
  <c r="G16" i="19"/>
  <c r="G16" i="20"/>
  <c r="F17" i="20"/>
  <c r="G17" i="20" l="1"/>
  <c r="F18" i="20"/>
  <c r="G17" i="19"/>
  <c r="F18" i="19"/>
  <c r="G18" i="19" l="1"/>
  <c r="F19" i="19"/>
  <c r="F19" i="20"/>
  <c r="G18" i="20"/>
  <c r="F20" i="20" l="1"/>
  <c r="G19" i="20"/>
  <c r="F20" i="19"/>
  <c r="G19" i="19"/>
  <c r="G20" i="19" l="1"/>
  <c r="F21" i="19"/>
  <c r="G20" i="20"/>
  <c r="F21" i="20"/>
  <c r="G21" i="20" l="1"/>
  <c r="F22" i="20"/>
  <c r="F22" i="19"/>
  <c r="G21" i="19"/>
  <c r="G22" i="19" l="1"/>
  <c r="F23" i="19"/>
  <c r="F23" i="20"/>
  <c r="G22" i="20"/>
  <c r="F24" i="20" l="1"/>
  <c r="G23" i="20"/>
  <c r="G23" i="19"/>
  <c r="F24" i="19"/>
  <c r="F25" i="19" l="1"/>
  <c r="G24" i="19"/>
  <c r="G24" i="20"/>
  <c r="F25" i="20"/>
  <c r="F26" i="20" l="1"/>
  <c r="G26" i="20" s="1"/>
  <c r="G25" i="20"/>
  <c r="G25" i="19"/>
  <c r="F26" i="19"/>
  <c r="G26" i="19" l="1"/>
  <c r="F27" i="19"/>
  <c r="G27" i="19" l="1"/>
  <c r="F28" i="19"/>
  <c r="F29" i="19" l="1"/>
  <c r="G28" i="19"/>
  <c r="F30" i="19" l="1"/>
  <c r="G30" i="19" s="1"/>
  <c r="G29" i="19"/>
</calcChain>
</file>

<file path=xl/sharedStrings.xml><?xml version="1.0" encoding="utf-8"?>
<sst xmlns="http://schemas.openxmlformats.org/spreadsheetml/2006/main" count="199" uniqueCount="69">
  <si>
    <t>Equation</t>
  </si>
  <si>
    <t>B</t>
  </si>
  <si>
    <t>Sum of Residuals</t>
  </si>
  <si>
    <t>Predicted</t>
  </si>
  <si>
    <t>Max Residual</t>
  </si>
  <si>
    <t>Iteration Number</t>
  </si>
  <si>
    <t>A</t>
  </si>
  <si>
    <t>C</t>
  </si>
  <si>
    <t>Maximum Number of Iterations</t>
  </si>
  <si>
    <t>Data Points (Final)</t>
  </si>
  <si>
    <t>Data Points (Initial)</t>
  </si>
  <si>
    <t>Number of Data Points</t>
  </si>
  <si>
    <t>Name of Independent Variable</t>
  </si>
  <si>
    <t>Name of Dependent Variable</t>
  </si>
  <si>
    <t>Maximum Allowed Residual (Zero Value)</t>
  </si>
  <si>
    <t>D</t>
  </si>
  <si>
    <t>y = ax + b</t>
  </si>
  <si>
    <t>Removed X</t>
  </si>
  <si>
    <t>Removed Y</t>
  </si>
  <si>
    <r>
      <t>Residuals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</si>
  <si>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Lag</t>
  </si>
  <si>
    <t>U-Crit. Val</t>
  </si>
  <si>
    <t>L-Crit Val.</t>
  </si>
  <si>
    <t>Fit</t>
  </si>
  <si>
    <t>Linear</t>
  </si>
  <si>
    <t>Quadratic</t>
  </si>
  <si>
    <t>Cubic</t>
  </si>
  <si>
    <t>Logarithmic</t>
  </si>
  <si>
    <t>Exponential</t>
  </si>
  <si>
    <t>Power</t>
  </si>
  <si>
    <t>Number of Lag Points</t>
  </si>
  <si>
    <t>Desired Shift</t>
  </si>
  <si>
    <t>Unit</t>
  </si>
  <si>
    <t>EtaPro Tag</t>
  </si>
  <si>
    <t>Data Type</t>
  </si>
  <si>
    <t>Start Date</t>
  </si>
  <si>
    <t>End Date</t>
  </si>
  <si>
    <t>Time Interval</t>
  </si>
  <si>
    <t>Value</t>
  </si>
  <si>
    <t>COLWINETAPROU1</t>
  </si>
  <si>
    <t>Average</t>
  </si>
  <si>
    <t>Server</t>
  </si>
  <si>
    <t xml:space="preserve">Maximum Allowed Residual </t>
  </si>
  <si>
    <t>Calc Mode</t>
  </si>
  <si>
    <t>EtaPro Input Table (Two Independent Variables)</t>
  </si>
  <si>
    <t>EtaPro Input Table (One Independent Variables)</t>
  </si>
  <si>
    <t>UNIT 1 GROSS GENERATION</t>
  </si>
  <si>
    <t>Coal Flow Total</t>
  </si>
  <si>
    <r>
      <t>Desired R</t>
    </r>
    <r>
      <rPr>
        <b/>
        <vertAlign val="superscript"/>
        <sz val="11"/>
        <color rgb="FF3F3F3F"/>
        <rFont val="Calibri"/>
        <family val="2"/>
        <scheme val="minor"/>
      </rPr>
      <t>2</t>
    </r>
  </si>
  <si>
    <r>
      <t>Actual R</t>
    </r>
    <r>
      <rPr>
        <b/>
        <vertAlign val="superscript"/>
        <sz val="11"/>
        <color rgb="FF3F3F3F"/>
        <rFont val="Calibri"/>
        <family val="2"/>
        <scheme val="minor"/>
      </rPr>
      <t>2</t>
    </r>
  </si>
  <si>
    <r>
      <t>y = a(x</t>
    </r>
    <r>
      <rPr>
        <b/>
        <vertAlign val="superscript"/>
        <sz val="11"/>
        <color rgb="FF3F3F3F"/>
        <rFont val="Calibri"/>
        <family val="2"/>
        <scheme val="minor"/>
      </rPr>
      <t>b</t>
    </r>
    <r>
      <rPr>
        <b/>
        <sz val="11"/>
        <color rgb="FF3F3F3F"/>
        <rFont val="Calibri"/>
        <family val="2"/>
        <scheme val="minor"/>
      </rPr>
      <t>) + c</t>
    </r>
  </si>
  <si>
    <r>
      <t>y = a(b</t>
    </r>
    <r>
      <rPr>
        <b/>
        <vertAlign val="superscript"/>
        <sz val="11"/>
        <color rgb="FF3F3F3F"/>
        <rFont val="Calibri"/>
        <family val="2"/>
        <scheme val="minor"/>
      </rPr>
      <t>x</t>
    </r>
    <r>
      <rPr>
        <b/>
        <sz val="11"/>
        <color rgb="FF3F3F3F"/>
        <rFont val="Calibri"/>
        <family val="2"/>
        <scheme val="minor"/>
      </rPr>
      <t>) + c</t>
    </r>
  </si>
  <si>
    <r>
      <t>y = ax</t>
    </r>
    <r>
      <rPr>
        <b/>
        <vertAlign val="superscript"/>
        <sz val="11"/>
        <color rgb="FF3F3F3F"/>
        <rFont val="Calibri"/>
        <family val="2"/>
        <scheme val="minor"/>
      </rPr>
      <t>3</t>
    </r>
    <r>
      <rPr>
        <b/>
        <sz val="11"/>
        <color rgb="FF3F3F3F"/>
        <rFont val="Calibri"/>
        <family val="2"/>
        <scheme val="minor"/>
      </rPr>
      <t xml:space="preserve"> + bx</t>
    </r>
    <r>
      <rPr>
        <b/>
        <vertAlign val="superscript"/>
        <sz val="11"/>
        <color rgb="FF3F3F3F"/>
        <rFont val="Calibri"/>
        <family val="2"/>
        <scheme val="minor"/>
      </rPr>
      <t>2</t>
    </r>
    <r>
      <rPr>
        <b/>
        <sz val="11"/>
        <color rgb="FF3F3F3F"/>
        <rFont val="Calibri"/>
        <family val="2"/>
        <scheme val="minor"/>
      </rPr>
      <t xml:space="preserve"> + cx + d</t>
    </r>
  </si>
  <si>
    <r>
      <t>y = ax</t>
    </r>
    <r>
      <rPr>
        <b/>
        <vertAlign val="superscript"/>
        <sz val="11"/>
        <color rgb="FF3F3F3F"/>
        <rFont val="Calibri"/>
        <family val="2"/>
        <scheme val="minor"/>
      </rPr>
      <t>2</t>
    </r>
    <r>
      <rPr>
        <b/>
        <sz val="11"/>
        <color rgb="FF3F3F3F"/>
        <rFont val="Calibri"/>
        <family val="2"/>
        <scheme val="minor"/>
      </rPr>
      <t xml:space="preserve"> + bx + c</t>
    </r>
  </si>
  <si>
    <t xml:space="preserve"> </t>
  </si>
  <si>
    <t>$F$15:$F$22</t>
  </si>
  <si>
    <t>Independent</t>
  </si>
  <si>
    <t>Dependent</t>
  </si>
  <si>
    <t>Actual Data (Output)</t>
  </si>
  <si>
    <t>Actual Data (Input)</t>
  </si>
  <si>
    <t>Correlation</t>
  </si>
  <si>
    <r>
      <t>y = a(log</t>
    </r>
    <r>
      <rPr>
        <b/>
        <i/>
        <vertAlign val="subscript"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>(x)) + c</t>
    </r>
  </si>
  <si>
    <r>
      <t>Current R</t>
    </r>
    <r>
      <rPr>
        <b/>
        <i/>
        <vertAlign val="superscript"/>
        <sz val="13"/>
        <color theme="1"/>
        <rFont val="Calibri"/>
        <family val="2"/>
        <scheme val="minor"/>
      </rPr>
      <t>2</t>
    </r>
    <r>
      <rPr>
        <b/>
        <i/>
        <sz val="13"/>
        <color theme="1"/>
        <rFont val="Calibri"/>
        <family val="2"/>
        <scheme val="minor"/>
      </rPr>
      <t xml:space="preserve"> Value</t>
    </r>
  </si>
  <si>
    <r>
      <t>Desired R</t>
    </r>
    <r>
      <rPr>
        <b/>
        <i/>
        <vertAlign val="superscript"/>
        <sz val="13"/>
        <color theme="1"/>
        <rFont val="Calibri"/>
        <family val="2"/>
        <scheme val="minor"/>
      </rPr>
      <t>2</t>
    </r>
    <r>
      <rPr>
        <b/>
        <i/>
        <sz val="13"/>
        <color theme="1"/>
        <rFont val="Calibri"/>
        <family val="2"/>
        <scheme val="minor"/>
      </rPr>
      <t xml:space="preserve"> Value</t>
    </r>
  </si>
  <si>
    <t>u1_SO2_lbspermmbtu_OPC</t>
  </si>
  <si>
    <t>CEM SO2 #/mmbtu OPC</t>
  </si>
  <si>
    <t>CEM.U1.CEM.HGLBTB</t>
  </si>
  <si>
    <t>1hg_t</t>
  </si>
  <si>
    <t>U1 CEM Hg Lbs per TBTU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</si>
</sst>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"/>
    <numFmt numFmtId="165" formatCode="0.0000000000"/>
    <numFmt numFmtId="166" formatCode="d:h:mm:ss"/>
    <numFmt numFmtId="167" formatCode="m/d/yy\ h:mm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perscript"/>
      <sz val="11"/>
      <color rgb="FF3F3F3F"/>
      <name val="Calibri"/>
      <family val="2"/>
      <scheme val="minor"/>
    </font>
    <font>
      <sz val="8"/>
      <name val="Tahoma"/>
      <family val="2"/>
    </font>
    <font>
      <sz val="20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i/>
      <vertAlign val="superscript"/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5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2" fontId="0" fillId="0" borderId="0" xfId="0" applyNumberFormat="1"/>
    <xf numFmtId="19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1" xfId="1" applyFont="1" applyFill="1" applyBorder="1" applyAlignment="1">
      <alignment horizontal="center"/>
    </xf>
    <xf numFmtId="0" fontId="4" fillId="3" borderId="1" xfId="2" applyNumberFormat="1" applyFont="1" applyFill="1" applyBorder="1" applyAlignment="1">
      <alignment horizontal="center"/>
    </xf>
    <xf numFmtId="167" fontId="4" fillId="3" borderId="1" xfId="2" applyNumberFormat="1" applyFont="1" applyFill="1" applyBorder="1" applyAlignment="1">
      <alignment horizontal="center"/>
    </xf>
    <xf numFmtId="166" fontId="4" fillId="3" borderId="1" xfId="2" applyNumberFormat="1" applyFont="1" applyFill="1" applyBorder="1" applyAlignment="1">
      <alignment horizontal="center"/>
    </xf>
    <xf numFmtId="0" fontId="11" fillId="0" borderId="1" xfId="1" applyFont="1" applyFill="1" applyBorder="1" applyAlignment="1">
      <alignment horizontal="center"/>
    </xf>
    <xf numFmtId="0" fontId="14" fillId="0" borderId="1" xfId="1" applyFont="1" applyFill="1" applyBorder="1" applyAlignment="1" applyProtection="1">
      <alignment horizontal="center"/>
    </xf>
    <xf numFmtId="0" fontId="4" fillId="3" borderId="2" xfId="2" applyNumberFormat="1" applyFont="1" applyFill="1" applyBorder="1" applyAlignment="1">
      <alignment horizontal="center"/>
    </xf>
    <xf numFmtId="0" fontId="4" fillId="3" borderId="4" xfId="2" applyNumberFormat="1" applyFont="1" applyFill="1" applyBorder="1" applyAlignment="1">
      <alignment horizontal="center"/>
    </xf>
    <xf numFmtId="0" fontId="10" fillId="0" borderId="2" xfId="1" applyFont="1" applyFill="1" applyBorder="1" applyAlignment="1">
      <alignment horizontal="center"/>
    </xf>
    <xf numFmtId="0" fontId="10" fillId="0" borderId="3" xfId="1" applyFont="1" applyFill="1" applyBorder="1" applyAlignment="1">
      <alignment horizontal="center"/>
    </xf>
    <xf numFmtId="0" fontId="10" fillId="0" borderId="4" xfId="1" applyFont="1" applyFill="1" applyBorder="1" applyAlignment="1">
      <alignment horizontal="center"/>
    </xf>
    <xf numFmtId="167" fontId="4" fillId="3" borderId="2" xfId="2" applyNumberFormat="1" applyFont="1" applyFill="1" applyBorder="1" applyAlignment="1">
      <alignment horizontal="center"/>
    </xf>
    <xf numFmtId="167" fontId="4" fillId="3" borderId="4" xfId="2" applyNumberFormat="1" applyFont="1" applyFill="1" applyBorder="1" applyAlignment="1">
      <alignment horizontal="center"/>
    </xf>
    <xf numFmtId="166" fontId="4" fillId="3" borderId="2" xfId="2" applyNumberFormat="1" applyFont="1" applyFill="1" applyBorder="1" applyAlignment="1">
      <alignment horizontal="center"/>
    </xf>
    <xf numFmtId="166" fontId="4" fillId="3" borderId="4" xfId="2" applyNumberFormat="1" applyFont="1" applyFill="1" applyBorder="1" applyAlignment="1">
      <alignment horizontal="center"/>
    </xf>
    <xf numFmtId="0" fontId="11" fillId="0" borderId="2" xfId="1" applyFont="1" applyFill="1" applyBorder="1" applyAlignment="1">
      <alignment horizontal="center"/>
    </xf>
    <xf numFmtId="0" fontId="11" fillId="0" borderId="4" xfId="1" applyFont="1" applyFill="1" applyBorder="1" applyAlignment="1">
      <alignment horizontal="center"/>
    </xf>
    <xf numFmtId="0" fontId="7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2" builtinId="49"/>
    <cellStyle name="Explanatory Text" xfId="1" builtinId="53"/>
    <cellStyle name="Normal" xfId="0" builtinId="0"/>
    <cellStyle name="Normal 2" xfId="3"/>
  </cellStyles>
  <dxfs count="1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chartsheet" Target="chartsheets/sheet1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1373268345789843E-2"/>
          <c:y val="1.2328322596039132E-2"/>
          <c:w val="0.80237454933517927"/>
          <c:h val="0.92502301055030756"/>
        </c:manualLayout>
      </c:layout>
      <c:scatterChart>
        <c:scatterStyle val="smoothMarker"/>
        <c:varyColors val="0"/>
        <c:ser>
          <c:idx val="2"/>
          <c:order val="2"/>
          <c:tx>
            <c:v>Quadratic</c:v>
          </c:tx>
          <c:marker>
            <c:symbol val="none"/>
          </c:marker>
          <c:xVal>
            <c:numRef>
              <c:f>[0]!xrange_quadratic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[0]!yrange_quadratic</c:f>
              <c:numCache>
                <c:formatCode>General</c:formatCode>
                <c:ptCount val="30"/>
                <c:pt idx="0">
                  <c:v>0.99999999999961509</c:v>
                </c:pt>
                <c:pt idx="1">
                  <c:v>3.9999999999996652</c:v>
                </c:pt>
                <c:pt idx="2">
                  <c:v>8.999999999999714</c:v>
                </c:pt>
                <c:pt idx="3">
                  <c:v>15.999999999999758</c:v>
                </c:pt>
                <c:pt idx="4">
                  <c:v>24.999999999999797</c:v>
                </c:pt>
                <c:pt idx="5">
                  <c:v>35.999999999999837</c:v>
                </c:pt>
                <c:pt idx="6">
                  <c:v>48.999999999999865</c:v>
                </c:pt>
                <c:pt idx="7">
                  <c:v>63.999999999999901</c:v>
                </c:pt>
                <c:pt idx="8">
                  <c:v>80.999999999999929</c:v>
                </c:pt>
                <c:pt idx="9">
                  <c:v>99.999999999999957</c:v>
                </c:pt>
                <c:pt idx="10">
                  <c:v>120.99999999999999</c:v>
                </c:pt>
                <c:pt idx="11">
                  <c:v>144.00000000000003</c:v>
                </c:pt>
                <c:pt idx="12">
                  <c:v>169.00000000000003</c:v>
                </c:pt>
                <c:pt idx="13">
                  <c:v>196.00000000000006</c:v>
                </c:pt>
                <c:pt idx="14">
                  <c:v>225.00000000000009</c:v>
                </c:pt>
                <c:pt idx="15">
                  <c:v>256.00000000000006</c:v>
                </c:pt>
                <c:pt idx="16">
                  <c:v>289.00000000000006</c:v>
                </c:pt>
                <c:pt idx="17">
                  <c:v>324.00000000000006</c:v>
                </c:pt>
                <c:pt idx="18">
                  <c:v>361.00000000000006</c:v>
                </c:pt>
                <c:pt idx="19">
                  <c:v>400.00000000000006</c:v>
                </c:pt>
                <c:pt idx="20">
                  <c:v>441.00000000000006</c:v>
                </c:pt>
                <c:pt idx="21">
                  <c:v>484.00000000000006</c:v>
                </c:pt>
                <c:pt idx="22">
                  <c:v>529</c:v>
                </c:pt>
                <c:pt idx="23">
                  <c:v>576</c:v>
                </c:pt>
                <c:pt idx="24">
                  <c:v>625</c:v>
                </c:pt>
                <c:pt idx="25">
                  <c:v>675.99999999999989</c:v>
                </c:pt>
                <c:pt idx="26">
                  <c:v>729</c:v>
                </c:pt>
                <c:pt idx="27">
                  <c:v>783.99999999999989</c:v>
                </c:pt>
                <c:pt idx="28">
                  <c:v>840.99999999999989</c:v>
                </c:pt>
                <c:pt idx="29">
                  <c:v>899.99999999999989</c:v>
                </c:pt>
              </c:numCache>
            </c:numRef>
          </c:yVal>
          <c:smooth val="1"/>
        </c:ser>
        <c:ser>
          <c:idx val="3"/>
          <c:order val="3"/>
          <c:tx>
            <c:v>Cubic</c:v>
          </c:tx>
          <c:marker>
            <c:symbol val="none"/>
          </c:marker>
          <c:xVal>
            <c:numRef>
              <c:f>[0]!xrange_cubic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[0]!yrange_cubic</c:f>
              <c:numCache>
                <c:formatCode>General</c:formatCode>
                <c:ptCount val="30"/>
                <c:pt idx="0">
                  <c:v>0.99999999999858036</c:v>
                </c:pt>
                <c:pt idx="1">
                  <c:v>3.9999999999990701</c:v>
                </c:pt>
                <c:pt idx="2">
                  <c:v>8.9999999999994671</c:v>
                </c:pt>
                <c:pt idx="3">
                  <c:v>15.999999999999771</c:v>
                </c:pt>
                <c:pt idx="4">
                  <c:v>24.999999999999989</c:v>
                </c:pt>
                <c:pt idx="5">
                  <c:v>36.000000000000107</c:v>
                </c:pt>
                <c:pt idx="6">
                  <c:v>49.000000000000135</c:v>
                </c:pt>
                <c:pt idx="7">
                  <c:v>64.000000000000071</c:v>
                </c:pt>
                <c:pt idx="8">
                  <c:v>80.999999999999915</c:v>
                </c:pt>
                <c:pt idx="9">
                  <c:v>99.999999999999673</c:v>
                </c:pt>
                <c:pt idx="10">
                  <c:v>120.99999999999935</c:v>
                </c:pt>
                <c:pt idx="11">
                  <c:v>143.99999999999892</c:v>
                </c:pt>
                <c:pt idx="12">
                  <c:v>168.99999999999841</c:v>
                </c:pt>
                <c:pt idx="13">
                  <c:v>195.99999999999778</c:v>
                </c:pt>
                <c:pt idx="14">
                  <c:v>224.99999999999707</c:v>
                </c:pt>
                <c:pt idx="15">
                  <c:v>255.99999999999628</c:v>
                </c:pt>
                <c:pt idx="16">
                  <c:v>288.9999999999954</c:v>
                </c:pt>
                <c:pt idx="17">
                  <c:v>323.99999999999443</c:v>
                </c:pt>
                <c:pt idx="18">
                  <c:v>360.99999999999335</c:v>
                </c:pt>
                <c:pt idx="19">
                  <c:v>399.99999999999221</c:v>
                </c:pt>
                <c:pt idx="20">
                  <c:v>440.99999999999091</c:v>
                </c:pt>
                <c:pt idx="21">
                  <c:v>483.9999999999896</c:v>
                </c:pt>
                <c:pt idx="22">
                  <c:v>528.99999999998806</c:v>
                </c:pt>
                <c:pt idx="23">
                  <c:v>575.99999999998647</c:v>
                </c:pt>
                <c:pt idx="24">
                  <c:v>624.99999999998488</c:v>
                </c:pt>
                <c:pt idx="25">
                  <c:v>675.99999999998317</c:v>
                </c:pt>
                <c:pt idx="26">
                  <c:v>728.99999999998136</c:v>
                </c:pt>
                <c:pt idx="27">
                  <c:v>783.99999999997954</c:v>
                </c:pt>
                <c:pt idx="28">
                  <c:v>840.99999999997749</c:v>
                </c:pt>
                <c:pt idx="29">
                  <c:v>899.99999999997544</c:v>
                </c:pt>
              </c:numCache>
            </c:numRef>
          </c:yVal>
          <c:smooth val="1"/>
        </c:ser>
        <c:ser>
          <c:idx val="4"/>
          <c:order val="4"/>
          <c:tx>
            <c:v>Logarithmic</c:v>
          </c:tx>
          <c:marker>
            <c:symbol val="none"/>
          </c:marker>
          <c:xVal>
            <c:numRef>
              <c:f>[0]!xrange_log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[0]!yrange_log</c:f>
              <c:numCache>
                <c:formatCode>General</c:formatCode>
                <c:ptCount val="30"/>
                <c:pt idx="0">
                  <c:v>-352.97053161484138</c:v>
                </c:pt>
                <c:pt idx="1">
                  <c:v>-166.87555862480008</c:v>
                </c:pt>
                <c:pt idx="2">
                  <c:v>-58.016977852909463</c:v>
                </c:pt>
                <c:pt idx="3">
                  <c:v>19.219414365241221</c:v>
                </c:pt>
                <c:pt idx="4">
                  <c:v>79.128614488040398</c:v>
                </c:pt>
                <c:pt idx="5">
                  <c:v>128.07799513713184</c:v>
                </c:pt>
                <c:pt idx="6">
                  <c:v>169.46410677892794</c:v>
                </c:pt>
                <c:pt idx="7">
                  <c:v>205.31438735528246</c:v>
                </c:pt>
                <c:pt idx="8">
                  <c:v>236.93657590902245</c:v>
                </c:pt>
                <c:pt idx="9">
                  <c:v>265.2235874780817</c:v>
                </c:pt>
                <c:pt idx="10">
                  <c:v>290.81230201636134</c:v>
                </c:pt>
                <c:pt idx="11">
                  <c:v>314.17296812717319</c:v>
                </c:pt>
                <c:pt idx="12">
                  <c:v>335.66269778390125</c:v>
                </c:pt>
                <c:pt idx="13">
                  <c:v>355.55907976896918</c:v>
                </c:pt>
                <c:pt idx="14">
                  <c:v>374.08216824997231</c:v>
                </c:pt>
                <c:pt idx="15">
                  <c:v>391.40936034532382</c:v>
                </c:pt>
                <c:pt idx="16">
                  <c:v>407.685755425438</c:v>
                </c:pt>
                <c:pt idx="17">
                  <c:v>423.03154889906358</c:v>
                </c:pt>
                <c:pt idx="18">
                  <c:v>437.54742426309593</c:v>
                </c:pt>
                <c:pt idx="19">
                  <c:v>451.31856046812305</c:v>
                </c:pt>
                <c:pt idx="20">
                  <c:v>464.4176605408598</c:v>
                </c:pt>
                <c:pt idx="21">
                  <c:v>476.90727500640259</c:v>
                </c:pt>
                <c:pt idx="22">
                  <c:v>488.84160841636691</c:v>
                </c:pt>
                <c:pt idx="23">
                  <c:v>500.26794111721443</c:v>
                </c:pt>
                <c:pt idx="24">
                  <c:v>511.22776059092217</c:v>
                </c:pt>
                <c:pt idx="25">
                  <c:v>521.75767077394266</c:v>
                </c:pt>
                <c:pt idx="26">
                  <c:v>531.89012967095437</c:v>
                </c:pt>
                <c:pt idx="27">
                  <c:v>541.65405275901071</c:v>
                </c:pt>
                <c:pt idx="28">
                  <c:v>551.07531045955807</c:v>
                </c:pt>
                <c:pt idx="29">
                  <c:v>560.1771412400135</c:v>
                </c:pt>
              </c:numCache>
            </c:numRef>
          </c:yVal>
          <c:smooth val="1"/>
        </c:ser>
        <c:ser>
          <c:idx val="5"/>
          <c:order val="5"/>
          <c:tx>
            <c:v>Exponential</c:v>
          </c:tx>
          <c:marker>
            <c:symbol val="none"/>
          </c:marker>
          <c:xVal>
            <c:numRef>
              <c:f>[0]!xrange_exp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[0]!yrange_exp</c:f>
              <c:numCache>
                <c:formatCode>General</c:formatCode>
                <c:ptCount val="30"/>
                <c:pt idx="0">
                  <c:v>-25.425433901172283</c:v>
                </c:pt>
                <c:pt idx="1">
                  <c:v>-13.628494871127742</c:v>
                </c:pt>
                <c:pt idx="2">
                  <c:v>-1.0660929437497373</c:v>
                </c:pt>
                <c:pt idx="3">
                  <c:v>12.311440141999867</c:v>
                </c:pt>
                <c:pt idx="4">
                  <c:v>26.55699545020164</c:v>
                </c:pt>
                <c:pt idx="5">
                  <c:v>41.726895964610634</c:v>
                </c:pt>
                <c:pt idx="6">
                  <c:v>57.881119274148745</c:v>
                </c:pt>
                <c:pt idx="7">
                  <c:v>75.08353470769444</c:v>
                </c:pt>
                <c:pt idx="8">
                  <c:v>93.40215585573614</c:v>
                </c:pt>
                <c:pt idx="9">
                  <c:v>112.90940947728839</c:v>
                </c:pt>
                <c:pt idx="10">
                  <c:v>133.68242185525557</c:v>
                </c:pt>
                <c:pt idx="11">
                  <c:v>155.80332373241291</c:v>
                </c:pt>
                <c:pt idx="12">
                  <c:v>179.3595750336365</c:v>
                </c:pt>
                <c:pt idx="13">
                  <c:v>204.44431065824492</c:v>
                </c:pt>
                <c:pt idx="14">
                  <c:v>231.15670870961983</c:v>
                </c:pt>
                <c:pt idx="15">
                  <c:v>259.60238261798224</c:v>
                </c:pt>
                <c:pt idx="16">
                  <c:v>289.89379870667176</c:v>
                </c:pt>
                <c:pt idx="17">
                  <c:v>322.15072085286727</c:v>
                </c:pt>
                <c:pt idx="18">
                  <c:v>356.50068400081784</c:v>
                </c:pt>
                <c:pt idx="19">
                  <c:v>393.07949839972139</c:v>
                </c:pt>
                <c:pt idx="20">
                  <c:v>432.03178655986903</c:v>
                </c:pt>
                <c:pt idx="21">
                  <c:v>473.51155505003271</c:v>
                </c:pt>
                <c:pt idx="22">
                  <c:v>517.6828033968219</c:v>
                </c:pt>
                <c:pt idx="23">
                  <c:v>564.72017249343082</c:v>
                </c:pt>
                <c:pt idx="24">
                  <c:v>614.80963508140542</c:v>
                </c:pt>
                <c:pt idx="25">
                  <c:v>668.1492310354015</c:v>
                </c:pt>
                <c:pt idx="26">
                  <c:v>724.94985035804916</c:v>
                </c:pt>
                <c:pt idx="27">
                  <c:v>785.43606698066753</c:v>
                </c:pt>
                <c:pt idx="28">
                  <c:v>849.84702666644625</c:v>
                </c:pt>
                <c:pt idx="29">
                  <c:v>918.43739252661794</c:v>
                </c:pt>
              </c:numCache>
            </c:numRef>
          </c:yVal>
          <c:smooth val="1"/>
        </c:ser>
        <c:ser>
          <c:idx val="6"/>
          <c:order val="6"/>
          <c:tx>
            <c:v>Power</c:v>
          </c:tx>
          <c:marker>
            <c:symbol val="none"/>
          </c:marker>
          <c:xVal>
            <c:numRef>
              <c:f>[0]!xrange_power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[0]!yrange_power</c:f>
              <c:numCache>
                <c:formatCode>General</c:formatCode>
                <c:ptCount val="30"/>
                <c:pt idx="0">
                  <c:v>0.99999981585649833</c:v>
                </c:pt>
                <c:pt idx="1">
                  <c:v>3.9999998700595145</c:v>
                </c:pt>
                <c:pt idx="2">
                  <c:v>8.9999999410572418</c:v>
                </c:pt>
                <c:pt idx="3">
                  <c:v>16.000000022366883</c:v>
                </c:pt>
                <c:pt idx="4">
                  <c:v>25.00000010946134</c:v>
                </c:pt>
                <c:pt idx="5">
                  <c:v>36.000000198849946</c:v>
                </c:pt>
                <c:pt idx="6">
                  <c:v>49.000000287688849</c:v>
                </c:pt>
                <c:pt idx="7">
                  <c:v>64.000000373577535</c:v>
                </c:pt>
                <c:pt idx="8">
                  <c:v>81.000000454438776</c:v>
                </c:pt>
                <c:pt idx="9">
                  <c:v>100.00000052844135</c:v>
                </c:pt>
                <c:pt idx="10">
                  <c:v>121.00000059394814</c:v>
                </c:pt>
                <c:pt idx="11">
                  <c:v>144.00000064947855</c:v>
                </c:pt>
                <c:pt idx="12">
                  <c:v>169.00000069368136</c:v>
                </c:pt>
                <c:pt idx="13">
                  <c:v>196.00000072531375</c:v>
                </c:pt>
                <c:pt idx="14">
                  <c:v>225.0000007432254</c:v>
                </c:pt>
                <c:pt idx="15">
                  <c:v>256.00000074634522</c:v>
                </c:pt>
                <c:pt idx="16">
                  <c:v>289.00000073367141</c:v>
                </c:pt>
                <c:pt idx="17">
                  <c:v>324.0000007042633</c:v>
                </c:pt>
                <c:pt idx="18">
                  <c:v>361.00000065723378</c:v>
                </c:pt>
                <c:pt idx="19">
                  <c:v>400.00000059174386</c:v>
                </c:pt>
                <c:pt idx="20">
                  <c:v>441.00000050699776</c:v>
                </c:pt>
                <c:pt idx="21">
                  <c:v>484.00000040223813</c:v>
                </c:pt>
                <c:pt idx="22">
                  <c:v>529.00000027674332</c:v>
                </c:pt>
                <c:pt idx="23">
                  <c:v>576.00000012982366</c:v>
                </c:pt>
                <c:pt idx="24">
                  <c:v>624.99999996081908</c:v>
                </c:pt>
                <c:pt idx="25">
                  <c:v>675.99999976909635</c:v>
                </c:pt>
                <c:pt idx="26">
                  <c:v>728.99999955404587</c:v>
                </c:pt>
                <c:pt idx="27">
                  <c:v>783.99999931508376</c:v>
                </c:pt>
                <c:pt idx="28">
                  <c:v>840.99999905164486</c:v>
                </c:pt>
                <c:pt idx="29">
                  <c:v>899.99999876318429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658624"/>
        <c:axId val="354660584"/>
      </c:scatterChart>
      <c:scatterChart>
        <c:scatterStyle val="lineMarker"/>
        <c:varyColors val="0"/>
        <c:ser>
          <c:idx val="0"/>
          <c:order val="0"/>
          <c:tx>
            <c:v>Actual - Input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[0]!xrange_actual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[0]!yrange_actual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Linear</c:v>
          </c:tx>
          <c:marker>
            <c:symbol val="none"/>
          </c:marker>
          <c:xVal>
            <c:numRef>
              <c:f>[0]!xrange_linear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[0]!yrange_linear</c:f>
              <c:numCache>
                <c:formatCode>General</c:formatCode>
                <c:ptCount val="30"/>
                <c:pt idx="0">
                  <c:v>-134.33333333073574</c:v>
                </c:pt>
                <c:pt idx="1">
                  <c:v>-103.33333333515577</c:v>
                </c:pt>
                <c:pt idx="2">
                  <c:v>-72.333333339575802</c:v>
                </c:pt>
                <c:pt idx="3">
                  <c:v>-41.333333343995832</c:v>
                </c:pt>
                <c:pt idx="4">
                  <c:v>-10.333333348415863</c:v>
                </c:pt>
                <c:pt idx="5">
                  <c:v>20.666666647164107</c:v>
                </c:pt>
                <c:pt idx="6">
                  <c:v>51.666666642744076</c:v>
                </c:pt>
                <c:pt idx="7">
                  <c:v>82.666666638324045</c:v>
                </c:pt>
                <c:pt idx="8">
                  <c:v>113.66666663390401</c:v>
                </c:pt>
                <c:pt idx="9">
                  <c:v>144.66666662948398</c:v>
                </c:pt>
                <c:pt idx="10">
                  <c:v>175.66666662506395</c:v>
                </c:pt>
                <c:pt idx="11">
                  <c:v>206.66666662064392</c:v>
                </c:pt>
                <c:pt idx="12">
                  <c:v>237.66666661622389</c:v>
                </c:pt>
                <c:pt idx="13">
                  <c:v>268.66666661180386</c:v>
                </c:pt>
                <c:pt idx="14">
                  <c:v>299.66666660738383</c:v>
                </c:pt>
                <c:pt idx="15">
                  <c:v>330.6666666029638</c:v>
                </c:pt>
                <c:pt idx="16">
                  <c:v>361.66666659854377</c:v>
                </c:pt>
                <c:pt idx="17">
                  <c:v>392.66666659412374</c:v>
                </c:pt>
                <c:pt idx="18">
                  <c:v>423.66666658970371</c:v>
                </c:pt>
                <c:pt idx="19">
                  <c:v>454.66666658528368</c:v>
                </c:pt>
                <c:pt idx="20">
                  <c:v>485.66666658086365</c:v>
                </c:pt>
                <c:pt idx="21">
                  <c:v>516.66666657644362</c:v>
                </c:pt>
                <c:pt idx="22">
                  <c:v>547.66666657202359</c:v>
                </c:pt>
                <c:pt idx="23">
                  <c:v>578.66666656760356</c:v>
                </c:pt>
                <c:pt idx="24">
                  <c:v>609.66666656318353</c:v>
                </c:pt>
                <c:pt idx="25">
                  <c:v>640.6666665587635</c:v>
                </c:pt>
                <c:pt idx="26">
                  <c:v>671.66666655434346</c:v>
                </c:pt>
                <c:pt idx="27">
                  <c:v>702.66666654992343</c:v>
                </c:pt>
                <c:pt idx="28">
                  <c:v>733.6666665455034</c:v>
                </c:pt>
                <c:pt idx="29">
                  <c:v>764.66666654108337</c:v>
                </c:pt>
              </c:numCache>
            </c:numRef>
          </c:yVal>
          <c:smooth val="0"/>
        </c:ser>
        <c:ser>
          <c:idx val="7"/>
          <c:order val="7"/>
          <c:tx>
            <c:v>Actual - Output</c:v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[0]!xrange_actual_output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[0]!yrange_actual_output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658624"/>
        <c:axId val="354660584"/>
      </c:scatterChart>
      <c:valAx>
        <c:axId val="354658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Independent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54660584"/>
        <c:crosses val="autoZero"/>
        <c:crossBetween val="midCat"/>
      </c:valAx>
      <c:valAx>
        <c:axId val="354660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Dependent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5465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59430475221122"/>
          <c:y val="0.3851632864073809"/>
          <c:w val="0.13540569524778875"/>
          <c:h val="0.2922491052254832"/>
        </c:manualLayout>
      </c:layout>
      <c:overlay val="1"/>
    </c:legend>
    <c:plotVisOnly val="1"/>
    <c:dispBlanksAs val="span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880580804018567E-2"/>
          <c:y val="3.545464786239165E-2"/>
          <c:w val="0.76384542735037719"/>
          <c:h val="0.929090704275216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Autocorrelate!$G$5</c:f>
              <c:strCache>
                <c:ptCount val="1"/>
                <c:pt idx="0">
                  <c:v>Correlation</c:v>
                </c:pt>
              </c:strCache>
            </c:strRef>
          </c:tx>
          <c:invertIfNegative val="0"/>
          <c:val>
            <c:numRef>
              <c:f>Autocorrelate!lag_xrange</c:f>
              <c:numCache>
                <c:formatCode>General</c:formatCode>
                <c:ptCount val="20"/>
                <c:pt idx="0">
                  <c:v>0.97355423855179113</c:v>
                </c:pt>
                <c:pt idx="1">
                  <c:v>0.91981948614256448</c:v>
                </c:pt>
                <c:pt idx="2">
                  <c:v>0.86278434514879443</c:v>
                </c:pt>
                <c:pt idx="3">
                  <c:v>0.81222884551037233</c:v>
                </c:pt>
                <c:pt idx="4">
                  <c:v>0.77227718888551811</c:v>
                </c:pt>
                <c:pt idx="5">
                  <c:v>0.74369923813878658</c:v>
                </c:pt>
                <c:pt idx="6">
                  <c:v>0.72508748805972778</c:v>
                </c:pt>
                <c:pt idx="7">
                  <c:v>0.71550393932441358</c:v>
                </c:pt>
                <c:pt idx="8">
                  <c:v>0.71511526690220839</c:v>
                </c:pt>
                <c:pt idx="9">
                  <c:v>0.72110577197769132</c:v>
                </c:pt>
                <c:pt idx="10">
                  <c:v>0.72613754860374646</c:v>
                </c:pt>
                <c:pt idx="11">
                  <c:v>0.72447935607918801</c:v>
                </c:pt>
                <c:pt idx="12">
                  <c:v>0.71539059938753358</c:v>
                </c:pt>
                <c:pt idx="13">
                  <c:v>0.70017256069893086</c:v>
                </c:pt>
                <c:pt idx="14">
                  <c:v>0.6841344029371268</c:v>
                </c:pt>
                <c:pt idx="15">
                  <c:v>0.674340079797487</c:v>
                </c:pt>
                <c:pt idx="16">
                  <c:v>0.67419165793243319</c:v>
                </c:pt>
                <c:pt idx="17">
                  <c:v>0.68199716181752612</c:v>
                </c:pt>
                <c:pt idx="18">
                  <c:v>0.69788870963385008</c:v>
                </c:pt>
                <c:pt idx="19">
                  <c:v>0.72225153714302104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661760"/>
        <c:axId val="354659408"/>
      </c:barChart>
      <c:lineChart>
        <c:grouping val="standard"/>
        <c:varyColors val="0"/>
        <c:ser>
          <c:idx val="1"/>
          <c:order val="1"/>
          <c:tx>
            <c:v>UCV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Autocorrelate!UCV</c:f>
              <c:numCache>
                <c:formatCode>General</c:formatCode>
                <c:ptCount val="20"/>
                <c:pt idx="0">
                  <c:v>3.7306681012331831E-2</c:v>
                </c:pt>
                <c:pt idx="1">
                  <c:v>3.7306681012331831E-2</c:v>
                </c:pt>
                <c:pt idx="2">
                  <c:v>3.7306681012331831E-2</c:v>
                </c:pt>
                <c:pt idx="3">
                  <c:v>3.7306681012331831E-2</c:v>
                </c:pt>
                <c:pt idx="4">
                  <c:v>3.7306681012331831E-2</c:v>
                </c:pt>
                <c:pt idx="5">
                  <c:v>3.7306681012331831E-2</c:v>
                </c:pt>
                <c:pt idx="6">
                  <c:v>3.7306681012331831E-2</c:v>
                </c:pt>
                <c:pt idx="7">
                  <c:v>3.7306681012331831E-2</c:v>
                </c:pt>
                <c:pt idx="8">
                  <c:v>3.7306681012331831E-2</c:v>
                </c:pt>
                <c:pt idx="9">
                  <c:v>3.7306681012331831E-2</c:v>
                </c:pt>
                <c:pt idx="10">
                  <c:v>3.7306681012331831E-2</c:v>
                </c:pt>
                <c:pt idx="11">
                  <c:v>3.7306681012331831E-2</c:v>
                </c:pt>
                <c:pt idx="12">
                  <c:v>3.7306681012331831E-2</c:v>
                </c:pt>
                <c:pt idx="13">
                  <c:v>3.7306681012331831E-2</c:v>
                </c:pt>
                <c:pt idx="14">
                  <c:v>3.7306681012331831E-2</c:v>
                </c:pt>
                <c:pt idx="15">
                  <c:v>3.7306681012331831E-2</c:v>
                </c:pt>
                <c:pt idx="16">
                  <c:v>3.7306681012331831E-2</c:v>
                </c:pt>
                <c:pt idx="17">
                  <c:v>3.7306681012331831E-2</c:v>
                </c:pt>
                <c:pt idx="18">
                  <c:v>3.7306681012331831E-2</c:v>
                </c:pt>
                <c:pt idx="19">
                  <c:v>3.7306681012331831E-2</c:v>
                </c:pt>
              </c:numCache>
            </c:numRef>
          </c:val>
          <c:smooth val="0"/>
        </c:ser>
        <c:ser>
          <c:idx val="2"/>
          <c:order val="2"/>
          <c:tx>
            <c:v>LCV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Autocorrelate!LCV</c:f>
              <c:numCache>
                <c:formatCode>General</c:formatCode>
                <c:ptCount val="20"/>
                <c:pt idx="0">
                  <c:v>-3.7306681012331831E-2</c:v>
                </c:pt>
                <c:pt idx="1">
                  <c:v>-3.7306681012331831E-2</c:v>
                </c:pt>
                <c:pt idx="2">
                  <c:v>-3.7306681012331831E-2</c:v>
                </c:pt>
                <c:pt idx="3">
                  <c:v>-3.7306681012331831E-2</c:v>
                </c:pt>
                <c:pt idx="4">
                  <c:v>-3.7306681012331831E-2</c:v>
                </c:pt>
                <c:pt idx="5">
                  <c:v>-3.7306681012331831E-2</c:v>
                </c:pt>
                <c:pt idx="6">
                  <c:v>-3.7306681012331831E-2</c:v>
                </c:pt>
                <c:pt idx="7">
                  <c:v>-3.7306681012331831E-2</c:v>
                </c:pt>
                <c:pt idx="8">
                  <c:v>-3.7306681012331831E-2</c:v>
                </c:pt>
                <c:pt idx="9">
                  <c:v>-3.7306681012331831E-2</c:v>
                </c:pt>
                <c:pt idx="10">
                  <c:v>-3.7306681012331831E-2</c:v>
                </c:pt>
                <c:pt idx="11">
                  <c:v>-3.7306681012331831E-2</c:v>
                </c:pt>
                <c:pt idx="12">
                  <c:v>-3.7306681012331831E-2</c:v>
                </c:pt>
                <c:pt idx="13">
                  <c:v>-3.7306681012331831E-2</c:v>
                </c:pt>
                <c:pt idx="14">
                  <c:v>-3.7306681012331831E-2</c:v>
                </c:pt>
                <c:pt idx="15">
                  <c:v>-3.7306681012331831E-2</c:v>
                </c:pt>
                <c:pt idx="16">
                  <c:v>-3.7306681012331831E-2</c:v>
                </c:pt>
                <c:pt idx="17">
                  <c:v>-3.7306681012331831E-2</c:v>
                </c:pt>
                <c:pt idx="18">
                  <c:v>-3.7306681012331831E-2</c:v>
                </c:pt>
                <c:pt idx="19">
                  <c:v>-3.7306681012331831E-2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61760"/>
        <c:axId val="354659408"/>
      </c:lineChart>
      <c:dateAx>
        <c:axId val="354661760"/>
        <c:scaling>
          <c:orientation val="minMax"/>
        </c:scaling>
        <c:delete val="0"/>
        <c:axPos val="b"/>
        <c:majorTickMark val="out"/>
        <c:minorTickMark val="none"/>
        <c:tickLblPos val="nextTo"/>
        <c:crossAx val="354659408"/>
        <c:crosses val="autoZero"/>
        <c:auto val="0"/>
        <c:lblOffset val="100"/>
        <c:baseTimeUnit val="days"/>
      </c:dateAx>
      <c:valAx>
        <c:axId val="35465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4661760"/>
        <c:crossesAt val="1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'Cross Correlate'!$G$5</c:f>
              <c:strCache>
                <c:ptCount val="1"/>
                <c:pt idx="0">
                  <c:v>Correlation</c:v>
                </c:pt>
              </c:strCache>
            </c:strRef>
          </c:tx>
          <c:spPr>
            <a:ln w="19050"/>
          </c:spPr>
          <c:invertIfNegative val="0"/>
          <c:val>
            <c:numRef>
              <c:f>'Cross Correlate'!lag_xrange</c:f>
              <c:numCache>
                <c:formatCode>General</c:formatCode>
                <c:ptCount val="24"/>
                <c:pt idx="0">
                  <c:v>0.34450107208557951</c:v>
                </c:pt>
                <c:pt idx="1">
                  <c:v>0.24996192598351749</c:v>
                </c:pt>
                <c:pt idx="2">
                  <c:v>0.1292671807261917</c:v>
                </c:pt>
                <c:pt idx="3">
                  <c:v>0.11501369689481672</c:v>
                </c:pt>
                <c:pt idx="4">
                  <c:v>8.6077916426703621E-2</c:v>
                </c:pt>
                <c:pt idx="5">
                  <c:v>8.0732704590565432E-2</c:v>
                </c:pt>
                <c:pt idx="6">
                  <c:v>5.5154884766731943E-2</c:v>
                </c:pt>
                <c:pt idx="7">
                  <c:v>5.7381490509676739E-2</c:v>
                </c:pt>
                <c:pt idx="8">
                  <c:v>4.3979541580989753E-2</c:v>
                </c:pt>
                <c:pt idx="9">
                  <c:v>3.8266061675292964E-2</c:v>
                </c:pt>
                <c:pt idx="10">
                  <c:v>1.9610357377672961E-2</c:v>
                </c:pt>
                <c:pt idx="11">
                  <c:v>5.8884094315034222E-3</c:v>
                </c:pt>
                <c:pt idx="12">
                  <c:v>-1.5838707916317238E-2</c:v>
                </c:pt>
                <c:pt idx="13">
                  <c:v>-2.0238637680719648E-2</c:v>
                </c:pt>
                <c:pt idx="14">
                  <c:v>-3.8300913387018146E-2</c:v>
                </c:pt>
                <c:pt idx="15">
                  <c:v>-4.4725149982041176E-2</c:v>
                </c:pt>
                <c:pt idx="16">
                  <c:v>-6.5587896012779909E-2</c:v>
                </c:pt>
                <c:pt idx="17">
                  <c:v>-5.1955754401583086E-2</c:v>
                </c:pt>
                <c:pt idx="18">
                  <c:v>-4.686677378567923E-2</c:v>
                </c:pt>
                <c:pt idx="19">
                  <c:v>-5.9443257669111196E-2</c:v>
                </c:pt>
                <c:pt idx="20">
                  <c:v>-7.1581421524570801E-3</c:v>
                </c:pt>
                <c:pt idx="21">
                  <c:v>2.290630840462281E-3</c:v>
                </c:pt>
                <c:pt idx="22">
                  <c:v>6.0841323447648324E-2</c:v>
                </c:pt>
                <c:pt idx="23">
                  <c:v>0.21017096951583633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651960"/>
        <c:axId val="354650392"/>
      </c:barChart>
      <c:lineChart>
        <c:grouping val="standard"/>
        <c:varyColors val="0"/>
        <c:ser>
          <c:idx val="1"/>
          <c:order val="1"/>
          <c:tx>
            <c:v>UCV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'Cross Correlate'!UCV</c:f>
              <c:numCache>
                <c:formatCode>General</c:formatCode>
                <c:ptCount val="24"/>
                <c:pt idx="0">
                  <c:v>4.2333375666730171E-2</c:v>
                </c:pt>
                <c:pt idx="1">
                  <c:v>4.2333375666730171E-2</c:v>
                </c:pt>
                <c:pt idx="2">
                  <c:v>4.2333375666730171E-2</c:v>
                </c:pt>
                <c:pt idx="3">
                  <c:v>4.2333375666730171E-2</c:v>
                </c:pt>
                <c:pt idx="4">
                  <c:v>4.2333375666730171E-2</c:v>
                </c:pt>
                <c:pt idx="5">
                  <c:v>4.2333375666730171E-2</c:v>
                </c:pt>
                <c:pt idx="6">
                  <c:v>4.2333375666730171E-2</c:v>
                </c:pt>
                <c:pt idx="7">
                  <c:v>4.2333375666730171E-2</c:v>
                </c:pt>
                <c:pt idx="8">
                  <c:v>4.2333375666730171E-2</c:v>
                </c:pt>
                <c:pt idx="9">
                  <c:v>4.2333375666730171E-2</c:v>
                </c:pt>
                <c:pt idx="10">
                  <c:v>4.2333375666730171E-2</c:v>
                </c:pt>
                <c:pt idx="11">
                  <c:v>4.2333375666730171E-2</c:v>
                </c:pt>
                <c:pt idx="12">
                  <c:v>4.2333375666730171E-2</c:v>
                </c:pt>
                <c:pt idx="13">
                  <c:v>4.2333375666730171E-2</c:v>
                </c:pt>
                <c:pt idx="14">
                  <c:v>4.2333375666730171E-2</c:v>
                </c:pt>
                <c:pt idx="15">
                  <c:v>4.2333375666730171E-2</c:v>
                </c:pt>
                <c:pt idx="16">
                  <c:v>4.2333375666730171E-2</c:v>
                </c:pt>
                <c:pt idx="17">
                  <c:v>4.2333375666730171E-2</c:v>
                </c:pt>
                <c:pt idx="18">
                  <c:v>4.2333375666730171E-2</c:v>
                </c:pt>
                <c:pt idx="19">
                  <c:v>4.2333375666730171E-2</c:v>
                </c:pt>
                <c:pt idx="20">
                  <c:v>4.2333375666730171E-2</c:v>
                </c:pt>
                <c:pt idx="21">
                  <c:v>4.2333375666730171E-2</c:v>
                </c:pt>
                <c:pt idx="22">
                  <c:v>4.2333375666730171E-2</c:v>
                </c:pt>
                <c:pt idx="23">
                  <c:v>4.2333375666730171E-2</c:v>
                </c:pt>
              </c:numCache>
            </c:numRef>
          </c:val>
          <c:smooth val="0"/>
        </c:ser>
        <c:ser>
          <c:idx val="2"/>
          <c:order val="2"/>
          <c:tx>
            <c:v>LCV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'Cross Correlate'!LCV</c:f>
              <c:numCache>
                <c:formatCode>General</c:formatCode>
                <c:ptCount val="24"/>
                <c:pt idx="0">
                  <c:v>-4.2333375666730171E-2</c:v>
                </c:pt>
                <c:pt idx="1">
                  <c:v>-4.2333375666730171E-2</c:v>
                </c:pt>
                <c:pt idx="2">
                  <c:v>-4.2333375666730171E-2</c:v>
                </c:pt>
                <c:pt idx="3">
                  <c:v>-4.2333375666730171E-2</c:v>
                </c:pt>
                <c:pt idx="4">
                  <c:v>-4.2333375666730171E-2</c:v>
                </c:pt>
                <c:pt idx="5">
                  <c:v>-4.2333375666730171E-2</c:v>
                </c:pt>
                <c:pt idx="6">
                  <c:v>-4.2333375666730171E-2</c:v>
                </c:pt>
                <c:pt idx="7">
                  <c:v>-4.2333375666730171E-2</c:v>
                </c:pt>
                <c:pt idx="8">
                  <c:v>-4.2333375666730171E-2</c:v>
                </c:pt>
                <c:pt idx="9">
                  <c:v>-4.2333375666730171E-2</c:v>
                </c:pt>
                <c:pt idx="10">
                  <c:v>-4.2333375666730171E-2</c:v>
                </c:pt>
                <c:pt idx="11">
                  <c:v>-4.2333375666730171E-2</c:v>
                </c:pt>
                <c:pt idx="12">
                  <c:v>-4.2333375666730171E-2</c:v>
                </c:pt>
                <c:pt idx="13">
                  <c:v>-4.2333375666730171E-2</c:v>
                </c:pt>
                <c:pt idx="14">
                  <c:v>-4.2333375666730171E-2</c:v>
                </c:pt>
                <c:pt idx="15">
                  <c:v>-4.2333375666730171E-2</c:v>
                </c:pt>
                <c:pt idx="16">
                  <c:v>-4.2333375666730171E-2</c:v>
                </c:pt>
                <c:pt idx="17">
                  <c:v>-4.2333375666730171E-2</c:v>
                </c:pt>
                <c:pt idx="18">
                  <c:v>-4.2333375666730171E-2</c:v>
                </c:pt>
                <c:pt idx="19">
                  <c:v>-4.2333375666730171E-2</c:v>
                </c:pt>
                <c:pt idx="20">
                  <c:v>-4.2333375666730171E-2</c:v>
                </c:pt>
                <c:pt idx="21">
                  <c:v>-4.2333375666730171E-2</c:v>
                </c:pt>
                <c:pt idx="22">
                  <c:v>-4.2333375666730171E-2</c:v>
                </c:pt>
                <c:pt idx="23">
                  <c:v>-4.2333375666730171E-2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51960"/>
        <c:axId val="354650392"/>
      </c:lineChart>
      <c:catAx>
        <c:axId val="354651960"/>
        <c:scaling>
          <c:orientation val="minMax"/>
        </c:scaling>
        <c:delete val="0"/>
        <c:axPos val="b"/>
        <c:majorTickMark val="out"/>
        <c:minorTickMark val="none"/>
        <c:tickLblPos val="nextTo"/>
        <c:crossAx val="354650392"/>
        <c:crosses val="autoZero"/>
        <c:auto val="1"/>
        <c:lblAlgn val="ctr"/>
        <c:lblOffset val="100"/>
        <c:noMultiLvlLbl val="0"/>
      </c:catAx>
      <c:valAx>
        <c:axId val="354650392"/>
        <c:scaling>
          <c:orientation val="minMax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354651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4"/>
  <sheetViews>
    <sheetView tabSelected="1" zoomScale="85" workbookViewId="0"/>
  </sheetViews>
  <pageMargins left="0.7" right="0.7" top="0.75" bottom="0.75" header="0.3" footer="0.3"/>
  <pageSetup orientation="landscape" r:id="rId1"/>
  <drawing r:id="rId2"/>
  <legacyDrawing r:id="rId3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7" Type="http://schemas.openxmlformats.org/officeDocument/2006/relationships/image" Target="../media/image27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7" Type="http://schemas.openxmlformats.org/officeDocument/2006/relationships/image" Target="../media/image4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48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6" Type="http://schemas.openxmlformats.org/officeDocument/2006/relationships/image" Target="../media/image47.emf"/><Relationship Id="rId5" Type="http://schemas.openxmlformats.org/officeDocument/2006/relationships/image" Target="../media/image46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7" Type="http://schemas.openxmlformats.org/officeDocument/2006/relationships/image" Target="../media/image55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54.emf"/><Relationship Id="rId5" Type="http://schemas.openxmlformats.org/officeDocument/2006/relationships/image" Target="../media/image53.emf"/><Relationship Id="rId4" Type="http://schemas.openxmlformats.org/officeDocument/2006/relationships/image" Target="../media/image5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7" Type="http://schemas.openxmlformats.org/officeDocument/2006/relationships/image" Target="../media/image62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1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28575</xdr:rowOff>
        </xdr:from>
        <xdr:to>
          <xdr:col>4</xdr:col>
          <xdr:colOff>0</xdr:colOff>
          <xdr:row>4</xdr:row>
          <xdr:rowOff>9525</xdr:rowOff>
        </xdr:to>
        <xdr:sp macro="" textlink="">
          <xdr:nvSpPr>
            <xdr:cNvPr id="22530" name="Best_Fits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9525</xdr:colOff>
          <xdr:row>7</xdr:row>
          <xdr:rowOff>19050</xdr:rowOff>
        </xdr:to>
        <xdr:sp macro="" textlink="">
          <xdr:nvSpPr>
            <xdr:cNvPr id="22531" name="CommandButton1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28575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2532" name="CommandButton2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28575</xdr:rowOff>
        </xdr:from>
        <xdr:to>
          <xdr:col>5</xdr:col>
          <xdr:colOff>0</xdr:colOff>
          <xdr:row>4</xdr:row>
          <xdr:rowOff>9525</xdr:rowOff>
        </xdr:to>
        <xdr:sp macro="" textlink="">
          <xdr:nvSpPr>
            <xdr:cNvPr id="22533" name="Linear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28575</xdr:rowOff>
        </xdr:from>
        <xdr:to>
          <xdr:col>6</xdr:col>
          <xdr:colOff>9525</xdr:colOff>
          <xdr:row>4</xdr:row>
          <xdr:rowOff>9525</xdr:rowOff>
        </xdr:to>
        <xdr:sp macro="" textlink="">
          <xdr:nvSpPr>
            <xdr:cNvPr id="22534" name="Quadratic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28575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22535" name="Cubic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28575</xdr:rowOff>
        </xdr:from>
        <xdr:to>
          <xdr:col>8</xdr:col>
          <xdr:colOff>9525</xdr:colOff>
          <xdr:row>4</xdr:row>
          <xdr:rowOff>9525</xdr:rowOff>
        </xdr:to>
        <xdr:sp macro="" textlink="">
          <xdr:nvSpPr>
            <xdr:cNvPr id="22536" name="Logarithmic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</xdr:row>
          <xdr:rowOff>28575</xdr:rowOff>
        </xdr:from>
        <xdr:to>
          <xdr:col>9</xdr:col>
          <xdr:colOff>9525</xdr:colOff>
          <xdr:row>4</xdr:row>
          <xdr:rowOff>9525</xdr:rowOff>
        </xdr:to>
        <xdr:sp macro="" textlink="">
          <xdr:nvSpPr>
            <xdr:cNvPr id="22537" name="Exponential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28575</xdr:rowOff>
        </xdr:from>
        <xdr:to>
          <xdr:col>10</xdr:col>
          <xdr:colOff>9525</xdr:colOff>
          <xdr:row>4</xdr:row>
          <xdr:rowOff>9525</xdr:rowOff>
        </xdr:to>
        <xdr:sp macro="" textlink="">
          <xdr:nvSpPr>
            <xdr:cNvPr id="22538" name="Power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12</xdr:row>
          <xdr:rowOff>19050</xdr:rowOff>
        </xdr:from>
        <xdr:to>
          <xdr:col>4</xdr:col>
          <xdr:colOff>0</xdr:colOff>
          <xdr:row>13</xdr:row>
          <xdr:rowOff>228600</xdr:rowOff>
        </xdr:to>
        <xdr:sp macro="" textlink="">
          <xdr:nvSpPr>
            <xdr:cNvPr id="22539" name="TwoIndependent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22</xdr:row>
          <xdr:rowOff>19050</xdr:rowOff>
        </xdr:from>
        <xdr:to>
          <xdr:col>4</xdr:col>
          <xdr:colOff>9525</xdr:colOff>
          <xdr:row>23</xdr:row>
          <xdr:rowOff>228600</xdr:rowOff>
        </xdr:to>
        <xdr:sp macro="" textlink="">
          <xdr:nvSpPr>
            <xdr:cNvPr id="22540" name="OneIndependent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8</xdr:col>
          <xdr:colOff>9525</xdr:colOff>
          <xdr:row>7</xdr:row>
          <xdr:rowOff>28575</xdr:rowOff>
        </xdr:to>
        <xdr:sp macro="" textlink="">
          <xdr:nvSpPr>
            <xdr:cNvPr id="22541" name="ClearData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</xdr:row>
          <xdr:rowOff>9525</xdr:rowOff>
        </xdr:from>
        <xdr:to>
          <xdr:col>7</xdr:col>
          <xdr:colOff>0</xdr:colOff>
          <xdr:row>7</xdr:row>
          <xdr:rowOff>28575</xdr:rowOff>
        </xdr:to>
        <xdr:sp macro="" textlink="">
          <xdr:nvSpPr>
            <xdr:cNvPr id="22542" name="TableVariableInput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1371600</xdr:colOff>
          <xdr:row>5</xdr:row>
          <xdr:rowOff>9525</xdr:rowOff>
        </xdr:from>
        <xdr:to>
          <xdr:col>5</xdr:col>
          <xdr:colOff>1362075</xdr:colOff>
          <xdr:row>7</xdr:row>
          <xdr:rowOff>28575</xdr:rowOff>
        </xdr:to>
        <xdr:sp macro="" textlink="">
          <xdr:nvSpPr>
            <xdr:cNvPr id="22543" name="GraphAll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605116</xdr:colOff>
      <xdr:row>4</xdr:row>
      <xdr:rowOff>12325</xdr:rowOff>
    </xdr:from>
    <xdr:to>
      <xdr:col>21</xdr:col>
      <xdr:colOff>168087</xdr:colOff>
      <xdr:row>24</xdr:row>
      <xdr:rowOff>179293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9525</xdr:rowOff>
        </xdr:from>
        <xdr:to>
          <xdr:col>11</xdr:col>
          <xdr:colOff>28575</xdr:colOff>
          <xdr:row>3</xdr:row>
          <xdr:rowOff>9525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1</xdr:row>
          <xdr:rowOff>9525</xdr:rowOff>
        </xdr:from>
        <xdr:to>
          <xdr:col>18</xdr:col>
          <xdr:colOff>600075</xdr:colOff>
          <xdr:row>3</xdr:row>
          <xdr:rowOff>9525</xdr:rowOff>
        </xdr:to>
        <xdr:sp macro="" textlink="">
          <xdr:nvSpPr>
            <xdr:cNvPr id="23554" name="CommandButton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1</xdr:row>
          <xdr:rowOff>9525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23555" name="CommandButton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593910</xdr:colOff>
      <xdr:row>4</xdr:row>
      <xdr:rowOff>6723</xdr:rowOff>
    </xdr:from>
    <xdr:to>
      <xdr:col>21</xdr:col>
      <xdr:colOff>437030</xdr:colOff>
      <xdr:row>25</xdr:row>
      <xdr:rowOff>145676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0</xdr:row>
          <xdr:rowOff>171450</xdr:rowOff>
        </xdr:from>
        <xdr:to>
          <xdr:col>11</xdr:col>
          <xdr:colOff>0</xdr:colOff>
          <xdr:row>2</xdr:row>
          <xdr:rowOff>171450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590550</xdr:colOff>
          <xdr:row>1</xdr:row>
          <xdr:rowOff>0</xdr:rowOff>
        </xdr:from>
        <xdr:to>
          <xdr:col>18</xdr:col>
          <xdr:colOff>590550</xdr:colOff>
          <xdr:row>3</xdr:row>
          <xdr:rowOff>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</xdr:row>
          <xdr:rowOff>19050</xdr:rowOff>
        </xdr:from>
        <xdr:to>
          <xdr:col>4</xdr:col>
          <xdr:colOff>571500</xdr:colOff>
          <xdr:row>3</xdr:row>
          <xdr:rowOff>19050</xdr:rowOff>
        </xdr:to>
        <xdr:sp macro="" textlink="">
          <xdr:nvSpPr>
            <xdr:cNvPr id="24579" name="CommandButton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152400</xdr:rowOff>
        </xdr:from>
        <xdr:to>
          <xdr:col>5</xdr:col>
          <xdr:colOff>9525</xdr:colOff>
          <xdr:row>6</xdr:row>
          <xdr:rowOff>200025</xdr:rowOff>
        </xdr:to>
        <xdr:sp macro="" textlink="">
          <xdr:nvSpPr>
            <xdr:cNvPr id="1025" name="Te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0</xdr:colOff>
          <xdr:row>8</xdr:row>
          <xdr:rowOff>171450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9525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35" name="BestFit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9525</xdr:rowOff>
        </xdr:from>
        <xdr:to>
          <xdr:col>5</xdr:col>
          <xdr:colOff>9525</xdr:colOff>
          <xdr:row>13</xdr:row>
          <xdr:rowOff>9525</xdr:rowOff>
        </xdr:to>
        <xdr:sp macro="" textlink="">
          <xdr:nvSpPr>
            <xdr:cNvPr id="1036" name="Rese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180975</xdr:rowOff>
        </xdr:from>
        <xdr:to>
          <xdr:col>5</xdr:col>
          <xdr:colOff>9525</xdr:colOff>
          <xdr:row>11</xdr:row>
          <xdr:rowOff>9525</xdr:rowOff>
        </xdr:to>
        <xdr:sp macro="" textlink="">
          <xdr:nvSpPr>
            <xdr:cNvPr id="1039" name="ExportDat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0</xdr:rowOff>
        </xdr:from>
        <xdr:to>
          <xdr:col>7</xdr:col>
          <xdr:colOff>28575</xdr:colOff>
          <xdr:row>1</xdr:row>
          <xdr:rowOff>171450</xdr:rowOff>
        </xdr:to>
        <xdr:sp macro="" textlink="">
          <xdr:nvSpPr>
            <xdr:cNvPr id="1041" name="Graph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171450</xdr:rowOff>
        </xdr:from>
        <xdr:to>
          <xdr:col>7</xdr:col>
          <xdr:colOff>19050</xdr:colOff>
          <xdr:row>7</xdr:row>
          <xdr:rowOff>9525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180975</xdr:rowOff>
        </xdr:from>
        <xdr:to>
          <xdr:col>5</xdr:col>
          <xdr:colOff>9525</xdr:colOff>
          <xdr:row>6</xdr:row>
          <xdr:rowOff>19050</xdr:rowOff>
        </xdr:to>
        <xdr:sp macro="" textlink="">
          <xdr:nvSpPr>
            <xdr:cNvPr id="16385" name="Test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28575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9525</xdr:rowOff>
        </xdr:from>
        <xdr:to>
          <xdr:col>5</xdr:col>
          <xdr:colOff>9525</xdr:colOff>
          <xdr:row>1</xdr:row>
          <xdr:rowOff>180975</xdr:rowOff>
        </xdr:to>
        <xdr:sp macro="" textlink="">
          <xdr:nvSpPr>
            <xdr:cNvPr id="16387" name="BestFit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9525</xdr:rowOff>
        </xdr:from>
        <xdr:to>
          <xdr:col>5</xdr:col>
          <xdr:colOff>9525</xdr:colOff>
          <xdr:row>12</xdr:row>
          <xdr:rowOff>0</xdr:rowOff>
        </xdr:to>
        <xdr:sp macro="" textlink="">
          <xdr:nvSpPr>
            <xdr:cNvPr id="16388" name="Rese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5</xdr:col>
          <xdr:colOff>9525</xdr:colOff>
          <xdr:row>9</xdr:row>
          <xdr:rowOff>180975</xdr:rowOff>
        </xdr:to>
        <xdr:sp macro="" textlink="">
          <xdr:nvSpPr>
            <xdr:cNvPr id="16389" name="ExportData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19050</xdr:rowOff>
        </xdr:from>
        <xdr:to>
          <xdr:col>6</xdr:col>
          <xdr:colOff>1352550</xdr:colOff>
          <xdr:row>2</xdr:row>
          <xdr:rowOff>19050</xdr:rowOff>
        </xdr:to>
        <xdr:sp macro="" textlink="">
          <xdr:nvSpPr>
            <xdr:cNvPr id="16390" name="Graph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171450</xdr:rowOff>
        </xdr:from>
        <xdr:to>
          <xdr:col>6</xdr:col>
          <xdr:colOff>1371600</xdr:colOff>
          <xdr:row>6</xdr:row>
          <xdr:rowOff>19050</xdr:rowOff>
        </xdr:to>
        <xdr:sp macro="" textlink="">
          <xdr:nvSpPr>
            <xdr:cNvPr id="16391" name="CommandButton1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9525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7409" name="Test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9525</xdr:rowOff>
        </xdr:from>
        <xdr:to>
          <xdr:col>5</xdr:col>
          <xdr:colOff>9525</xdr:colOff>
          <xdr:row>7</xdr:row>
          <xdr:rowOff>0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7411" name="BestFit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19050</xdr:rowOff>
        </xdr:from>
        <xdr:to>
          <xdr:col>5</xdr:col>
          <xdr:colOff>0</xdr:colOff>
          <xdr:row>11</xdr:row>
          <xdr:rowOff>19050</xdr:rowOff>
        </xdr:to>
        <xdr:sp macro="" textlink="">
          <xdr:nvSpPr>
            <xdr:cNvPr id="17412" name="Reset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7413" name="ExportData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19050</xdr:rowOff>
        </xdr:from>
        <xdr:to>
          <xdr:col>6</xdr:col>
          <xdr:colOff>1371600</xdr:colOff>
          <xdr:row>2</xdr:row>
          <xdr:rowOff>9525</xdr:rowOff>
        </xdr:to>
        <xdr:sp macro="" textlink="">
          <xdr:nvSpPr>
            <xdr:cNvPr id="17414" name="Graph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180975</xdr:rowOff>
        </xdr:from>
        <xdr:to>
          <xdr:col>6</xdr:col>
          <xdr:colOff>1371600</xdr:colOff>
          <xdr:row>4</xdr:row>
          <xdr:rowOff>38100</xdr:rowOff>
        </xdr:to>
        <xdr:sp macro="" textlink="">
          <xdr:nvSpPr>
            <xdr:cNvPr id="17415" name="CommandButton1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180975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8433" name="Test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5</xdr:col>
          <xdr:colOff>19050</xdr:colOff>
          <xdr:row>7</xdr:row>
          <xdr:rowOff>200025</xdr:rowOff>
        </xdr:to>
        <xdr:sp macro="" textlink="">
          <xdr:nvSpPr>
            <xdr:cNvPr id="18434" name="CommandButton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8435" name="BestFit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9525</xdr:rowOff>
        </xdr:from>
        <xdr:to>
          <xdr:col>5</xdr:col>
          <xdr:colOff>0</xdr:colOff>
          <xdr:row>12</xdr:row>
          <xdr:rowOff>9525</xdr:rowOff>
        </xdr:to>
        <xdr:sp macro="" textlink="">
          <xdr:nvSpPr>
            <xdr:cNvPr id="18436" name="Reset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5</xdr:col>
          <xdr:colOff>19050</xdr:colOff>
          <xdr:row>10</xdr:row>
          <xdr:rowOff>0</xdr:rowOff>
        </xdr:to>
        <xdr:sp macro="" textlink="">
          <xdr:nvSpPr>
            <xdr:cNvPr id="18437" name="ExportData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38100</xdr:rowOff>
        </xdr:from>
        <xdr:to>
          <xdr:col>7</xdr:col>
          <xdr:colOff>9525</xdr:colOff>
          <xdr:row>1</xdr:row>
          <xdr:rowOff>171450</xdr:rowOff>
        </xdr:to>
        <xdr:sp macro="" textlink="">
          <xdr:nvSpPr>
            <xdr:cNvPr id="18438" name="Graph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152400</xdr:rowOff>
        </xdr:from>
        <xdr:to>
          <xdr:col>6</xdr:col>
          <xdr:colOff>1362075</xdr:colOff>
          <xdr:row>4</xdr:row>
          <xdr:rowOff>0</xdr:rowOff>
        </xdr:to>
        <xdr:sp macro="" textlink="">
          <xdr:nvSpPr>
            <xdr:cNvPr id="18439" name="CommandButton1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</xdr:row>
          <xdr:rowOff>0</xdr:rowOff>
        </xdr:from>
        <xdr:to>
          <xdr:col>5</xdr:col>
          <xdr:colOff>9525</xdr:colOff>
          <xdr:row>6</xdr:row>
          <xdr:rowOff>19050</xdr:rowOff>
        </xdr:to>
        <xdr:sp macro="" textlink="">
          <xdr:nvSpPr>
            <xdr:cNvPr id="19457" name="Test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28575</xdr:rowOff>
        </xdr:from>
        <xdr:to>
          <xdr:col>5</xdr:col>
          <xdr:colOff>0</xdr:colOff>
          <xdr:row>7</xdr:row>
          <xdr:rowOff>200025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5</xdr:col>
          <xdr:colOff>28575</xdr:colOff>
          <xdr:row>2</xdr:row>
          <xdr:rowOff>0</xdr:rowOff>
        </xdr:to>
        <xdr:sp macro="" textlink="">
          <xdr:nvSpPr>
            <xdr:cNvPr id="19459" name="BestFit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5</xdr:col>
          <xdr:colOff>0</xdr:colOff>
          <xdr:row>12</xdr:row>
          <xdr:rowOff>9525</xdr:rowOff>
        </xdr:to>
        <xdr:sp macro="" textlink="">
          <xdr:nvSpPr>
            <xdr:cNvPr id="19460" name="Reset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8</xdr:row>
          <xdr:rowOff>0</xdr:rowOff>
        </xdr:from>
        <xdr:to>
          <xdr:col>5</xdr:col>
          <xdr:colOff>9525</xdr:colOff>
          <xdr:row>9</xdr:row>
          <xdr:rowOff>180975</xdr:rowOff>
        </xdr:to>
        <xdr:sp macro="" textlink="">
          <xdr:nvSpPr>
            <xdr:cNvPr id="19461" name="ExportData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9525</xdr:rowOff>
        </xdr:from>
        <xdr:to>
          <xdr:col>6</xdr:col>
          <xdr:colOff>1343025</xdr:colOff>
          <xdr:row>2</xdr:row>
          <xdr:rowOff>0</xdr:rowOff>
        </xdr:to>
        <xdr:sp macro="" textlink="">
          <xdr:nvSpPr>
            <xdr:cNvPr id="19462" name="Graph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1362075</xdr:colOff>
          <xdr:row>1</xdr:row>
          <xdr:rowOff>171450</xdr:rowOff>
        </xdr:from>
        <xdr:to>
          <xdr:col>6</xdr:col>
          <xdr:colOff>1352550</xdr:colOff>
          <xdr:row>6</xdr:row>
          <xdr:rowOff>19050</xdr:rowOff>
        </xdr:to>
        <xdr:sp macro="" textlink="">
          <xdr:nvSpPr>
            <xdr:cNvPr id="19463" name="CommandButton1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1</xdr:row>
          <xdr:rowOff>152400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20481" name="Test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3</xdr:row>
          <xdr:rowOff>190500</xdr:rowOff>
        </xdr:from>
        <xdr:to>
          <xdr:col>5</xdr:col>
          <xdr:colOff>19050</xdr:colOff>
          <xdr:row>7</xdr:row>
          <xdr:rowOff>200025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9525</xdr:rowOff>
        </xdr:from>
        <xdr:to>
          <xdr:col>5</xdr:col>
          <xdr:colOff>19050</xdr:colOff>
          <xdr:row>1</xdr:row>
          <xdr:rowOff>171450</xdr:rowOff>
        </xdr:to>
        <xdr:sp macro="" textlink="">
          <xdr:nvSpPr>
            <xdr:cNvPr id="20483" name="BestFit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171450</xdr:rowOff>
        </xdr:from>
        <xdr:to>
          <xdr:col>5</xdr:col>
          <xdr:colOff>0</xdr:colOff>
          <xdr:row>12</xdr:row>
          <xdr:rowOff>38100</xdr:rowOff>
        </xdr:to>
        <xdr:sp macro="" textlink="">
          <xdr:nvSpPr>
            <xdr:cNvPr id="20484" name="Reset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200025</xdr:rowOff>
        </xdr:from>
        <xdr:to>
          <xdr:col>5</xdr:col>
          <xdr:colOff>19050</xdr:colOff>
          <xdr:row>9</xdr:row>
          <xdr:rowOff>180975</xdr:rowOff>
        </xdr:to>
        <xdr:sp macro="" textlink="">
          <xdr:nvSpPr>
            <xdr:cNvPr id="20485" name="ExportData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0</xdr:rowOff>
        </xdr:from>
        <xdr:to>
          <xdr:col>6</xdr:col>
          <xdr:colOff>1362075</xdr:colOff>
          <xdr:row>1</xdr:row>
          <xdr:rowOff>171450</xdr:rowOff>
        </xdr:to>
        <xdr:sp macro="" textlink="">
          <xdr:nvSpPr>
            <xdr:cNvPr id="20486" name="Graph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180975</xdr:rowOff>
        </xdr:from>
        <xdr:to>
          <xdr:col>7</xdr:col>
          <xdr:colOff>19050</xdr:colOff>
          <xdr:row>4</xdr:row>
          <xdr:rowOff>0</xdr:rowOff>
        </xdr:to>
        <xdr:sp macro="" textlink="">
          <xdr:nvSpPr>
            <xdr:cNvPr id="20487" name="CommandButton1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control" Target="../activeX/activeX26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image" Target="../media/image25.emf"/><Relationship Id="rId2" Type="http://schemas.openxmlformats.org/officeDocument/2006/relationships/vmlDrawing" Target="../drawings/vmlDrawing5.vml"/><Relationship Id="rId16" Type="http://schemas.openxmlformats.org/officeDocument/2006/relationships/image" Target="../media/image27.emf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5" Type="http://schemas.openxmlformats.org/officeDocument/2006/relationships/control" Target="../activeX/activeX27.xml"/><Relationship Id="rId10" Type="http://schemas.openxmlformats.org/officeDocument/2006/relationships/image" Target="../media/image24.emf"/><Relationship Id="rId4" Type="http://schemas.openxmlformats.org/officeDocument/2006/relationships/image" Target="../media/image21.emf"/><Relationship Id="rId9" Type="http://schemas.openxmlformats.org/officeDocument/2006/relationships/control" Target="../activeX/activeX24.xml"/><Relationship Id="rId14" Type="http://schemas.openxmlformats.org/officeDocument/2006/relationships/image" Target="../media/image2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8.xml"/><Relationship Id="rId7" Type="http://schemas.openxmlformats.org/officeDocument/2006/relationships/control" Target="../activeX/activeX30.xml"/><Relationship Id="rId12" Type="http://schemas.openxmlformats.org/officeDocument/2006/relationships/image" Target="../media/image32.emf"/><Relationship Id="rId2" Type="http://schemas.openxmlformats.org/officeDocument/2006/relationships/vmlDrawing" Target="../drawings/vmlDrawing6.vml"/><Relationship Id="rId16" Type="http://schemas.openxmlformats.org/officeDocument/2006/relationships/image" Target="../media/image34.emf"/><Relationship Id="rId1" Type="http://schemas.openxmlformats.org/officeDocument/2006/relationships/drawing" Target="../drawings/drawing6.xml"/><Relationship Id="rId6" Type="http://schemas.openxmlformats.org/officeDocument/2006/relationships/image" Target="../media/image29.emf"/><Relationship Id="rId11" Type="http://schemas.openxmlformats.org/officeDocument/2006/relationships/control" Target="../activeX/activeX32.xml"/><Relationship Id="rId5" Type="http://schemas.openxmlformats.org/officeDocument/2006/relationships/control" Target="../activeX/activeX29.xml"/><Relationship Id="rId15" Type="http://schemas.openxmlformats.org/officeDocument/2006/relationships/control" Target="../activeX/activeX34.xml"/><Relationship Id="rId10" Type="http://schemas.openxmlformats.org/officeDocument/2006/relationships/image" Target="../media/image31.emf"/><Relationship Id="rId4" Type="http://schemas.openxmlformats.org/officeDocument/2006/relationships/image" Target="../media/image28.emf"/><Relationship Id="rId9" Type="http://schemas.openxmlformats.org/officeDocument/2006/relationships/control" Target="../activeX/activeX31.xml"/><Relationship Id="rId14" Type="http://schemas.openxmlformats.org/officeDocument/2006/relationships/image" Target="../media/image3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40.xml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12" Type="http://schemas.openxmlformats.org/officeDocument/2006/relationships/image" Target="../media/image39.emf"/><Relationship Id="rId2" Type="http://schemas.openxmlformats.org/officeDocument/2006/relationships/vmlDrawing" Target="../drawings/vmlDrawing7.vml"/><Relationship Id="rId16" Type="http://schemas.openxmlformats.org/officeDocument/2006/relationships/image" Target="../media/image41.emf"/><Relationship Id="rId1" Type="http://schemas.openxmlformats.org/officeDocument/2006/relationships/drawing" Target="../drawings/drawing7.xml"/><Relationship Id="rId6" Type="http://schemas.openxmlformats.org/officeDocument/2006/relationships/image" Target="../media/image36.emf"/><Relationship Id="rId11" Type="http://schemas.openxmlformats.org/officeDocument/2006/relationships/control" Target="../activeX/activeX39.xml"/><Relationship Id="rId5" Type="http://schemas.openxmlformats.org/officeDocument/2006/relationships/control" Target="../activeX/activeX36.xml"/><Relationship Id="rId15" Type="http://schemas.openxmlformats.org/officeDocument/2006/relationships/control" Target="../activeX/activeX41.xml"/><Relationship Id="rId10" Type="http://schemas.openxmlformats.org/officeDocument/2006/relationships/image" Target="../media/image38.emf"/><Relationship Id="rId4" Type="http://schemas.openxmlformats.org/officeDocument/2006/relationships/image" Target="../media/image35.emf"/><Relationship Id="rId9" Type="http://schemas.openxmlformats.org/officeDocument/2006/relationships/control" Target="../activeX/activeX38.xml"/><Relationship Id="rId14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control" Target="../activeX/activeX47.xml"/><Relationship Id="rId3" Type="http://schemas.openxmlformats.org/officeDocument/2006/relationships/control" Target="../activeX/activeX42.xml"/><Relationship Id="rId7" Type="http://schemas.openxmlformats.org/officeDocument/2006/relationships/control" Target="../activeX/activeX44.xml"/><Relationship Id="rId12" Type="http://schemas.openxmlformats.org/officeDocument/2006/relationships/image" Target="../media/image46.emf"/><Relationship Id="rId2" Type="http://schemas.openxmlformats.org/officeDocument/2006/relationships/vmlDrawing" Target="../drawings/vmlDrawing8.vml"/><Relationship Id="rId16" Type="http://schemas.openxmlformats.org/officeDocument/2006/relationships/image" Target="../media/image48.emf"/><Relationship Id="rId1" Type="http://schemas.openxmlformats.org/officeDocument/2006/relationships/drawing" Target="../drawings/drawing8.xml"/><Relationship Id="rId6" Type="http://schemas.openxmlformats.org/officeDocument/2006/relationships/image" Target="../media/image43.emf"/><Relationship Id="rId11" Type="http://schemas.openxmlformats.org/officeDocument/2006/relationships/control" Target="../activeX/activeX46.xml"/><Relationship Id="rId5" Type="http://schemas.openxmlformats.org/officeDocument/2006/relationships/control" Target="../activeX/activeX43.xml"/><Relationship Id="rId15" Type="http://schemas.openxmlformats.org/officeDocument/2006/relationships/control" Target="../activeX/activeX48.xml"/><Relationship Id="rId10" Type="http://schemas.openxmlformats.org/officeDocument/2006/relationships/image" Target="../media/image45.emf"/><Relationship Id="rId4" Type="http://schemas.openxmlformats.org/officeDocument/2006/relationships/image" Target="../media/image42.emf"/><Relationship Id="rId9" Type="http://schemas.openxmlformats.org/officeDocument/2006/relationships/control" Target="../activeX/activeX45.xml"/><Relationship Id="rId14" Type="http://schemas.openxmlformats.org/officeDocument/2006/relationships/image" Target="../media/image4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control" Target="../activeX/activeX54.xml"/><Relationship Id="rId3" Type="http://schemas.openxmlformats.org/officeDocument/2006/relationships/control" Target="../activeX/activeX49.xml"/><Relationship Id="rId7" Type="http://schemas.openxmlformats.org/officeDocument/2006/relationships/control" Target="../activeX/activeX51.xml"/><Relationship Id="rId12" Type="http://schemas.openxmlformats.org/officeDocument/2006/relationships/image" Target="../media/image53.emf"/><Relationship Id="rId2" Type="http://schemas.openxmlformats.org/officeDocument/2006/relationships/vmlDrawing" Target="../drawings/vmlDrawing9.vml"/><Relationship Id="rId16" Type="http://schemas.openxmlformats.org/officeDocument/2006/relationships/image" Target="../media/image55.emf"/><Relationship Id="rId1" Type="http://schemas.openxmlformats.org/officeDocument/2006/relationships/drawing" Target="../drawings/drawing9.xml"/><Relationship Id="rId6" Type="http://schemas.openxmlformats.org/officeDocument/2006/relationships/image" Target="../media/image50.emf"/><Relationship Id="rId11" Type="http://schemas.openxmlformats.org/officeDocument/2006/relationships/control" Target="../activeX/activeX53.xml"/><Relationship Id="rId5" Type="http://schemas.openxmlformats.org/officeDocument/2006/relationships/control" Target="../activeX/activeX50.xml"/><Relationship Id="rId15" Type="http://schemas.openxmlformats.org/officeDocument/2006/relationships/control" Target="../activeX/activeX55.xml"/><Relationship Id="rId10" Type="http://schemas.openxmlformats.org/officeDocument/2006/relationships/image" Target="../media/image52.emf"/><Relationship Id="rId4" Type="http://schemas.openxmlformats.org/officeDocument/2006/relationships/image" Target="../media/image49.emf"/><Relationship Id="rId9" Type="http://schemas.openxmlformats.org/officeDocument/2006/relationships/control" Target="../activeX/activeX52.xml"/><Relationship Id="rId14" Type="http://schemas.openxmlformats.org/officeDocument/2006/relationships/image" Target="../media/image5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control" Target="../activeX/activeX61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58.xml"/><Relationship Id="rId12" Type="http://schemas.openxmlformats.org/officeDocument/2006/relationships/image" Target="../media/image60.emf"/><Relationship Id="rId2" Type="http://schemas.openxmlformats.org/officeDocument/2006/relationships/vmlDrawing" Target="../drawings/vmlDrawing10.vml"/><Relationship Id="rId16" Type="http://schemas.openxmlformats.org/officeDocument/2006/relationships/image" Target="../media/image62.emf"/><Relationship Id="rId1" Type="http://schemas.openxmlformats.org/officeDocument/2006/relationships/drawing" Target="../drawings/drawing10.xml"/><Relationship Id="rId6" Type="http://schemas.openxmlformats.org/officeDocument/2006/relationships/image" Target="../media/image57.emf"/><Relationship Id="rId11" Type="http://schemas.openxmlformats.org/officeDocument/2006/relationships/control" Target="../activeX/activeX60.xml"/><Relationship Id="rId5" Type="http://schemas.openxmlformats.org/officeDocument/2006/relationships/control" Target="../activeX/activeX57.xml"/><Relationship Id="rId15" Type="http://schemas.openxmlformats.org/officeDocument/2006/relationships/control" Target="../activeX/activeX62.xml"/><Relationship Id="rId10" Type="http://schemas.openxmlformats.org/officeDocument/2006/relationships/image" Target="../media/image59.emf"/><Relationship Id="rId4" Type="http://schemas.openxmlformats.org/officeDocument/2006/relationships/image" Target="../media/image56.emf"/><Relationship Id="rId9" Type="http://schemas.openxmlformats.org/officeDocument/2006/relationships/control" Target="../activeX/activeX59.xml"/><Relationship Id="rId14" Type="http://schemas.openxmlformats.org/officeDocument/2006/relationships/image" Target="../media/image6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39"/>
  <sheetViews>
    <sheetView zoomScale="70" zoomScaleNormal="7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H14" sqref="H14"/>
    </sheetView>
  </sheetViews>
  <sheetFormatPr defaultRowHeight="15" x14ac:dyDescent="0.25"/>
  <cols>
    <col min="1" max="1" width="36.85546875" bestFit="1" customWidth="1"/>
    <col min="2" max="3" width="23.5703125" bestFit="1" customWidth="1"/>
    <col min="4" max="10" width="20.7109375" customWidth="1"/>
  </cols>
  <sheetData>
    <row r="1" spans="1:10" ht="18.75" customHeight="1" thickTop="1" thickBot="1" x14ac:dyDescent="0.35">
      <c r="A1" s="12" t="s">
        <v>8</v>
      </c>
      <c r="B1" s="13">
        <v>20</v>
      </c>
      <c r="D1" s="12" t="s">
        <v>23</v>
      </c>
      <c r="E1" s="12" t="s">
        <v>24</v>
      </c>
      <c r="F1" s="12" t="s">
        <v>25</v>
      </c>
      <c r="G1" s="12" t="s">
        <v>26</v>
      </c>
      <c r="H1" s="12" t="s">
        <v>27</v>
      </c>
      <c r="I1" s="12" t="s">
        <v>28</v>
      </c>
      <c r="J1" s="12" t="s">
        <v>29</v>
      </c>
    </row>
    <row r="2" spans="1:10" ht="18.75" customHeight="1" thickTop="1" thickBot="1" x14ac:dyDescent="0.35">
      <c r="A2" s="12" t="s">
        <v>11</v>
      </c>
      <c r="B2" s="17">
        <f>IF(IF(SUM(COUNTIFS(E:F,{"#N/A"})),FALSE,TRUE),MAX(MIN(SUMPRODUCT(MAX(ROW(E10:E1048576)*(E10:E1048576&lt;&gt;""))) - 9,SUMPRODUCT(MAX(ROW(F10:F1048576)*(F10:F1048576&lt;&gt;""))) - 9),0),-1)</f>
        <v>30</v>
      </c>
      <c r="D2" s="12" t="s">
        <v>62</v>
      </c>
      <c r="E2" s="12">
        <v>0.97029891358925791</v>
      </c>
      <c r="F2" s="12">
        <v>1.0000000000000002</v>
      </c>
      <c r="G2" s="12">
        <v>1.0000000000000002</v>
      </c>
      <c r="H2" s="12">
        <v>0.81179024343347328</v>
      </c>
      <c r="I2" s="12">
        <v>0.99927366991050548</v>
      </c>
      <c r="J2" s="12">
        <v>0.99999999999999978</v>
      </c>
    </row>
    <row r="3" spans="1:10" ht="18.75" customHeight="1" thickTop="1" thickBot="1" x14ac:dyDescent="0.35">
      <c r="A3" s="12" t="s">
        <v>12</v>
      </c>
      <c r="B3" s="13" t="s">
        <v>56</v>
      </c>
      <c r="H3" t="s">
        <v>55</v>
      </c>
    </row>
    <row r="4" spans="1:10" ht="18.75" customHeight="1" thickTop="1" thickBot="1" x14ac:dyDescent="0.35">
      <c r="A4" s="12" t="s">
        <v>13</v>
      </c>
      <c r="B4" s="13" t="s">
        <v>57</v>
      </c>
    </row>
    <row r="5" spans="1:10" ht="18.75" customHeight="1" thickTop="1" thickBot="1" x14ac:dyDescent="0.35">
      <c r="A5" s="12" t="s">
        <v>63</v>
      </c>
      <c r="B5" s="13">
        <v>1</v>
      </c>
    </row>
    <row r="6" spans="1:10" ht="18.75" customHeight="1" thickTop="1" thickBot="1" x14ac:dyDescent="0.35">
      <c r="A6" s="12" t="s">
        <v>42</v>
      </c>
      <c r="B6" s="13">
        <v>1.0000000000000001E-15</v>
      </c>
    </row>
    <row r="7" spans="1:10" ht="18.75" customHeight="1" thickTop="1" thickBot="1" x14ac:dyDescent="0.35">
      <c r="A7" s="12" t="s">
        <v>30</v>
      </c>
      <c r="B7" s="13">
        <v>24</v>
      </c>
    </row>
    <row r="8" spans="1:10" ht="18.75" customHeight="1" thickTop="1" x14ac:dyDescent="0.25"/>
    <row r="9" spans="1:10" ht="18.75" customHeight="1" thickBot="1" x14ac:dyDescent="0.3">
      <c r="E9" s="8" t="s">
        <v>56</v>
      </c>
      <c r="F9" s="9" t="s">
        <v>57</v>
      </c>
    </row>
    <row r="10" spans="1:10" ht="18.75" customHeight="1" thickTop="1" thickBot="1" x14ac:dyDescent="0.35">
      <c r="A10" s="20" t="s">
        <v>44</v>
      </c>
      <c r="B10" s="21"/>
      <c r="C10" s="22"/>
      <c r="E10">
        <v>1</v>
      </c>
      <c r="F10">
        <f>E10^2</f>
        <v>1</v>
      </c>
    </row>
    <row r="11" spans="1:10" ht="18.75" customHeight="1" thickTop="1" thickBot="1" x14ac:dyDescent="0.35">
      <c r="A11" s="12" t="s">
        <v>32</v>
      </c>
      <c r="B11" s="13">
        <v>1</v>
      </c>
      <c r="C11" s="13">
        <v>1</v>
      </c>
      <c r="E11">
        <v>2</v>
      </c>
      <c r="F11">
        <f t="shared" ref="F11:F39" si="0">E11^2</f>
        <v>4</v>
      </c>
    </row>
    <row r="12" spans="1:10" ht="18.75" customHeight="1" thickTop="1" thickBot="1" x14ac:dyDescent="0.35">
      <c r="A12" s="12" t="s">
        <v>33</v>
      </c>
      <c r="B12" s="13" t="s">
        <v>64</v>
      </c>
      <c r="C12" s="13" t="s">
        <v>66</v>
      </c>
      <c r="E12">
        <v>3</v>
      </c>
      <c r="F12">
        <f t="shared" si="0"/>
        <v>9</v>
      </c>
    </row>
    <row r="13" spans="1:10" ht="18.75" customHeight="1" thickTop="1" thickBot="1" x14ac:dyDescent="0.35">
      <c r="A13" s="12" t="s">
        <v>34</v>
      </c>
      <c r="B13" s="13" t="s">
        <v>38</v>
      </c>
      <c r="C13" s="13" t="s">
        <v>38</v>
      </c>
      <c r="E13">
        <v>4</v>
      </c>
      <c r="F13">
        <f t="shared" si="0"/>
        <v>16</v>
      </c>
    </row>
    <row r="14" spans="1:10" ht="18.75" customHeight="1" thickTop="1" thickBot="1" x14ac:dyDescent="0.35">
      <c r="A14" s="12" t="s">
        <v>35</v>
      </c>
      <c r="B14" s="14">
        <v>42156</v>
      </c>
      <c r="C14" s="14">
        <v>42156</v>
      </c>
      <c r="E14">
        <v>5</v>
      </c>
      <c r="F14">
        <f t="shared" si="0"/>
        <v>25</v>
      </c>
    </row>
    <row r="15" spans="1:10" ht="18.75" customHeight="1" thickTop="1" thickBot="1" x14ac:dyDescent="0.35">
      <c r="A15" s="12" t="s">
        <v>36</v>
      </c>
      <c r="B15" s="14">
        <v>42249</v>
      </c>
      <c r="C15" s="14">
        <v>42249</v>
      </c>
      <c r="E15">
        <v>6</v>
      </c>
      <c r="F15">
        <f t="shared" si="0"/>
        <v>36</v>
      </c>
    </row>
    <row r="16" spans="1:10" ht="18.75" customHeight="1" thickTop="1" thickBot="1" x14ac:dyDescent="0.35">
      <c r="A16" s="12" t="s">
        <v>37</v>
      </c>
      <c r="B16" s="15">
        <f>TIME(1,0,0)</f>
        <v>4.1666666666666664E-2</v>
      </c>
      <c r="C16" s="15">
        <f>TIME(1,0,0)</f>
        <v>4.1666666666666664E-2</v>
      </c>
      <c r="E16">
        <v>7</v>
      </c>
      <c r="F16">
        <f t="shared" si="0"/>
        <v>49</v>
      </c>
    </row>
    <row r="17" spans="1:6" ht="18.75" customHeight="1" thickTop="1" thickBot="1" x14ac:dyDescent="0.35">
      <c r="A17" s="12" t="s">
        <v>41</v>
      </c>
      <c r="B17" s="13" t="s">
        <v>39</v>
      </c>
      <c r="C17" s="13" t="s">
        <v>39</v>
      </c>
      <c r="E17">
        <v>8</v>
      </c>
      <c r="F17">
        <f t="shared" si="0"/>
        <v>64</v>
      </c>
    </row>
    <row r="18" spans="1:6" ht="18.75" customHeight="1" thickTop="1" thickBot="1" x14ac:dyDescent="0.35">
      <c r="A18" s="12" t="s">
        <v>43</v>
      </c>
      <c r="B18" s="13" t="s">
        <v>40</v>
      </c>
      <c r="C18" s="13" t="s">
        <v>40</v>
      </c>
      <c r="E18">
        <v>9</v>
      </c>
      <c r="F18">
        <f t="shared" si="0"/>
        <v>81</v>
      </c>
    </row>
    <row r="19" spans="1:6" ht="18.75" customHeight="1" thickTop="1" thickBot="1" x14ac:dyDescent="0.3">
      <c r="B19" s="5"/>
      <c r="C19" s="5"/>
      <c r="D19" s="6"/>
      <c r="E19">
        <v>10</v>
      </c>
      <c r="F19">
        <f t="shared" si="0"/>
        <v>100</v>
      </c>
    </row>
    <row r="20" spans="1:6" ht="18.75" customHeight="1" thickTop="1" thickBot="1" x14ac:dyDescent="0.35">
      <c r="A20" s="20" t="s">
        <v>45</v>
      </c>
      <c r="B20" s="21"/>
      <c r="C20" s="22"/>
      <c r="E20">
        <v>11</v>
      </c>
      <c r="F20">
        <f t="shared" si="0"/>
        <v>121</v>
      </c>
    </row>
    <row r="21" spans="1:6" ht="18.75" customHeight="1" thickTop="1" thickBot="1" x14ac:dyDescent="0.35">
      <c r="A21" s="12" t="s">
        <v>32</v>
      </c>
      <c r="B21" s="18">
        <v>1</v>
      </c>
      <c r="C21" s="19"/>
      <c r="E21">
        <v>12</v>
      </c>
      <c r="F21">
        <f t="shared" si="0"/>
        <v>144</v>
      </c>
    </row>
    <row r="22" spans="1:6" ht="18.75" customHeight="1" thickTop="1" thickBot="1" x14ac:dyDescent="0.35">
      <c r="A22" s="12" t="s">
        <v>33</v>
      </c>
      <c r="B22" s="18" t="s">
        <v>67</v>
      </c>
      <c r="C22" s="19"/>
      <c r="E22">
        <v>13</v>
      </c>
      <c r="F22">
        <f t="shared" si="0"/>
        <v>169</v>
      </c>
    </row>
    <row r="23" spans="1:6" ht="18.75" customHeight="1" thickTop="1" thickBot="1" x14ac:dyDescent="0.35">
      <c r="A23" s="12" t="s">
        <v>34</v>
      </c>
      <c r="B23" s="18" t="s">
        <v>38</v>
      </c>
      <c r="C23" s="19"/>
      <c r="E23">
        <v>14</v>
      </c>
      <c r="F23">
        <f t="shared" si="0"/>
        <v>196</v>
      </c>
    </row>
    <row r="24" spans="1:6" ht="18.75" customHeight="1" thickTop="1" thickBot="1" x14ac:dyDescent="0.35">
      <c r="A24" s="12" t="s">
        <v>35</v>
      </c>
      <c r="B24" s="23">
        <v>42248</v>
      </c>
      <c r="C24" s="24"/>
      <c r="E24">
        <v>15</v>
      </c>
      <c r="F24">
        <f t="shared" si="0"/>
        <v>225</v>
      </c>
    </row>
    <row r="25" spans="1:6" ht="18.75" customHeight="1" thickTop="1" thickBot="1" x14ac:dyDescent="0.35">
      <c r="A25" s="12" t="s">
        <v>36</v>
      </c>
      <c r="B25" s="23">
        <v>42249</v>
      </c>
      <c r="C25" s="24"/>
      <c r="E25">
        <v>16</v>
      </c>
      <c r="F25">
        <f t="shared" si="0"/>
        <v>256</v>
      </c>
    </row>
    <row r="26" spans="1:6" ht="18.75" customHeight="1" thickTop="1" thickBot="1" x14ac:dyDescent="0.35">
      <c r="A26" s="12" t="s">
        <v>37</v>
      </c>
      <c r="B26" s="25">
        <f>TIME(1,0,0)</f>
        <v>4.1666666666666664E-2</v>
      </c>
      <c r="C26" s="26"/>
      <c r="E26">
        <v>17</v>
      </c>
      <c r="F26">
        <f t="shared" si="0"/>
        <v>289</v>
      </c>
    </row>
    <row r="27" spans="1:6" ht="18.75" customHeight="1" thickTop="1" thickBot="1" x14ac:dyDescent="0.35">
      <c r="A27" s="12" t="s">
        <v>41</v>
      </c>
      <c r="B27" s="18" t="s">
        <v>39</v>
      </c>
      <c r="C27" s="19"/>
      <c r="E27">
        <v>18</v>
      </c>
      <c r="F27">
        <f t="shared" si="0"/>
        <v>324</v>
      </c>
    </row>
    <row r="28" spans="1:6" ht="18.75" customHeight="1" thickTop="1" thickBot="1" x14ac:dyDescent="0.35">
      <c r="A28" s="12" t="s">
        <v>43</v>
      </c>
      <c r="B28" s="18" t="s">
        <v>40</v>
      </c>
      <c r="C28" s="19"/>
      <c r="E28">
        <v>19</v>
      </c>
      <c r="F28">
        <f t="shared" si="0"/>
        <v>361</v>
      </c>
    </row>
    <row r="29" spans="1:6" ht="15.75" thickTop="1" x14ac:dyDescent="0.25">
      <c r="E29">
        <v>20</v>
      </c>
      <c r="F29">
        <f t="shared" si="0"/>
        <v>400</v>
      </c>
    </row>
    <row r="30" spans="1:6" x14ac:dyDescent="0.25">
      <c r="E30">
        <v>21</v>
      </c>
      <c r="F30">
        <f t="shared" si="0"/>
        <v>441</v>
      </c>
    </row>
    <row r="31" spans="1:6" x14ac:dyDescent="0.25">
      <c r="E31">
        <v>22</v>
      </c>
      <c r="F31">
        <f t="shared" si="0"/>
        <v>484</v>
      </c>
    </row>
    <row r="32" spans="1:6" x14ac:dyDescent="0.25">
      <c r="E32">
        <v>23</v>
      </c>
      <c r="F32">
        <f t="shared" si="0"/>
        <v>529</v>
      </c>
    </row>
    <row r="33" spans="5:6" x14ac:dyDescent="0.25">
      <c r="E33">
        <v>24</v>
      </c>
      <c r="F33">
        <f t="shared" si="0"/>
        <v>576</v>
      </c>
    </row>
    <row r="34" spans="5:6" x14ac:dyDescent="0.25">
      <c r="E34">
        <v>25</v>
      </c>
      <c r="F34">
        <f t="shared" si="0"/>
        <v>625</v>
      </c>
    </row>
    <row r="35" spans="5:6" x14ac:dyDescent="0.25">
      <c r="E35">
        <v>26</v>
      </c>
      <c r="F35">
        <f t="shared" si="0"/>
        <v>676</v>
      </c>
    </row>
    <row r="36" spans="5:6" x14ac:dyDescent="0.25">
      <c r="E36">
        <v>27</v>
      </c>
      <c r="F36">
        <f t="shared" si="0"/>
        <v>729</v>
      </c>
    </row>
    <row r="37" spans="5:6" x14ac:dyDescent="0.25">
      <c r="E37">
        <v>28</v>
      </c>
      <c r="F37">
        <f t="shared" si="0"/>
        <v>784</v>
      </c>
    </row>
    <row r="38" spans="5:6" x14ac:dyDescent="0.25">
      <c r="E38">
        <v>29</v>
      </c>
      <c r="F38">
        <f t="shared" si="0"/>
        <v>841</v>
      </c>
    </row>
    <row r="39" spans="5:6" x14ac:dyDescent="0.25">
      <c r="E39">
        <v>30</v>
      </c>
      <c r="F39">
        <f t="shared" si="0"/>
        <v>900</v>
      </c>
    </row>
  </sheetData>
  <mergeCells count="10">
    <mergeCell ref="B27:C27"/>
    <mergeCell ref="B28:C28"/>
    <mergeCell ref="A10:C10"/>
    <mergeCell ref="A20:C20"/>
    <mergeCell ref="B21:C21"/>
    <mergeCell ref="B22:C22"/>
    <mergeCell ref="B23:C23"/>
    <mergeCell ref="B24:C24"/>
    <mergeCell ref="B25:C25"/>
    <mergeCell ref="B26:C26"/>
  </mergeCells>
  <conditionalFormatting sqref="A1:A7">
    <cfRule type="cellIs" dxfId="17" priority="15" operator="equal">
      <formula>0</formula>
    </cfRule>
  </conditionalFormatting>
  <conditionalFormatting sqref="B1 B3:B7">
    <cfRule type="cellIs" dxfId="16" priority="13" operator="equal">
      <formula>0</formula>
    </cfRule>
  </conditionalFormatting>
  <conditionalFormatting sqref="D1:J1 E2:J2">
    <cfRule type="cellIs" dxfId="15" priority="12" operator="equal">
      <formula>0</formula>
    </cfRule>
  </conditionalFormatting>
  <conditionalFormatting sqref="A21:A28 A11:A18">
    <cfRule type="cellIs" dxfId="14" priority="11" operator="equal">
      <formula>0</formula>
    </cfRule>
  </conditionalFormatting>
  <conditionalFormatting sqref="A10">
    <cfRule type="cellIs" dxfId="13" priority="10" operator="equal">
      <formula>0</formula>
    </cfRule>
  </conditionalFormatting>
  <conditionalFormatting sqref="A20">
    <cfRule type="cellIs" dxfId="12" priority="9" operator="equal">
      <formula>0</formula>
    </cfRule>
  </conditionalFormatting>
  <conditionalFormatting sqref="B17:C18 B11:C13">
    <cfRule type="cellIs" dxfId="11" priority="8" operator="equal">
      <formula>0</formula>
    </cfRule>
  </conditionalFormatting>
  <conditionalFormatting sqref="B14:C15">
    <cfRule type="cellIs" dxfId="10" priority="7" operator="equal">
      <formula>0</formula>
    </cfRule>
  </conditionalFormatting>
  <conditionalFormatting sqref="B16:C16">
    <cfRule type="cellIs" dxfId="9" priority="6" operator="equal">
      <formula>0</formula>
    </cfRule>
  </conditionalFormatting>
  <conditionalFormatting sqref="B26">
    <cfRule type="cellIs" dxfId="8" priority="5" operator="equal">
      <formula>0</formula>
    </cfRule>
  </conditionalFormatting>
  <conditionalFormatting sqref="B24:B25">
    <cfRule type="cellIs" dxfId="7" priority="4" operator="equal">
      <formula>0</formula>
    </cfRule>
  </conditionalFormatting>
  <conditionalFormatting sqref="B21:B23 B27:B28">
    <cfRule type="cellIs" dxfId="6" priority="3" operator="equal">
      <formula>0</formula>
    </cfRule>
  </conditionalFormatting>
  <conditionalFormatting sqref="D2">
    <cfRule type="cellIs" dxfId="5" priority="2" operator="equal">
      <formula>0</formula>
    </cfRule>
  </conditionalFormatting>
  <dataValidations count="1">
    <dataValidation type="list" allowBlank="1" showInputMessage="1" showErrorMessage="1" sqref="B13:C13 B23:C23">
      <formula1>"Value, Source"</formula1>
    </dataValidation>
  </dataValidations>
  <pageMargins left="0.7" right="0.7" top="0.75" bottom="0.75" header="0.3" footer="0.3"/>
  <pageSetup paperSize="17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22532" r:id="rId4" name="CommandButton2">
          <controlPr defaultSize="0" autoLine="0" r:id="rId5">
            <anchor moveWithCells="1">
              <from>
                <xdr:col>3</xdr:col>
                <xdr:colOff>9525</xdr:colOff>
                <xdr:row>7</xdr:row>
                <xdr:rowOff>28575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32" r:id="rId4" name="CommandButton2"/>
      </mc:Fallback>
    </mc:AlternateContent>
    <mc:AlternateContent xmlns:mc="http://schemas.openxmlformats.org/markup-compatibility/2006">
      <mc:Choice Requires="x14">
        <control shapeId="22531" r:id="rId6" name="CommandButton1">
          <controlPr defaultSize="0" autoLine="0" r:id="rId7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9525</xdr:colOff>
                <xdr:row>7</xdr:row>
                <xdr:rowOff>19050</xdr:rowOff>
              </to>
            </anchor>
          </controlPr>
        </control>
      </mc:Choice>
      <mc:Fallback>
        <control shapeId="22531" r:id="rId6" name="CommandButton1"/>
      </mc:Fallback>
    </mc:AlternateContent>
    <mc:AlternateContent xmlns:mc="http://schemas.openxmlformats.org/markup-compatibility/2006">
      <mc:Choice Requires="x14">
        <control shapeId="22530" r:id="rId8" name="Best_Fits">
          <controlPr autoLine="0" r:id="rId9">
            <anchor moveWithCells="1">
              <from>
                <xdr:col>3</xdr:col>
                <xdr:colOff>9525</xdr:colOff>
                <xdr:row>2</xdr:row>
                <xdr:rowOff>28575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22530" r:id="rId8" name="Best_Fits"/>
      </mc:Fallback>
    </mc:AlternateContent>
    <mc:AlternateContent xmlns:mc="http://schemas.openxmlformats.org/markup-compatibility/2006">
      <mc:Choice Requires="x14">
        <control shapeId="22533" r:id="rId10" name="Linear">
          <controlPr defaultSize="0" autoLine="0" r:id="rId11">
            <anchor moveWithCells="1">
              <from>
                <xdr:col>4</xdr:col>
                <xdr:colOff>0</xdr:colOff>
                <xdr:row>2</xdr:row>
                <xdr:rowOff>28575</xdr:rowOff>
              </from>
              <to>
                <xdr:col>5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22533" r:id="rId10" name="Linear"/>
      </mc:Fallback>
    </mc:AlternateContent>
    <mc:AlternateContent xmlns:mc="http://schemas.openxmlformats.org/markup-compatibility/2006">
      <mc:Choice Requires="x14">
        <control shapeId="22534" r:id="rId12" name="Quadratic">
          <controlPr defaultSize="0" autoLine="0" r:id="rId13">
            <anchor moveWithCells="1">
              <from>
                <xdr:col>5</xdr:col>
                <xdr:colOff>9525</xdr:colOff>
                <xdr:row>2</xdr:row>
                <xdr:rowOff>28575</xdr:rowOff>
              </from>
              <to>
                <xdr:col>6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22534" r:id="rId12" name="Quadratic"/>
      </mc:Fallback>
    </mc:AlternateContent>
    <mc:AlternateContent xmlns:mc="http://schemas.openxmlformats.org/markup-compatibility/2006">
      <mc:Choice Requires="x14">
        <control shapeId="22535" r:id="rId14" name="Cubic">
          <controlPr defaultSize="0" autoLine="0" r:id="rId15">
            <anchor moveWithCells="1">
              <from>
                <xdr:col>6</xdr:col>
                <xdr:colOff>19050</xdr:colOff>
                <xdr:row>2</xdr:row>
                <xdr:rowOff>28575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22535" r:id="rId14" name="Cubic"/>
      </mc:Fallback>
    </mc:AlternateContent>
    <mc:AlternateContent xmlns:mc="http://schemas.openxmlformats.org/markup-compatibility/2006">
      <mc:Choice Requires="x14">
        <control shapeId="22536" r:id="rId16" name="Logarithmic">
          <controlPr defaultSize="0" autoLine="0" r:id="rId17">
            <anchor moveWithCells="1">
              <from>
                <xdr:col>7</xdr:col>
                <xdr:colOff>9525</xdr:colOff>
                <xdr:row>2</xdr:row>
                <xdr:rowOff>28575</xdr:rowOff>
              </from>
              <to>
                <xdr:col>8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22536" r:id="rId16" name="Logarithmic"/>
      </mc:Fallback>
    </mc:AlternateContent>
    <mc:AlternateContent xmlns:mc="http://schemas.openxmlformats.org/markup-compatibility/2006">
      <mc:Choice Requires="x14">
        <control shapeId="22537" r:id="rId18" name="Exponential">
          <controlPr defaultSize="0" autoLine="0" r:id="rId19">
            <anchor moveWithCells="1">
              <from>
                <xdr:col>8</xdr:col>
                <xdr:colOff>9525</xdr:colOff>
                <xdr:row>2</xdr:row>
                <xdr:rowOff>28575</xdr:rowOff>
              </from>
              <to>
                <xdr:col>9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22537" r:id="rId18" name="Exponential"/>
      </mc:Fallback>
    </mc:AlternateContent>
    <mc:AlternateContent xmlns:mc="http://schemas.openxmlformats.org/markup-compatibility/2006">
      <mc:Choice Requires="x14">
        <control shapeId="22538" r:id="rId20" name="Power">
          <controlPr defaultSize="0" autoLine="0" r:id="rId21">
            <anchor moveWithCells="1">
              <from>
                <xdr:col>9</xdr:col>
                <xdr:colOff>9525</xdr:colOff>
                <xdr:row>2</xdr:row>
                <xdr:rowOff>28575</xdr:rowOff>
              </from>
              <to>
                <xdr:col>10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22538" r:id="rId20" name="Power"/>
      </mc:Fallback>
    </mc:AlternateContent>
    <mc:AlternateContent xmlns:mc="http://schemas.openxmlformats.org/markup-compatibility/2006">
      <mc:Choice Requires="x14">
        <control shapeId="22539" r:id="rId22" name="TwoIndependent">
          <controlPr defaultSize="0" autoLine="0" r:id="rId23">
            <anchor moveWithCells="1">
              <from>
                <xdr:col>3</xdr:col>
                <xdr:colOff>28575</xdr:colOff>
                <xdr:row>12</xdr:row>
                <xdr:rowOff>19050</xdr:rowOff>
              </from>
              <to>
                <xdr:col>4</xdr:col>
                <xdr:colOff>0</xdr:colOff>
                <xdr:row>13</xdr:row>
                <xdr:rowOff>228600</xdr:rowOff>
              </to>
            </anchor>
          </controlPr>
        </control>
      </mc:Choice>
      <mc:Fallback>
        <control shapeId="22539" r:id="rId22" name="TwoIndependent"/>
      </mc:Fallback>
    </mc:AlternateContent>
    <mc:AlternateContent xmlns:mc="http://schemas.openxmlformats.org/markup-compatibility/2006">
      <mc:Choice Requires="x14">
        <control shapeId="22540" r:id="rId24" name="OneIndependent">
          <controlPr defaultSize="0" autoLine="0" r:id="rId25">
            <anchor moveWithCells="1">
              <from>
                <xdr:col>3</xdr:col>
                <xdr:colOff>19050</xdr:colOff>
                <xdr:row>22</xdr:row>
                <xdr:rowOff>19050</xdr:rowOff>
              </from>
              <to>
                <xdr:col>4</xdr:col>
                <xdr:colOff>9525</xdr:colOff>
                <xdr:row>23</xdr:row>
                <xdr:rowOff>228600</xdr:rowOff>
              </to>
            </anchor>
          </controlPr>
        </control>
      </mc:Choice>
      <mc:Fallback>
        <control shapeId="22540" r:id="rId24" name="OneIndependent"/>
      </mc:Fallback>
    </mc:AlternateContent>
    <mc:AlternateContent xmlns:mc="http://schemas.openxmlformats.org/markup-compatibility/2006">
      <mc:Choice Requires="x14">
        <control shapeId="22541" r:id="rId26" name="ClearData">
          <controlPr defaultSize="0" autoLine="0" r:id="rId27">
            <anchor moveWithCells="1">
              <from>
                <xdr:col>7</xdr:col>
                <xdr:colOff>19050</xdr:colOff>
                <xdr:row>5</xdr:row>
                <xdr:rowOff>9525</xdr:rowOff>
              </from>
              <to>
                <xdr:col>8</xdr:col>
                <xdr:colOff>9525</xdr:colOff>
                <xdr:row>7</xdr:row>
                <xdr:rowOff>28575</xdr:rowOff>
              </to>
            </anchor>
          </controlPr>
        </control>
      </mc:Choice>
      <mc:Fallback>
        <control shapeId="22541" r:id="rId26" name="ClearData"/>
      </mc:Fallback>
    </mc:AlternateContent>
    <mc:AlternateContent xmlns:mc="http://schemas.openxmlformats.org/markup-compatibility/2006">
      <mc:Choice Requires="x14">
        <control shapeId="22542" r:id="rId28" name="TableVariableInput">
          <controlPr defaultSize="0" autoLine="0" r:id="rId29">
            <anchor moveWithCells="1">
              <from>
                <xdr:col>6</xdr:col>
                <xdr:colOff>9525</xdr:colOff>
                <xdr:row>5</xdr:row>
                <xdr:rowOff>9525</xdr:rowOff>
              </from>
              <to>
                <xdr:col>7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22542" r:id="rId28" name="TableVariableInput"/>
      </mc:Fallback>
    </mc:AlternateContent>
    <mc:AlternateContent xmlns:mc="http://schemas.openxmlformats.org/markup-compatibility/2006">
      <mc:Choice Requires="x14">
        <control shapeId="22543" r:id="rId30" name="GraphAll">
          <controlPr defaultSize="0" autoLine="0" r:id="rId31">
            <anchor moveWithCells="1">
              <from>
                <xdr:col>4</xdr:col>
                <xdr:colOff>1371600</xdr:colOff>
                <xdr:row>5</xdr:row>
                <xdr:rowOff>9525</xdr:rowOff>
              </from>
              <to>
                <xdr:col>5</xdr:col>
                <xdr:colOff>1362075</xdr:colOff>
                <xdr:row>7</xdr:row>
                <xdr:rowOff>28575</xdr:rowOff>
              </to>
            </anchor>
          </controlPr>
        </control>
      </mc:Choice>
      <mc:Fallback>
        <control shapeId="22543" r:id="rId30" name="Grap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2875"/>
  <sheetViews>
    <sheetView zoomScale="85" zoomScaleNormal="85" workbookViewId="0">
      <selection activeCell="J8" sqref="J8"/>
    </sheetView>
  </sheetViews>
  <sheetFormatPr defaultRowHeight="15" customHeight="1" x14ac:dyDescent="0.25"/>
  <cols>
    <col min="1" max="2" width="15.140625" style="7" bestFit="1" customWidth="1"/>
    <col min="3" max="5" width="9.140625" customWidth="1"/>
    <col min="7" max="7" width="15.5703125" bestFit="1" customWidth="1"/>
    <col min="8" max="8" width="9.85546875" customWidth="1"/>
    <col min="9" max="9" width="9.7109375" customWidth="1"/>
    <col min="14" max="14" width="13.140625" bestFit="1" customWidth="1"/>
  </cols>
  <sheetData>
    <row r="1" spans="1:15" ht="15" customHeight="1" thickBot="1" x14ac:dyDescent="0.3">
      <c r="A1" s="1" t="s">
        <v>47</v>
      </c>
      <c r="B1" s="1" t="s">
        <v>46</v>
      </c>
      <c r="C1" s="1"/>
    </row>
    <row r="2" spans="1:15" ht="15" customHeight="1" thickTop="1" thickBot="1" x14ac:dyDescent="0.3">
      <c r="A2">
        <v>263.61544799804687</v>
      </c>
      <c r="B2">
        <v>216.46134948730469</v>
      </c>
      <c r="F2" s="27" t="s">
        <v>30</v>
      </c>
      <c r="G2" s="28"/>
      <c r="H2" s="16">
        <v>20</v>
      </c>
      <c r="N2" s="16" t="s">
        <v>31</v>
      </c>
      <c r="O2" s="13">
        <v>10</v>
      </c>
    </row>
    <row r="3" spans="1:15" ht="15" customHeight="1" thickTop="1" thickBot="1" x14ac:dyDescent="0.3">
      <c r="A3">
        <v>261.68359375</v>
      </c>
      <c r="B3">
        <v>212.42520141601562</v>
      </c>
      <c r="F3" s="27" t="s">
        <v>11</v>
      </c>
      <c r="G3" s="28"/>
      <c r="H3" s="16">
        <v>2874</v>
      </c>
    </row>
    <row r="4" spans="1:15" ht="15" customHeight="1" thickTop="1" thickBot="1" x14ac:dyDescent="0.3">
      <c r="A4">
        <v>259.88998413085937</v>
      </c>
      <c r="B4">
        <v>210.51744079589844</v>
      </c>
    </row>
    <row r="5" spans="1:15" ht="15" customHeight="1" thickTop="1" thickBot="1" x14ac:dyDescent="0.3">
      <c r="A5">
        <v>258.42691040039062</v>
      </c>
      <c r="B5">
        <v>216.08601379394531</v>
      </c>
      <c r="F5" s="16" t="s">
        <v>20</v>
      </c>
      <c r="G5" s="16" t="s">
        <v>60</v>
      </c>
      <c r="H5" s="16" t="s">
        <v>21</v>
      </c>
      <c r="I5" s="16" t="s">
        <v>22</v>
      </c>
    </row>
    <row r="6" spans="1:15" ht="15" customHeight="1" thickTop="1" thickBot="1" x14ac:dyDescent="0.3">
      <c r="A6">
        <v>266.25091552734375</v>
      </c>
      <c r="B6">
        <v>217.51570129394531</v>
      </c>
      <c r="F6" s="16">
        <v>0</v>
      </c>
      <c r="G6" s="16">
        <f ca="1">CORREL(OFFSET(Autocorrelate!xrange, 0, 0, n_data_points - $F6), OFFSET(Autocorrelate!xrange,$F6,0,n_data_points - $F6))</f>
        <v>1.0000000000000002</v>
      </c>
      <c r="H6" s="16">
        <f t="shared" ref="H6:H26" si="0">2/SQRT(n_data_points)</f>
        <v>3.7306681012331831E-2</v>
      </c>
      <c r="I6" s="16">
        <f t="shared" ref="I6:I26" si="1">-2/SQRT(n_data_points)</f>
        <v>-3.7306681012331831E-2</v>
      </c>
    </row>
    <row r="7" spans="1:15" ht="15" customHeight="1" thickTop="1" thickBot="1" x14ac:dyDescent="0.3">
      <c r="A7">
        <v>266.10385131835937</v>
      </c>
      <c r="B7">
        <v>219.30718994140625</v>
      </c>
      <c r="F7" s="16">
        <f>F6+1</f>
        <v>1</v>
      </c>
      <c r="G7" s="16">
        <f ca="1">CORREL(OFFSET(Autocorrelate!xrange, 0, 0, n_data_points - $F7), OFFSET(Autocorrelate!xrange,$F7,0,n_data_points - $F7))</f>
        <v>0.97355423855179113</v>
      </c>
      <c r="H7" s="16">
        <f t="shared" si="0"/>
        <v>3.7306681012331831E-2</v>
      </c>
      <c r="I7" s="16">
        <f t="shared" si="1"/>
        <v>-3.7306681012331831E-2</v>
      </c>
    </row>
    <row r="8" spans="1:15" ht="15" customHeight="1" thickTop="1" thickBot="1" x14ac:dyDescent="0.3">
      <c r="A8">
        <v>263.58340454101562</v>
      </c>
      <c r="B8">
        <v>210.9044189453125</v>
      </c>
      <c r="F8" s="16">
        <f t="shared" ref="F8:F26" si="2">F7+1</f>
        <v>2</v>
      </c>
      <c r="G8" s="16">
        <f ca="1">CORREL(OFFSET(Autocorrelate!xrange, 0, 0, n_data_points - $F8), OFFSET(Autocorrelate!xrange,$F8,0,n_data_points - $F8))</f>
        <v>0.91981948614256448</v>
      </c>
      <c r="H8" s="16">
        <f t="shared" si="0"/>
        <v>3.7306681012331831E-2</v>
      </c>
      <c r="I8" s="16">
        <f t="shared" si="1"/>
        <v>-3.7306681012331831E-2</v>
      </c>
    </row>
    <row r="9" spans="1:15" ht="15" customHeight="1" thickTop="1" thickBot="1" x14ac:dyDescent="0.3">
      <c r="A9">
        <v>262.93087768554687</v>
      </c>
      <c r="B9">
        <v>215.23518371582031</v>
      </c>
      <c r="F9" s="16">
        <f t="shared" si="2"/>
        <v>3</v>
      </c>
      <c r="G9" s="16">
        <f ca="1">CORREL(OFFSET(Autocorrelate!xrange, 0, 0, n_data_points - $F9), OFFSET(Autocorrelate!xrange,$F9,0,n_data_points - $F9))</f>
        <v>0.86278434514879443</v>
      </c>
      <c r="H9" s="16">
        <f t="shared" si="0"/>
        <v>3.7306681012331831E-2</v>
      </c>
      <c r="I9" s="16">
        <f t="shared" si="1"/>
        <v>-3.7306681012331831E-2</v>
      </c>
    </row>
    <row r="10" spans="1:15" ht="15" customHeight="1" thickTop="1" thickBot="1" x14ac:dyDescent="0.3">
      <c r="A10">
        <v>268.31210327148437</v>
      </c>
      <c r="B10">
        <v>216.10693359375</v>
      </c>
      <c r="F10" s="16">
        <f t="shared" si="2"/>
        <v>4</v>
      </c>
      <c r="G10" s="16">
        <f ca="1">CORREL(OFFSET(Autocorrelate!xrange, 0, 0, n_data_points - $F10), OFFSET(Autocorrelate!xrange,$F10,0,n_data_points - $F10))</f>
        <v>0.81222884551037233</v>
      </c>
      <c r="H10" s="16">
        <f t="shared" si="0"/>
        <v>3.7306681012331831E-2</v>
      </c>
      <c r="I10" s="16">
        <f t="shared" si="1"/>
        <v>-3.7306681012331831E-2</v>
      </c>
    </row>
    <row r="11" spans="1:15" ht="15" customHeight="1" thickTop="1" thickBot="1" x14ac:dyDescent="0.3">
      <c r="A11">
        <v>269.47653198242187</v>
      </c>
      <c r="B11">
        <v>211.60736083984375</v>
      </c>
      <c r="F11" s="16">
        <f t="shared" si="2"/>
        <v>5</v>
      </c>
      <c r="G11" s="16">
        <f ca="1">CORREL(OFFSET(Autocorrelate!xrange, 0, 0, n_data_points - $F11), OFFSET(Autocorrelate!xrange,$F11,0,n_data_points - $F11))</f>
        <v>0.77227718888551811</v>
      </c>
      <c r="H11" s="16">
        <f t="shared" si="0"/>
        <v>3.7306681012331831E-2</v>
      </c>
      <c r="I11" s="16">
        <f t="shared" si="1"/>
        <v>-3.7306681012331831E-2</v>
      </c>
    </row>
    <row r="12" spans="1:15" ht="15" customHeight="1" thickTop="1" thickBot="1" x14ac:dyDescent="0.3">
      <c r="A12">
        <v>268.61907958984375</v>
      </c>
      <c r="B12">
        <v>212.02052307128906</v>
      </c>
      <c r="F12" s="16">
        <f t="shared" si="2"/>
        <v>6</v>
      </c>
      <c r="G12" s="16">
        <f ca="1">CORREL(OFFSET(Autocorrelate!xrange, 0, 0, n_data_points - $F12), OFFSET(Autocorrelate!xrange,$F12,0,n_data_points - $F12))</f>
        <v>0.74369923813878658</v>
      </c>
      <c r="H12" s="16">
        <f t="shared" si="0"/>
        <v>3.7306681012331831E-2</v>
      </c>
      <c r="I12" s="16">
        <f t="shared" si="1"/>
        <v>-3.7306681012331831E-2</v>
      </c>
    </row>
    <row r="13" spans="1:15" ht="15" customHeight="1" thickTop="1" thickBot="1" x14ac:dyDescent="0.3">
      <c r="A13">
        <v>259.26373291015625</v>
      </c>
      <c r="B13">
        <v>254.15290832519531</v>
      </c>
      <c r="F13" s="16">
        <f t="shared" si="2"/>
        <v>7</v>
      </c>
      <c r="G13" s="16">
        <f ca="1">CORREL(OFFSET(Autocorrelate!xrange, 0, 0, n_data_points - $F13), OFFSET(Autocorrelate!xrange,$F13,0,n_data_points - $F13))</f>
        <v>0.72508748805972778</v>
      </c>
      <c r="H13" s="16">
        <f t="shared" si="0"/>
        <v>3.7306681012331831E-2</v>
      </c>
      <c r="I13" s="16">
        <f t="shared" si="1"/>
        <v>-3.7306681012331831E-2</v>
      </c>
    </row>
    <row r="14" spans="1:15" ht="15" customHeight="1" thickTop="1" thickBot="1" x14ac:dyDescent="0.3">
      <c r="A14">
        <v>265.06610107421875</v>
      </c>
      <c r="B14">
        <v>329.90206909179687</v>
      </c>
      <c r="F14" s="16">
        <f t="shared" si="2"/>
        <v>8</v>
      </c>
      <c r="G14" s="16">
        <f ca="1">CORREL(OFFSET(Autocorrelate!xrange, 0, 0, n_data_points - $F14), OFFSET(Autocorrelate!xrange,$F14,0,n_data_points - $F14))</f>
        <v>0.71550393932441358</v>
      </c>
      <c r="H14" s="16">
        <f t="shared" si="0"/>
        <v>3.7306681012331831E-2</v>
      </c>
      <c r="I14" s="16">
        <f t="shared" si="1"/>
        <v>-3.7306681012331831E-2</v>
      </c>
    </row>
    <row r="15" spans="1:15" ht="15" customHeight="1" thickTop="1" thickBot="1" x14ac:dyDescent="0.3">
      <c r="A15">
        <v>263.23348999023437</v>
      </c>
      <c r="B15">
        <v>311.1649169921875</v>
      </c>
      <c r="F15" s="16">
        <f t="shared" si="2"/>
        <v>9</v>
      </c>
      <c r="G15" s="16">
        <f ca="1">CORREL(OFFSET(Autocorrelate!xrange, 0, 0, n_data_points - $F15), OFFSET(Autocorrelate!xrange,$F15,0,n_data_points - $F15))</f>
        <v>0.71511526690220839</v>
      </c>
      <c r="H15" s="16">
        <f t="shared" si="0"/>
        <v>3.7306681012331831E-2</v>
      </c>
      <c r="I15" s="16">
        <f t="shared" si="1"/>
        <v>-3.7306681012331831E-2</v>
      </c>
    </row>
    <row r="16" spans="1:15" ht="15" customHeight="1" thickTop="1" thickBot="1" x14ac:dyDescent="0.3">
      <c r="A16">
        <v>258.28341674804688</v>
      </c>
      <c r="B16">
        <v>284.44842529296875</v>
      </c>
      <c r="F16" s="16">
        <f t="shared" si="2"/>
        <v>10</v>
      </c>
      <c r="G16" s="16">
        <f ca="1">CORREL(OFFSET(Autocorrelate!xrange, 0, 0, n_data_points - $F16), OFFSET(Autocorrelate!xrange,$F16,0,n_data_points - $F16))</f>
        <v>0.72110577197769132</v>
      </c>
      <c r="H16" s="16">
        <f t="shared" si="0"/>
        <v>3.7306681012331831E-2</v>
      </c>
      <c r="I16" s="16">
        <f t="shared" si="1"/>
        <v>-3.7306681012331831E-2</v>
      </c>
    </row>
    <row r="17" spans="1:9" ht="15" customHeight="1" thickTop="1" thickBot="1" x14ac:dyDescent="0.3">
      <c r="A17">
        <v>259.47650146484375</v>
      </c>
      <c r="B17">
        <v>242.28244018554687</v>
      </c>
      <c r="F17" s="16">
        <f t="shared" si="2"/>
        <v>11</v>
      </c>
      <c r="G17" s="16">
        <f ca="1">CORREL(OFFSET(Autocorrelate!xrange, 0, 0, n_data_points - $F17), OFFSET(Autocorrelate!xrange,$F17,0,n_data_points - $F17))</f>
        <v>0.72613754860374646</v>
      </c>
      <c r="H17" s="16">
        <f t="shared" si="0"/>
        <v>3.7306681012331831E-2</v>
      </c>
      <c r="I17" s="16">
        <f t="shared" si="1"/>
        <v>-3.7306681012331831E-2</v>
      </c>
    </row>
    <row r="18" spans="1:9" ht="15" customHeight="1" thickTop="1" thickBot="1" x14ac:dyDescent="0.3">
      <c r="A18">
        <v>314.07455444335937</v>
      </c>
      <c r="B18">
        <v>216.11952209472656</v>
      </c>
      <c r="F18" s="16">
        <f t="shared" si="2"/>
        <v>12</v>
      </c>
      <c r="G18" s="16">
        <f ca="1">CORREL(OFFSET(Autocorrelate!xrange, 0, 0, n_data_points - $F18), OFFSET(Autocorrelate!xrange,$F18,0,n_data_points - $F18))</f>
        <v>0.72447935607918801</v>
      </c>
      <c r="H18" s="16">
        <f t="shared" si="0"/>
        <v>3.7306681012331831E-2</v>
      </c>
      <c r="I18" s="16">
        <f t="shared" si="1"/>
        <v>-3.7306681012331831E-2</v>
      </c>
    </row>
    <row r="19" spans="1:9" ht="15" customHeight="1" thickTop="1" thickBot="1" x14ac:dyDescent="0.3">
      <c r="A19">
        <v>394.88772583007812</v>
      </c>
      <c r="B19">
        <v>211.11592102050781</v>
      </c>
      <c r="F19" s="16">
        <f t="shared" si="2"/>
        <v>13</v>
      </c>
      <c r="G19" s="16">
        <f ca="1">CORREL(OFFSET(Autocorrelate!xrange, 0, 0, n_data_points - $F19), OFFSET(Autocorrelate!xrange,$F19,0,n_data_points - $F19))</f>
        <v>0.71539059938753358</v>
      </c>
      <c r="H19" s="16">
        <f t="shared" si="0"/>
        <v>3.7306681012331831E-2</v>
      </c>
      <c r="I19" s="16">
        <f t="shared" si="1"/>
        <v>-3.7306681012331831E-2</v>
      </c>
    </row>
    <row r="20" spans="1:9" ht="15" customHeight="1" thickTop="1" thickBot="1" x14ac:dyDescent="0.3">
      <c r="A20">
        <v>364.45144653320312</v>
      </c>
      <c r="B20">
        <v>217.87307739257812</v>
      </c>
      <c r="F20" s="16">
        <f t="shared" si="2"/>
        <v>14</v>
      </c>
      <c r="G20" s="16">
        <f ca="1">CORREL(OFFSET(Autocorrelate!xrange, 0, 0, n_data_points - $F20), OFFSET(Autocorrelate!xrange,$F20,0,n_data_points - $F20))</f>
        <v>0.70017256069893086</v>
      </c>
      <c r="H20" s="16">
        <f t="shared" si="0"/>
        <v>3.7306681012331831E-2</v>
      </c>
      <c r="I20" s="16">
        <f t="shared" si="1"/>
        <v>-3.7306681012331831E-2</v>
      </c>
    </row>
    <row r="21" spans="1:9" ht="15" customHeight="1" thickTop="1" thickBot="1" x14ac:dyDescent="0.3">
      <c r="A21">
        <v>334.36700439453125</v>
      </c>
      <c r="B21">
        <v>215.82504272460937</v>
      </c>
      <c r="F21" s="16">
        <f t="shared" si="2"/>
        <v>15</v>
      </c>
      <c r="G21" s="16">
        <f ca="1">CORREL(OFFSET(Autocorrelate!xrange, 0, 0, n_data_points - $F21), OFFSET(Autocorrelate!xrange,$F21,0,n_data_points - $F21))</f>
        <v>0.6841344029371268</v>
      </c>
      <c r="H21" s="16">
        <f t="shared" si="0"/>
        <v>3.7306681012331831E-2</v>
      </c>
      <c r="I21" s="16">
        <f t="shared" si="1"/>
        <v>-3.7306681012331831E-2</v>
      </c>
    </row>
    <row r="22" spans="1:9" ht="15" customHeight="1" thickTop="1" thickBot="1" x14ac:dyDescent="0.3">
      <c r="A22">
        <v>286.94851684570312</v>
      </c>
      <c r="B22">
        <v>213.74179077148437</v>
      </c>
      <c r="F22" s="16">
        <f t="shared" si="2"/>
        <v>16</v>
      </c>
      <c r="G22" s="16">
        <f ca="1">CORREL(OFFSET(Autocorrelate!xrange, 0, 0, n_data_points - $F22), OFFSET(Autocorrelate!xrange,$F22,0,n_data_points - $F22))</f>
        <v>0.674340079797487</v>
      </c>
      <c r="H22" s="16">
        <f t="shared" si="0"/>
        <v>3.7306681012331831E-2</v>
      </c>
      <c r="I22" s="16">
        <f t="shared" si="1"/>
        <v>-3.7306681012331831E-2</v>
      </c>
    </row>
    <row r="23" spans="1:9" ht="15" customHeight="1" thickTop="1" thickBot="1" x14ac:dyDescent="0.3">
      <c r="A23">
        <v>262.61187744140625</v>
      </c>
      <c r="B23">
        <v>214.20223999023437</v>
      </c>
      <c r="F23" s="16">
        <f t="shared" si="2"/>
        <v>17</v>
      </c>
      <c r="G23" s="16">
        <f ca="1">CORREL(OFFSET(Autocorrelate!xrange, 0, 0, n_data_points - $F23), OFFSET(Autocorrelate!xrange,$F23,0,n_data_points - $F23))</f>
        <v>0.67419165793243319</v>
      </c>
      <c r="H23" s="16">
        <f t="shared" si="0"/>
        <v>3.7306681012331831E-2</v>
      </c>
      <c r="I23" s="16">
        <f t="shared" si="1"/>
        <v>-3.7306681012331831E-2</v>
      </c>
    </row>
    <row r="24" spans="1:9" ht="15" customHeight="1" thickTop="1" thickBot="1" x14ac:dyDescent="0.3">
      <c r="A24">
        <v>261.28872680664062</v>
      </c>
      <c r="B24">
        <v>212.896728515625</v>
      </c>
      <c r="F24" s="16">
        <f t="shared" si="2"/>
        <v>18</v>
      </c>
      <c r="G24" s="16">
        <f ca="1">CORREL(OFFSET(Autocorrelate!xrange, 0, 0, n_data_points - $F24), OFFSET(Autocorrelate!xrange,$F24,0,n_data_points - $F24))</f>
        <v>0.68199716181752612</v>
      </c>
      <c r="H24" s="16">
        <f t="shared" si="0"/>
        <v>3.7306681012331831E-2</v>
      </c>
      <c r="I24" s="16">
        <f t="shared" si="1"/>
        <v>-3.7306681012331831E-2</v>
      </c>
    </row>
    <row r="25" spans="1:9" ht="15" customHeight="1" thickTop="1" thickBot="1" x14ac:dyDescent="0.3">
      <c r="A25">
        <v>267.939453125</v>
      </c>
      <c r="B25">
        <v>220.13674926757812</v>
      </c>
      <c r="F25" s="16">
        <f t="shared" si="2"/>
        <v>19</v>
      </c>
      <c r="G25" s="16">
        <f ca="1">CORREL(OFFSET(Autocorrelate!xrange, 0, 0, n_data_points - $F25), OFFSET(Autocorrelate!xrange,$F25,0,n_data_points - $F25))</f>
        <v>0.69788870963385008</v>
      </c>
      <c r="H25" s="16">
        <f t="shared" si="0"/>
        <v>3.7306681012331831E-2</v>
      </c>
      <c r="I25" s="16">
        <f t="shared" si="1"/>
        <v>-3.7306681012331831E-2</v>
      </c>
    </row>
    <row r="26" spans="1:9" ht="15" customHeight="1" thickTop="1" thickBot="1" x14ac:dyDescent="0.3">
      <c r="A26">
        <v>261.91888427734375</v>
      </c>
      <c r="B26">
        <v>228.39837646484375</v>
      </c>
      <c r="F26" s="16">
        <f t="shared" si="2"/>
        <v>20</v>
      </c>
      <c r="G26" s="16">
        <f ca="1">CORREL(OFFSET(Autocorrelate!xrange, 0, 0, n_data_points - $F26), OFFSET(Autocorrelate!xrange,$F26,0,n_data_points - $F26))</f>
        <v>0.72225153714302104</v>
      </c>
      <c r="H26" s="16">
        <f t="shared" si="0"/>
        <v>3.7306681012331831E-2</v>
      </c>
      <c r="I26" s="16">
        <f t="shared" si="1"/>
        <v>-3.7306681012331831E-2</v>
      </c>
    </row>
    <row r="27" spans="1:9" ht="15" customHeight="1" thickTop="1" x14ac:dyDescent="0.25">
      <c r="A27">
        <v>260.98153686523437</v>
      </c>
      <c r="B27">
        <v>264.581298828125</v>
      </c>
    </row>
    <row r="28" spans="1:9" ht="15" customHeight="1" x14ac:dyDescent="0.25">
      <c r="A28">
        <v>261.5242919921875</v>
      </c>
      <c r="B28">
        <v>327.2547607421875</v>
      </c>
    </row>
    <row r="29" spans="1:9" ht="15" customHeight="1" x14ac:dyDescent="0.25">
      <c r="A29">
        <v>260.75320434570312</v>
      </c>
      <c r="B29">
        <v>332.90390014648437</v>
      </c>
    </row>
    <row r="30" spans="1:9" ht="15" customHeight="1" x14ac:dyDescent="0.25">
      <c r="A30">
        <v>267.30758666992187</v>
      </c>
      <c r="B30">
        <v>352.86471557617187</v>
      </c>
    </row>
    <row r="31" spans="1:9" ht="15" customHeight="1" x14ac:dyDescent="0.25">
      <c r="A31">
        <v>276.65948486328125</v>
      </c>
      <c r="B31">
        <v>379.80453491210937</v>
      </c>
    </row>
    <row r="32" spans="1:9" ht="15" customHeight="1" x14ac:dyDescent="0.25">
      <c r="A32">
        <v>324.15713500976562</v>
      </c>
      <c r="B32">
        <v>370.58486938476562</v>
      </c>
    </row>
    <row r="33" spans="1:2" ht="15" customHeight="1" x14ac:dyDescent="0.25">
      <c r="A33">
        <v>387.85940551757813</v>
      </c>
      <c r="B33">
        <v>348.22030639648437</v>
      </c>
    </row>
    <row r="34" spans="1:2" ht="15" customHeight="1" x14ac:dyDescent="0.25">
      <c r="A34">
        <v>391.68203735351562</v>
      </c>
      <c r="B34">
        <v>298.58807373046875</v>
      </c>
    </row>
    <row r="35" spans="1:2" ht="15" customHeight="1" x14ac:dyDescent="0.25">
      <c r="A35">
        <v>415.779296875</v>
      </c>
      <c r="B35">
        <v>257.3082275390625</v>
      </c>
    </row>
    <row r="36" spans="1:2" ht="15" customHeight="1" x14ac:dyDescent="0.25">
      <c r="A36">
        <v>446.70327758789063</v>
      </c>
      <c r="B36">
        <v>268.33648681640625</v>
      </c>
    </row>
    <row r="37" spans="1:2" ht="15" customHeight="1" x14ac:dyDescent="0.25">
      <c r="A37">
        <v>431.80117797851562</v>
      </c>
      <c r="B37">
        <v>296.99810791015625</v>
      </c>
    </row>
    <row r="38" spans="1:2" ht="15" customHeight="1" x14ac:dyDescent="0.25">
      <c r="A38">
        <v>407.915283203125</v>
      </c>
      <c r="B38">
        <v>340.47750854492188</v>
      </c>
    </row>
    <row r="39" spans="1:2" ht="15" customHeight="1" x14ac:dyDescent="0.25">
      <c r="A39">
        <v>347.58294677734375</v>
      </c>
      <c r="B39">
        <v>278.10678100585937</v>
      </c>
    </row>
    <row r="40" spans="1:2" ht="15" customHeight="1" x14ac:dyDescent="0.25">
      <c r="A40">
        <v>305.6138916015625</v>
      </c>
      <c r="B40">
        <v>273.17575073242187</v>
      </c>
    </row>
    <row r="41" spans="1:2" ht="15" customHeight="1" x14ac:dyDescent="0.25">
      <c r="A41">
        <v>321.48287963867187</v>
      </c>
      <c r="B41">
        <v>264.47482299804687</v>
      </c>
    </row>
    <row r="42" spans="1:2" ht="15" customHeight="1" x14ac:dyDescent="0.25">
      <c r="A42">
        <v>354.86419677734375</v>
      </c>
      <c r="B42">
        <v>224.55815124511719</v>
      </c>
    </row>
    <row r="43" spans="1:2" ht="15" customHeight="1" x14ac:dyDescent="0.25">
      <c r="A43">
        <v>399.50820922851562</v>
      </c>
      <c r="B43">
        <v>208.39794921875</v>
      </c>
    </row>
    <row r="44" spans="1:2" ht="15" customHeight="1" x14ac:dyDescent="0.25">
      <c r="A44">
        <v>326.87744140625</v>
      </c>
      <c r="B44">
        <v>215.98426818847656</v>
      </c>
    </row>
    <row r="45" spans="1:2" ht="15" customHeight="1" x14ac:dyDescent="0.25">
      <c r="A45">
        <v>324.20657348632812</v>
      </c>
      <c r="B45">
        <v>217.55288696289062</v>
      </c>
    </row>
    <row r="46" spans="1:2" ht="15" customHeight="1" x14ac:dyDescent="0.25">
      <c r="A46">
        <v>316.19229125976562</v>
      </c>
      <c r="B46">
        <v>214.33099365234375</v>
      </c>
    </row>
    <row r="47" spans="1:2" ht="15" customHeight="1" x14ac:dyDescent="0.25">
      <c r="A47">
        <v>267.7130126953125</v>
      </c>
      <c r="B47">
        <v>213.48214721679687</v>
      </c>
    </row>
    <row r="48" spans="1:2" ht="15" customHeight="1" x14ac:dyDescent="0.25">
      <c r="A48">
        <v>259.99716186523437</v>
      </c>
      <c r="B48">
        <v>213.44149780273437</v>
      </c>
    </row>
    <row r="49" spans="1:2" ht="15" customHeight="1" x14ac:dyDescent="0.25">
      <c r="A49">
        <v>264.80645751953125</v>
      </c>
      <c r="B49">
        <v>214.65443420410156</v>
      </c>
    </row>
    <row r="50" spans="1:2" ht="15" customHeight="1" x14ac:dyDescent="0.25">
      <c r="A50">
        <v>257.23675537109375</v>
      </c>
      <c r="B50">
        <v>214.27536010742187</v>
      </c>
    </row>
    <row r="51" spans="1:2" ht="15" customHeight="1" x14ac:dyDescent="0.25">
      <c r="A51">
        <v>250.83021545410156</v>
      </c>
      <c r="B51">
        <v>211.71957397460938</v>
      </c>
    </row>
    <row r="52" spans="1:2" ht="15" customHeight="1" x14ac:dyDescent="0.25">
      <c r="A52">
        <v>253.28645324707031</v>
      </c>
      <c r="B52">
        <v>209.63330078125</v>
      </c>
    </row>
    <row r="53" spans="1:2" ht="15" customHeight="1" x14ac:dyDescent="0.25">
      <c r="A53">
        <v>255.35594177246094</v>
      </c>
      <c r="B53">
        <v>210.04327392578125</v>
      </c>
    </row>
    <row r="54" spans="1:2" ht="15" customHeight="1" x14ac:dyDescent="0.25">
      <c r="A54">
        <v>253.65025329589844</v>
      </c>
      <c r="B54">
        <v>237.21524047851562</v>
      </c>
    </row>
    <row r="55" spans="1:2" ht="15" customHeight="1" x14ac:dyDescent="0.25">
      <c r="A55">
        <v>252.48684692382813</v>
      </c>
      <c r="B55">
        <v>303.96682739257812</v>
      </c>
    </row>
    <row r="56" spans="1:2" ht="15" customHeight="1" x14ac:dyDescent="0.25">
      <c r="A56">
        <v>248.957275390625</v>
      </c>
      <c r="B56">
        <v>299.5535888671875</v>
      </c>
    </row>
    <row r="57" spans="1:2" ht="15" customHeight="1" x14ac:dyDescent="0.25">
      <c r="A57">
        <v>247.75950622558594</v>
      </c>
      <c r="B57">
        <v>267.85308837890625</v>
      </c>
    </row>
    <row r="58" spans="1:2" ht="15" customHeight="1" x14ac:dyDescent="0.25">
      <c r="A58">
        <v>251.85928344726562</v>
      </c>
      <c r="B58">
        <v>226.74624633789062</v>
      </c>
    </row>
    <row r="59" spans="1:2" ht="15" customHeight="1" x14ac:dyDescent="0.25">
      <c r="A59">
        <v>293.02047729492187</v>
      </c>
      <c r="B59">
        <v>218.31483459472656</v>
      </c>
    </row>
    <row r="60" spans="1:2" ht="15" customHeight="1" x14ac:dyDescent="0.25">
      <c r="A60">
        <v>364.61782836914063</v>
      </c>
      <c r="B60">
        <v>232.39781188964844</v>
      </c>
    </row>
    <row r="61" spans="1:2" ht="15" customHeight="1" x14ac:dyDescent="0.25">
      <c r="A61">
        <v>353.36703491210937</v>
      </c>
      <c r="B61">
        <v>252.93742370605469</v>
      </c>
    </row>
    <row r="62" spans="1:2" ht="15" customHeight="1" x14ac:dyDescent="0.25">
      <c r="A62">
        <v>316.96435546875</v>
      </c>
      <c r="B62">
        <v>299.00216674804687</v>
      </c>
    </row>
    <row r="63" spans="1:2" ht="15" customHeight="1" x14ac:dyDescent="0.25">
      <c r="A63">
        <v>268.42343139648437</v>
      </c>
      <c r="B63">
        <v>251.64532470703125</v>
      </c>
    </row>
    <row r="64" spans="1:2" ht="15" customHeight="1" x14ac:dyDescent="0.25">
      <c r="A64">
        <v>262.95440673828125</v>
      </c>
      <c r="B64">
        <v>231.64894104003906</v>
      </c>
    </row>
    <row r="65" spans="1:2" ht="15" customHeight="1" x14ac:dyDescent="0.25">
      <c r="A65">
        <v>283.512451171875</v>
      </c>
      <c r="B65">
        <v>208.51988220214844</v>
      </c>
    </row>
    <row r="66" spans="1:2" ht="15" customHeight="1" x14ac:dyDescent="0.25">
      <c r="A66">
        <v>305.58413696289062</v>
      </c>
      <c r="B66">
        <v>224.01492309570312</v>
      </c>
    </row>
    <row r="67" spans="1:2" ht="15" customHeight="1" x14ac:dyDescent="0.25">
      <c r="A67">
        <v>354.26434326171875</v>
      </c>
      <c r="B67">
        <v>223.45916748046875</v>
      </c>
    </row>
    <row r="68" spans="1:2" ht="15" customHeight="1" x14ac:dyDescent="0.25">
      <c r="A68">
        <v>295.187255859375</v>
      </c>
      <c r="B68">
        <v>224.19099426269531</v>
      </c>
    </row>
    <row r="69" spans="1:2" ht="15" customHeight="1" x14ac:dyDescent="0.25">
      <c r="A69">
        <v>280.046142578125</v>
      </c>
      <c r="B69">
        <v>209.99453735351562</v>
      </c>
    </row>
    <row r="70" spans="1:2" ht="15" customHeight="1" x14ac:dyDescent="0.25">
      <c r="A70">
        <v>258.75149536132813</v>
      </c>
      <c r="B70">
        <v>211.31355285644531</v>
      </c>
    </row>
    <row r="71" spans="1:2" ht="15" customHeight="1" x14ac:dyDescent="0.25">
      <c r="A71">
        <v>275.4114990234375</v>
      </c>
      <c r="B71">
        <v>213.89317321777344</v>
      </c>
    </row>
    <row r="72" spans="1:2" ht="15" customHeight="1" x14ac:dyDescent="0.25">
      <c r="A72">
        <v>272.47518920898437</v>
      </c>
      <c r="B72">
        <v>208.81416320800781</v>
      </c>
    </row>
    <row r="73" spans="1:2" ht="15" customHeight="1" x14ac:dyDescent="0.25">
      <c r="A73">
        <v>271.51495361328125</v>
      </c>
      <c r="B73">
        <v>216.49073791503906</v>
      </c>
    </row>
    <row r="74" spans="1:2" ht="15" customHeight="1" x14ac:dyDescent="0.25">
      <c r="A74">
        <v>256.27517700195313</v>
      </c>
      <c r="B74">
        <v>217.27592468261719</v>
      </c>
    </row>
    <row r="75" spans="1:2" ht="15" customHeight="1" x14ac:dyDescent="0.25">
      <c r="A75">
        <v>258.34036254882812</v>
      </c>
      <c r="B75">
        <v>212.16896057128906</v>
      </c>
    </row>
    <row r="76" spans="1:2" ht="15" customHeight="1" x14ac:dyDescent="0.25">
      <c r="A76">
        <v>258.94461059570312</v>
      </c>
      <c r="B76">
        <v>211.33689880371094</v>
      </c>
    </row>
    <row r="77" spans="1:2" ht="15" customHeight="1" x14ac:dyDescent="0.25">
      <c r="A77">
        <v>256.17483520507812</v>
      </c>
      <c r="B77">
        <v>211.24504089355469</v>
      </c>
    </row>
    <row r="78" spans="1:2" ht="15" customHeight="1" x14ac:dyDescent="0.25">
      <c r="A78">
        <v>263.9205322265625</v>
      </c>
      <c r="B78">
        <v>217.96853637695312</v>
      </c>
    </row>
    <row r="79" spans="1:2" ht="15" customHeight="1" x14ac:dyDescent="0.25">
      <c r="A79">
        <v>262.574951171875</v>
      </c>
      <c r="B79">
        <v>217.12319946289062</v>
      </c>
    </row>
    <row r="80" spans="1:2" ht="15" customHeight="1" x14ac:dyDescent="0.25">
      <c r="A80">
        <v>259.97320556640625</v>
      </c>
      <c r="B80">
        <v>214.43974304199219</v>
      </c>
    </row>
    <row r="81" spans="1:2" ht="15" customHeight="1" x14ac:dyDescent="0.25">
      <c r="A81">
        <v>258.46408081054687</v>
      </c>
      <c r="B81">
        <v>214.84881591796875</v>
      </c>
    </row>
    <row r="82" spans="1:2" ht="15" customHeight="1" x14ac:dyDescent="0.25">
      <c r="A82">
        <v>260.59844970703125</v>
      </c>
      <c r="B82">
        <v>211.05104064941406</v>
      </c>
    </row>
    <row r="83" spans="1:2" ht="15" customHeight="1" x14ac:dyDescent="0.25">
      <c r="A83">
        <v>265.84466552734375</v>
      </c>
      <c r="B83">
        <v>213.82936096191406</v>
      </c>
    </row>
    <row r="84" spans="1:2" ht="15" customHeight="1" x14ac:dyDescent="0.25">
      <c r="A84">
        <v>263.34259033203125</v>
      </c>
      <c r="B84">
        <v>216.19749450683594</v>
      </c>
    </row>
    <row r="85" spans="1:2" ht="15" customHeight="1" x14ac:dyDescent="0.25">
      <c r="A85">
        <v>264.414794921875</v>
      </c>
      <c r="B85">
        <v>248.86903381347656</v>
      </c>
    </row>
    <row r="86" spans="1:2" ht="15" customHeight="1" x14ac:dyDescent="0.25">
      <c r="A86">
        <v>264.13265991210937</v>
      </c>
      <c r="B86">
        <v>363.86026000976562</v>
      </c>
    </row>
    <row r="87" spans="1:2" ht="15" customHeight="1" x14ac:dyDescent="0.25">
      <c r="A87">
        <v>260.03387451171875</v>
      </c>
      <c r="B87">
        <v>402.63180541992187</v>
      </c>
    </row>
    <row r="88" spans="1:2" ht="15" customHeight="1" x14ac:dyDescent="0.25">
      <c r="A88">
        <v>264.75503540039062</v>
      </c>
      <c r="B88">
        <v>371.8199462890625</v>
      </c>
    </row>
    <row r="89" spans="1:2" ht="15" customHeight="1" x14ac:dyDescent="0.25">
      <c r="A89">
        <v>266.5205078125</v>
      </c>
      <c r="B89">
        <v>292.88162231445312</v>
      </c>
    </row>
    <row r="90" spans="1:2" ht="15" customHeight="1" x14ac:dyDescent="0.25">
      <c r="A90">
        <v>314.51495361328125</v>
      </c>
      <c r="B90">
        <v>221.15093994140625</v>
      </c>
    </row>
    <row r="91" spans="1:2" ht="15" customHeight="1" x14ac:dyDescent="0.25">
      <c r="A91">
        <v>438.39907836914063</v>
      </c>
      <c r="B91">
        <v>210.50437927246094</v>
      </c>
    </row>
    <row r="92" spans="1:2" ht="15" customHeight="1" x14ac:dyDescent="0.25">
      <c r="A92">
        <v>464.91989135742187</v>
      </c>
      <c r="B92">
        <v>214.50924682617187</v>
      </c>
    </row>
    <row r="93" spans="1:2" ht="15" customHeight="1" x14ac:dyDescent="0.25">
      <c r="A93">
        <v>426.326904296875</v>
      </c>
      <c r="B93">
        <v>218.42601013183594</v>
      </c>
    </row>
    <row r="94" spans="1:2" ht="15" customHeight="1" x14ac:dyDescent="0.25">
      <c r="A94">
        <v>340.9613037109375</v>
      </c>
      <c r="B94">
        <v>220.87449645996094</v>
      </c>
    </row>
    <row r="95" spans="1:2" ht="15" customHeight="1" x14ac:dyDescent="0.25">
      <c r="A95">
        <v>263.2474365234375</v>
      </c>
      <c r="B95">
        <v>219.66386413574219</v>
      </c>
    </row>
    <row r="96" spans="1:2" ht="15" customHeight="1" x14ac:dyDescent="0.25">
      <c r="A96">
        <v>257.6265869140625</v>
      </c>
      <c r="B96">
        <v>218.34321594238281</v>
      </c>
    </row>
    <row r="97" spans="1:2" ht="15" customHeight="1" x14ac:dyDescent="0.25">
      <c r="A97">
        <v>261.57400512695312</v>
      </c>
      <c r="B97">
        <v>225.88877868652344</v>
      </c>
    </row>
    <row r="98" spans="1:2" ht="15" customHeight="1" x14ac:dyDescent="0.25">
      <c r="A98">
        <v>264.67007446289062</v>
      </c>
      <c r="B98">
        <v>335.50738525390625</v>
      </c>
    </row>
    <row r="99" spans="1:2" ht="15" customHeight="1" x14ac:dyDescent="0.25">
      <c r="A99">
        <v>269.27667236328125</v>
      </c>
      <c r="B99">
        <v>471.16726684570312</v>
      </c>
    </row>
    <row r="100" spans="1:2" ht="15" customHeight="1" x14ac:dyDescent="0.25">
      <c r="A100">
        <v>269.1724853515625</v>
      </c>
      <c r="B100">
        <v>519.388916015625</v>
      </c>
    </row>
    <row r="101" spans="1:2" ht="15" customHeight="1" x14ac:dyDescent="0.25">
      <c r="A101">
        <v>268.083984375</v>
      </c>
      <c r="B101">
        <v>531.9356689453125</v>
      </c>
    </row>
    <row r="102" spans="1:2" ht="15" customHeight="1" x14ac:dyDescent="0.25">
      <c r="A102">
        <v>281.51370239257812</v>
      </c>
      <c r="B102">
        <v>531.56646728515625</v>
      </c>
    </row>
    <row r="103" spans="1:2" ht="15" customHeight="1" x14ac:dyDescent="0.25">
      <c r="A103">
        <v>414.239501953125</v>
      </c>
      <c r="B103">
        <v>530.09100341796875</v>
      </c>
    </row>
    <row r="104" spans="1:2" ht="15" customHeight="1" x14ac:dyDescent="0.25">
      <c r="A104">
        <v>563.5277099609375</v>
      </c>
      <c r="B104">
        <v>528.97674560546875</v>
      </c>
    </row>
    <row r="105" spans="1:2" ht="15" customHeight="1" x14ac:dyDescent="0.25">
      <c r="A105">
        <v>607.19952392578125</v>
      </c>
      <c r="B105">
        <v>533.0897216796875</v>
      </c>
    </row>
    <row r="106" spans="1:2" ht="15" customHeight="1" x14ac:dyDescent="0.25">
      <c r="A106">
        <v>618.45257568359375</v>
      </c>
      <c r="B106">
        <v>453.85577392578125</v>
      </c>
    </row>
    <row r="107" spans="1:2" ht="15" customHeight="1" x14ac:dyDescent="0.25">
      <c r="A107">
        <v>620.044921875</v>
      </c>
      <c r="B107">
        <v>395.98443603515625</v>
      </c>
    </row>
    <row r="108" spans="1:2" ht="15" customHeight="1" x14ac:dyDescent="0.25">
      <c r="A108">
        <v>618.7657470703125</v>
      </c>
      <c r="B108">
        <v>380.76821899414062</v>
      </c>
    </row>
    <row r="109" spans="1:2" ht="15" customHeight="1" x14ac:dyDescent="0.25">
      <c r="A109">
        <v>621.2750244140625</v>
      </c>
      <c r="B109">
        <v>458.78497314453125</v>
      </c>
    </row>
    <row r="110" spans="1:2" ht="15" customHeight="1" x14ac:dyDescent="0.25">
      <c r="A110">
        <v>625.9925537109375</v>
      </c>
      <c r="B110">
        <v>529.6175537109375</v>
      </c>
    </row>
    <row r="111" spans="1:2" ht="15" customHeight="1" x14ac:dyDescent="0.25">
      <c r="A111">
        <v>521.8572998046875</v>
      </c>
      <c r="B111">
        <v>534.39453125</v>
      </c>
    </row>
    <row r="112" spans="1:2" ht="15" customHeight="1" x14ac:dyDescent="0.25">
      <c r="A112">
        <v>455.68856811523437</v>
      </c>
      <c r="B112">
        <v>532.2855224609375</v>
      </c>
    </row>
    <row r="113" spans="1:2" ht="15" customHeight="1" x14ac:dyDescent="0.25">
      <c r="A113">
        <v>451.56222534179687</v>
      </c>
      <c r="B113">
        <v>535.07867431640625</v>
      </c>
    </row>
    <row r="114" spans="1:2" ht="15" customHeight="1" x14ac:dyDescent="0.25">
      <c r="A114">
        <v>544.18756103515625</v>
      </c>
      <c r="B114">
        <v>521.8720703125</v>
      </c>
    </row>
    <row r="115" spans="1:2" ht="15" customHeight="1" x14ac:dyDescent="0.25">
      <c r="A115">
        <v>618.49774169921875</v>
      </c>
      <c r="B115">
        <v>508.31005859375</v>
      </c>
    </row>
    <row r="116" spans="1:2" ht="15" customHeight="1" x14ac:dyDescent="0.25">
      <c r="A116">
        <v>620.2667236328125</v>
      </c>
      <c r="B116">
        <v>495.04132080078125</v>
      </c>
    </row>
    <row r="117" spans="1:2" ht="15" customHeight="1" x14ac:dyDescent="0.25">
      <c r="A117">
        <v>619.836181640625</v>
      </c>
      <c r="B117">
        <v>471.93658447265625</v>
      </c>
    </row>
    <row r="118" spans="1:2" ht="15" customHeight="1" x14ac:dyDescent="0.25">
      <c r="A118">
        <v>624.3748779296875</v>
      </c>
      <c r="B118">
        <v>453.22940063476562</v>
      </c>
    </row>
    <row r="119" spans="1:2" ht="15" customHeight="1" x14ac:dyDescent="0.25">
      <c r="A119">
        <v>607.44989013671875</v>
      </c>
      <c r="B119">
        <v>408.0584716796875</v>
      </c>
    </row>
    <row r="120" spans="1:2" ht="15" customHeight="1" x14ac:dyDescent="0.25">
      <c r="A120">
        <v>590.71575927734375</v>
      </c>
      <c r="B120">
        <v>365.9102783203125</v>
      </c>
    </row>
    <row r="121" spans="1:2" ht="15" customHeight="1" x14ac:dyDescent="0.25">
      <c r="A121">
        <v>571.442138671875</v>
      </c>
      <c r="B121">
        <v>344.82705688476562</v>
      </c>
    </row>
    <row r="122" spans="1:2" ht="15" customHeight="1" x14ac:dyDescent="0.25">
      <c r="A122">
        <v>540.0445556640625</v>
      </c>
      <c r="B122">
        <v>459.26177978515625</v>
      </c>
    </row>
    <row r="123" spans="1:2" ht="15" customHeight="1" x14ac:dyDescent="0.25">
      <c r="A123">
        <v>519.21234130859375</v>
      </c>
      <c r="B123">
        <v>528.85418701171875</v>
      </c>
    </row>
    <row r="124" spans="1:2" ht="15" customHeight="1" x14ac:dyDescent="0.25">
      <c r="A124">
        <v>460.5435791015625</v>
      </c>
      <c r="B124">
        <v>529.07196044921875</v>
      </c>
    </row>
    <row r="125" spans="1:2" ht="15" customHeight="1" x14ac:dyDescent="0.25">
      <c r="A125">
        <v>409.50091552734375</v>
      </c>
      <c r="B125">
        <v>528.11273193359375</v>
      </c>
    </row>
    <row r="126" spans="1:2" ht="15" customHeight="1" x14ac:dyDescent="0.25">
      <c r="A126">
        <v>393.53326416015625</v>
      </c>
      <c r="B126">
        <v>532.27276611328125</v>
      </c>
    </row>
    <row r="127" spans="1:2" ht="15" customHeight="1" x14ac:dyDescent="0.25">
      <c r="A127">
        <v>532.6480712890625</v>
      </c>
      <c r="B127">
        <v>518.71807861328125</v>
      </c>
    </row>
    <row r="128" spans="1:2" ht="15" customHeight="1" x14ac:dyDescent="0.25">
      <c r="A128">
        <v>612.24920654296875</v>
      </c>
      <c r="B128">
        <v>492.86868286132813</v>
      </c>
    </row>
    <row r="129" spans="1:2" ht="15" customHeight="1" x14ac:dyDescent="0.25">
      <c r="A129">
        <v>608.82275390625</v>
      </c>
      <c r="B129">
        <v>490.58526611328125</v>
      </c>
    </row>
    <row r="130" spans="1:2" ht="15" customHeight="1" x14ac:dyDescent="0.25">
      <c r="A130">
        <v>614.45379638671875</v>
      </c>
      <c r="B130">
        <v>487.80145263671875</v>
      </c>
    </row>
    <row r="131" spans="1:2" ht="15" customHeight="1" x14ac:dyDescent="0.25">
      <c r="A131">
        <v>621.51715087890625</v>
      </c>
      <c r="B131">
        <v>400.81146240234375</v>
      </c>
    </row>
    <row r="132" spans="1:2" ht="15" customHeight="1" x14ac:dyDescent="0.25">
      <c r="A132">
        <v>603.49407958984375</v>
      </c>
      <c r="B132">
        <v>275.7628173828125</v>
      </c>
    </row>
    <row r="133" spans="1:2" ht="15" customHeight="1" x14ac:dyDescent="0.25">
      <c r="A133">
        <v>558.6116943359375</v>
      </c>
      <c r="B133">
        <v>306.43313598632812</v>
      </c>
    </row>
    <row r="134" spans="1:2" ht="15" customHeight="1" x14ac:dyDescent="0.25">
      <c r="A134">
        <v>556.74072265625</v>
      </c>
      <c r="B134">
        <v>467.54632568359375</v>
      </c>
    </row>
    <row r="135" spans="1:2" ht="15" customHeight="1" x14ac:dyDescent="0.25">
      <c r="A135">
        <v>553.46246337890625</v>
      </c>
      <c r="B135">
        <v>532.95489501953125</v>
      </c>
    </row>
    <row r="136" spans="1:2" ht="15" customHeight="1" x14ac:dyDescent="0.25">
      <c r="A136">
        <v>453.48211669921875</v>
      </c>
      <c r="B136">
        <v>505.47955322265625</v>
      </c>
    </row>
    <row r="137" spans="1:2" ht="15" customHeight="1" x14ac:dyDescent="0.25">
      <c r="A137">
        <v>316.7344970703125</v>
      </c>
      <c r="B137">
        <v>452.84933471679687</v>
      </c>
    </row>
    <row r="138" spans="1:2" ht="15" customHeight="1" x14ac:dyDescent="0.25">
      <c r="A138">
        <v>368.86227416992187</v>
      </c>
      <c r="B138">
        <v>319.88800048828125</v>
      </c>
    </row>
    <row r="139" spans="1:2" ht="15" customHeight="1" x14ac:dyDescent="0.25">
      <c r="A139">
        <v>559.54669189453125</v>
      </c>
      <c r="B139">
        <v>228.13595581054687</v>
      </c>
    </row>
    <row r="140" spans="1:2" ht="15" customHeight="1" x14ac:dyDescent="0.25">
      <c r="A140">
        <v>617.83740234375</v>
      </c>
      <c r="B140">
        <v>218.66925048828125</v>
      </c>
    </row>
    <row r="141" spans="1:2" ht="15" customHeight="1" x14ac:dyDescent="0.25">
      <c r="A141">
        <v>574.98974609375</v>
      </c>
      <c r="B141">
        <v>213.58808898925781</v>
      </c>
    </row>
    <row r="142" spans="1:2" ht="15" customHeight="1" x14ac:dyDescent="0.25">
      <c r="A142">
        <v>506.28512573242187</v>
      </c>
      <c r="B142">
        <v>213.74635314941406</v>
      </c>
    </row>
    <row r="143" spans="1:2" ht="15" customHeight="1" x14ac:dyDescent="0.25">
      <c r="A143">
        <v>357.02703857421875</v>
      </c>
      <c r="B143">
        <v>214.16462707519531</v>
      </c>
    </row>
    <row r="144" spans="1:2" ht="15" customHeight="1" x14ac:dyDescent="0.25">
      <c r="A144">
        <v>260.87478637695312</v>
      </c>
      <c r="B144">
        <v>217.18643188476562</v>
      </c>
    </row>
    <row r="145" spans="1:2" ht="15" customHeight="1" x14ac:dyDescent="0.25">
      <c r="A145">
        <v>258.71725463867187</v>
      </c>
      <c r="B145">
        <v>229.25927734375</v>
      </c>
    </row>
    <row r="146" spans="1:2" ht="15" customHeight="1" x14ac:dyDescent="0.25">
      <c r="A146">
        <v>252.25567626953125</v>
      </c>
      <c r="B146">
        <v>271.94668579101562</v>
      </c>
    </row>
    <row r="147" spans="1:2" ht="15" customHeight="1" x14ac:dyDescent="0.25">
      <c r="A147">
        <v>253.62138366699219</v>
      </c>
      <c r="B147">
        <v>332.10305786132812</v>
      </c>
    </row>
    <row r="148" spans="1:2" ht="15" customHeight="1" x14ac:dyDescent="0.25">
      <c r="A148">
        <v>257.06564331054687</v>
      </c>
      <c r="B148">
        <v>444.38128662109375</v>
      </c>
    </row>
    <row r="149" spans="1:2" ht="15" customHeight="1" x14ac:dyDescent="0.25">
      <c r="A149">
        <v>263.6455078125</v>
      </c>
      <c r="B149">
        <v>467.59381103515625</v>
      </c>
    </row>
    <row r="150" spans="1:2" ht="15" customHeight="1" x14ac:dyDescent="0.25">
      <c r="A150">
        <v>277.45001220703125</v>
      </c>
      <c r="B150">
        <v>523.68170166015625</v>
      </c>
    </row>
    <row r="151" spans="1:2" ht="15" customHeight="1" x14ac:dyDescent="0.25">
      <c r="A151">
        <v>333.33242797851562</v>
      </c>
      <c r="B151">
        <v>532.09149169921875</v>
      </c>
    </row>
    <row r="152" spans="1:2" ht="15" customHeight="1" x14ac:dyDescent="0.25">
      <c r="A152">
        <v>393.13583374023437</v>
      </c>
      <c r="B152">
        <v>533.5418701171875</v>
      </c>
    </row>
    <row r="153" spans="1:2" ht="15" customHeight="1" x14ac:dyDescent="0.25">
      <c r="A153">
        <v>522.77398681640625</v>
      </c>
      <c r="B153">
        <v>534.9656982421875</v>
      </c>
    </row>
    <row r="154" spans="1:2" ht="15" customHeight="1" x14ac:dyDescent="0.25">
      <c r="A154">
        <v>534.06304931640625</v>
      </c>
      <c r="B154">
        <v>533.73492431640625</v>
      </c>
    </row>
    <row r="155" spans="1:2" ht="15" customHeight="1" x14ac:dyDescent="0.25">
      <c r="A155">
        <v>605.17169189453125</v>
      </c>
      <c r="B155">
        <v>532.38702392578125</v>
      </c>
    </row>
    <row r="156" spans="1:2" ht="15" customHeight="1" x14ac:dyDescent="0.25">
      <c r="A156">
        <v>614.64239501953125</v>
      </c>
      <c r="B156">
        <v>534.36761474609375</v>
      </c>
    </row>
    <row r="157" spans="1:2" ht="15" customHeight="1" x14ac:dyDescent="0.25">
      <c r="A157">
        <v>614.689208984375</v>
      </c>
      <c r="B157">
        <v>535.25506591796875</v>
      </c>
    </row>
    <row r="158" spans="1:2" ht="15" customHeight="1" x14ac:dyDescent="0.25">
      <c r="A158">
        <v>613.79583740234375</v>
      </c>
      <c r="B158">
        <v>520.2193603515625</v>
      </c>
    </row>
    <row r="159" spans="1:2" ht="15" customHeight="1" x14ac:dyDescent="0.25">
      <c r="A159">
        <v>610.125</v>
      </c>
      <c r="B159">
        <v>505.42947387695312</v>
      </c>
    </row>
    <row r="160" spans="1:2" ht="15" customHeight="1" x14ac:dyDescent="0.25">
      <c r="A160">
        <v>611.556884765625</v>
      </c>
      <c r="B160">
        <v>523.0885009765625</v>
      </c>
    </row>
    <row r="161" spans="1:2" ht="15" customHeight="1" x14ac:dyDescent="0.25">
      <c r="A161">
        <v>612.630859375</v>
      </c>
      <c r="B161">
        <v>535.0474853515625</v>
      </c>
    </row>
    <row r="162" spans="1:2" ht="15" customHeight="1" x14ac:dyDescent="0.25">
      <c r="A162">
        <v>620.31451416015625</v>
      </c>
      <c r="B162">
        <v>525.86065673828125</v>
      </c>
    </row>
    <row r="163" spans="1:2" ht="15" customHeight="1" x14ac:dyDescent="0.25">
      <c r="A163">
        <v>602.47528076171875</v>
      </c>
      <c r="B163">
        <v>459.6561279296875</v>
      </c>
    </row>
    <row r="164" spans="1:2" ht="15" customHeight="1" x14ac:dyDescent="0.25">
      <c r="A164">
        <v>585.558349609375</v>
      </c>
      <c r="B164">
        <v>428.7083740234375</v>
      </c>
    </row>
    <row r="165" spans="1:2" ht="15" customHeight="1" x14ac:dyDescent="0.25">
      <c r="A165">
        <v>608.7742919921875</v>
      </c>
      <c r="B165">
        <v>419.71865844726562</v>
      </c>
    </row>
    <row r="166" spans="1:2" ht="15" customHeight="1" x14ac:dyDescent="0.25">
      <c r="A166">
        <v>625.73175048828125</v>
      </c>
      <c r="B166">
        <v>415.85476684570312</v>
      </c>
    </row>
    <row r="167" spans="1:2" ht="15" customHeight="1" x14ac:dyDescent="0.25">
      <c r="A167">
        <v>618.655517578125</v>
      </c>
      <c r="B167">
        <v>388.37103271484375</v>
      </c>
    </row>
    <row r="168" spans="1:2" ht="15" customHeight="1" x14ac:dyDescent="0.25">
      <c r="A168">
        <v>535.40338134765625</v>
      </c>
      <c r="B168">
        <v>367.80410766601562</v>
      </c>
    </row>
    <row r="169" spans="1:2" ht="15" customHeight="1" x14ac:dyDescent="0.25">
      <c r="A169">
        <v>502.1015625</v>
      </c>
      <c r="B169">
        <v>370.37890625</v>
      </c>
    </row>
    <row r="170" spans="1:2" ht="15" customHeight="1" x14ac:dyDescent="0.25">
      <c r="A170">
        <v>491.19000244140625</v>
      </c>
      <c r="B170">
        <v>376.01992797851562</v>
      </c>
    </row>
    <row r="171" spans="1:2" ht="15" customHeight="1" x14ac:dyDescent="0.25">
      <c r="A171">
        <v>483.46890258789062</v>
      </c>
      <c r="B171">
        <v>424.06399536132812</v>
      </c>
    </row>
    <row r="172" spans="1:2" ht="15" customHeight="1" x14ac:dyDescent="0.25">
      <c r="A172">
        <v>447.17999267578125</v>
      </c>
      <c r="B172">
        <v>424.32769775390625</v>
      </c>
    </row>
    <row r="173" spans="1:2" ht="15" customHeight="1" x14ac:dyDescent="0.25">
      <c r="A173">
        <v>425.48208618164062</v>
      </c>
      <c r="B173">
        <v>428.253173828125</v>
      </c>
    </row>
    <row r="174" spans="1:2" ht="15" customHeight="1" x14ac:dyDescent="0.25">
      <c r="A174">
        <v>424.76058959960937</v>
      </c>
      <c r="B174">
        <v>428.78445434570312</v>
      </c>
    </row>
    <row r="175" spans="1:2" ht="15" customHeight="1" x14ac:dyDescent="0.25">
      <c r="A175">
        <v>433.58038330078125</v>
      </c>
      <c r="B175">
        <v>432.72637939453125</v>
      </c>
    </row>
    <row r="176" spans="1:2" ht="15" customHeight="1" x14ac:dyDescent="0.25">
      <c r="A176">
        <v>489.95742797851562</v>
      </c>
      <c r="B176">
        <v>426.884521484375</v>
      </c>
    </row>
    <row r="177" spans="1:2" ht="15" customHeight="1" x14ac:dyDescent="0.25">
      <c r="A177">
        <v>488.63711547851562</v>
      </c>
      <c r="B177">
        <v>429.87091064453125</v>
      </c>
    </row>
    <row r="178" spans="1:2" ht="15" customHeight="1" x14ac:dyDescent="0.25">
      <c r="A178">
        <v>497.36825561523437</v>
      </c>
      <c r="B178">
        <v>466.153076171875</v>
      </c>
    </row>
    <row r="179" spans="1:2" ht="15" customHeight="1" x14ac:dyDescent="0.25">
      <c r="A179">
        <v>499.5643310546875</v>
      </c>
      <c r="B179">
        <v>532.5672607421875</v>
      </c>
    </row>
    <row r="180" spans="1:2" ht="15" customHeight="1" x14ac:dyDescent="0.25">
      <c r="A180">
        <v>493.1802978515625</v>
      </c>
      <c r="B180">
        <v>532.60577392578125</v>
      </c>
    </row>
    <row r="181" spans="1:2" ht="15" customHeight="1" x14ac:dyDescent="0.25">
      <c r="A181">
        <v>486.69622802734375</v>
      </c>
      <c r="B181">
        <v>524.1060791015625</v>
      </c>
    </row>
    <row r="182" spans="1:2" ht="15" customHeight="1" x14ac:dyDescent="0.25">
      <c r="A182">
        <v>490.02880859375</v>
      </c>
      <c r="B182">
        <v>536.739990234375</v>
      </c>
    </row>
    <row r="183" spans="1:2" ht="15" customHeight="1" x14ac:dyDescent="0.25">
      <c r="A183">
        <v>540.77447509765625</v>
      </c>
      <c r="B183">
        <v>535.5006103515625</v>
      </c>
    </row>
    <row r="184" spans="1:2" ht="15" customHeight="1" x14ac:dyDescent="0.25">
      <c r="A184">
        <v>610.6373291015625</v>
      </c>
      <c r="B184">
        <v>531.91748046875</v>
      </c>
    </row>
    <row r="185" spans="1:2" ht="15" customHeight="1" x14ac:dyDescent="0.25">
      <c r="A185">
        <v>608.83038330078125</v>
      </c>
      <c r="B185">
        <v>533.1328125</v>
      </c>
    </row>
    <row r="186" spans="1:2" ht="15" customHeight="1" x14ac:dyDescent="0.25">
      <c r="A186">
        <v>602.1881103515625</v>
      </c>
      <c r="B186">
        <v>486.42483520507812</v>
      </c>
    </row>
    <row r="187" spans="1:2" ht="15" customHeight="1" x14ac:dyDescent="0.25">
      <c r="A187">
        <v>618.29119873046875</v>
      </c>
      <c r="B187">
        <v>385.8321533203125</v>
      </c>
    </row>
    <row r="188" spans="1:2" ht="15" customHeight="1" x14ac:dyDescent="0.25">
      <c r="A188">
        <v>616.26953125</v>
      </c>
      <c r="B188">
        <v>248.68600463867187</v>
      </c>
    </row>
    <row r="189" spans="1:2" ht="15" customHeight="1" x14ac:dyDescent="0.25">
      <c r="A189">
        <v>608.92401123046875</v>
      </c>
      <c r="B189">
        <v>217.50653076171875</v>
      </c>
    </row>
    <row r="190" spans="1:2" ht="15" customHeight="1" x14ac:dyDescent="0.25">
      <c r="A190">
        <v>611.91326904296875</v>
      </c>
      <c r="B190">
        <v>215.48233032226562</v>
      </c>
    </row>
    <row r="191" spans="1:2" ht="15" customHeight="1" x14ac:dyDescent="0.25">
      <c r="A191">
        <v>549.01727294921875</v>
      </c>
      <c r="B191">
        <v>214.69253540039062</v>
      </c>
    </row>
    <row r="192" spans="1:2" ht="15" customHeight="1" x14ac:dyDescent="0.25">
      <c r="A192">
        <v>431.1278076171875</v>
      </c>
      <c r="B192">
        <v>214.61180114746094</v>
      </c>
    </row>
    <row r="193" spans="1:2" ht="15" customHeight="1" x14ac:dyDescent="0.25">
      <c r="A193">
        <v>278.33627319335938</v>
      </c>
      <c r="B193">
        <v>220.54191589355469</v>
      </c>
    </row>
    <row r="194" spans="1:2" ht="15" customHeight="1" x14ac:dyDescent="0.25">
      <c r="A194">
        <v>255.19961547851563</v>
      </c>
      <c r="B194">
        <v>231.16789245605469</v>
      </c>
    </row>
    <row r="195" spans="1:2" ht="15" customHeight="1" x14ac:dyDescent="0.25">
      <c r="A195">
        <v>251.445556640625</v>
      </c>
      <c r="B195">
        <v>343.92758178710937</v>
      </c>
    </row>
    <row r="196" spans="1:2" ht="15" customHeight="1" x14ac:dyDescent="0.25">
      <c r="A196">
        <v>251.10980224609375</v>
      </c>
      <c r="B196">
        <v>472.72076416015625</v>
      </c>
    </row>
    <row r="197" spans="1:2" ht="15" customHeight="1" x14ac:dyDescent="0.25">
      <c r="A197">
        <v>254.0389404296875</v>
      </c>
      <c r="B197">
        <v>476.3863525390625</v>
      </c>
    </row>
    <row r="198" spans="1:2" ht="15" customHeight="1" x14ac:dyDescent="0.25">
      <c r="A198">
        <v>260.92233276367188</v>
      </c>
      <c r="B198">
        <v>473.8570556640625</v>
      </c>
    </row>
    <row r="199" spans="1:2" ht="15" customHeight="1" x14ac:dyDescent="0.25">
      <c r="A199">
        <v>277.34829711914062</v>
      </c>
      <c r="B199">
        <v>458.65020751953125</v>
      </c>
    </row>
    <row r="200" spans="1:2" ht="15" customHeight="1" x14ac:dyDescent="0.25">
      <c r="A200">
        <v>411.953857421875</v>
      </c>
      <c r="B200">
        <v>440.091064453125</v>
      </c>
    </row>
    <row r="201" spans="1:2" ht="15" customHeight="1" x14ac:dyDescent="0.25">
      <c r="A201">
        <v>543.09637451171875</v>
      </c>
      <c r="B201">
        <v>386.49386596679687</v>
      </c>
    </row>
    <row r="202" spans="1:2" ht="15" customHeight="1" x14ac:dyDescent="0.25">
      <c r="A202">
        <v>541.62786865234375</v>
      </c>
      <c r="B202">
        <v>287.12356567382812</v>
      </c>
    </row>
    <row r="203" spans="1:2" ht="15" customHeight="1" x14ac:dyDescent="0.25">
      <c r="A203">
        <v>537.3515625</v>
      </c>
      <c r="B203">
        <v>225.16949462890625</v>
      </c>
    </row>
    <row r="204" spans="1:2" ht="15" customHeight="1" x14ac:dyDescent="0.25">
      <c r="A204">
        <v>521.6253662109375</v>
      </c>
      <c r="B204">
        <v>229.64137268066406</v>
      </c>
    </row>
    <row r="205" spans="1:2" ht="15" customHeight="1" x14ac:dyDescent="0.25">
      <c r="A205">
        <v>499.7681884765625</v>
      </c>
      <c r="B205">
        <v>272.2430419921875</v>
      </c>
    </row>
    <row r="206" spans="1:2" ht="15" customHeight="1" x14ac:dyDescent="0.25">
      <c r="A206">
        <v>434.11328125</v>
      </c>
      <c r="B206">
        <v>450.99270629882813</v>
      </c>
    </row>
    <row r="207" spans="1:2" ht="15" customHeight="1" x14ac:dyDescent="0.25">
      <c r="A207">
        <v>323.46630859375</v>
      </c>
      <c r="B207">
        <v>523.89605712890625</v>
      </c>
    </row>
    <row r="208" spans="1:2" ht="15" customHeight="1" x14ac:dyDescent="0.25">
      <c r="A208">
        <v>262.74972534179687</v>
      </c>
      <c r="B208">
        <v>511.17996215820312</v>
      </c>
    </row>
    <row r="209" spans="1:2" ht="15" customHeight="1" x14ac:dyDescent="0.25">
      <c r="A209">
        <v>270.6826171875</v>
      </c>
      <c r="B209">
        <v>474.32290649414062</v>
      </c>
    </row>
    <row r="210" spans="1:2" ht="15" customHeight="1" x14ac:dyDescent="0.25">
      <c r="A210">
        <v>332.72811889648437</v>
      </c>
      <c r="B210">
        <v>447.240966796875</v>
      </c>
    </row>
    <row r="211" spans="1:2" ht="15" customHeight="1" x14ac:dyDescent="0.25">
      <c r="A211">
        <v>533.82421875</v>
      </c>
      <c r="B211">
        <v>452.04971313476562</v>
      </c>
    </row>
    <row r="212" spans="1:2" ht="15" customHeight="1" x14ac:dyDescent="0.25">
      <c r="A212">
        <v>600.54229736328125</v>
      </c>
      <c r="B212">
        <v>431.11721801757813</v>
      </c>
    </row>
    <row r="213" spans="1:2" ht="15" customHeight="1" x14ac:dyDescent="0.25">
      <c r="A213">
        <v>584.572998046875</v>
      </c>
      <c r="B213">
        <v>435.46945190429688</v>
      </c>
    </row>
    <row r="214" spans="1:2" ht="15" customHeight="1" x14ac:dyDescent="0.25">
      <c r="A214">
        <v>538.1009521484375</v>
      </c>
      <c r="B214">
        <v>381.37353515625</v>
      </c>
    </row>
    <row r="215" spans="1:2" ht="15" customHeight="1" x14ac:dyDescent="0.25">
      <c r="A215">
        <v>508.3868408203125</v>
      </c>
      <c r="B215">
        <v>274.8564453125</v>
      </c>
    </row>
    <row r="216" spans="1:2" ht="15" customHeight="1" x14ac:dyDescent="0.25">
      <c r="A216">
        <v>516.24542236328125</v>
      </c>
      <c r="B216">
        <v>252.46211242675781</v>
      </c>
    </row>
    <row r="217" spans="1:2" ht="15" customHeight="1" x14ac:dyDescent="0.25">
      <c r="A217">
        <v>489.10513305664062</v>
      </c>
      <c r="B217">
        <v>251.97724914550781</v>
      </c>
    </row>
    <row r="218" spans="1:2" ht="15" customHeight="1" x14ac:dyDescent="0.25">
      <c r="A218">
        <v>493.49526977539062</v>
      </c>
      <c r="B218">
        <v>250.71127319335937</v>
      </c>
    </row>
    <row r="219" spans="1:2" ht="15" customHeight="1" x14ac:dyDescent="0.25">
      <c r="A219">
        <v>424.44287109375</v>
      </c>
      <c r="B219">
        <v>286.0333251953125</v>
      </c>
    </row>
    <row r="220" spans="1:2" ht="15" customHeight="1" x14ac:dyDescent="0.25">
      <c r="A220">
        <v>309.98049926757812</v>
      </c>
      <c r="B220">
        <v>333.93011474609375</v>
      </c>
    </row>
    <row r="221" spans="1:2" ht="15" customHeight="1" x14ac:dyDescent="0.25">
      <c r="A221">
        <v>295.71432495117187</v>
      </c>
      <c r="B221">
        <v>302.23397827148437</v>
      </c>
    </row>
    <row r="222" spans="1:2" ht="15" customHeight="1" x14ac:dyDescent="0.25">
      <c r="A222">
        <v>295.675537109375</v>
      </c>
      <c r="B222">
        <v>364.34384155273437</v>
      </c>
    </row>
    <row r="223" spans="1:2" ht="15" customHeight="1" x14ac:dyDescent="0.25">
      <c r="A223">
        <v>294.09188842773437</v>
      </c>
      <c r="B223">
        <v>292.01205444335937</v>
      </c>
    </row>
    <row r="224" spans="1:2" ht="15" customHeight="1" x14ac:dyDescent="0.25">
      <c r="A224">
        <v>341.52102661132812</v>
      </c>
      <c r="B224">
        <v>266.474609375</v>
      </c>
    </row>
    <row r="225" spans="1:2" ht="15" customHeight="1" x14ac:dyDescent="0.25">
      <c r="A225">
        <v>386.72592163085937</v>
      </c>
      <c r="B225">
        <v>243.97967529296875</v>
      </c>
    </row>
    <row r="226" spans="1:2" ht="15" customHeight="1" x14ac:dyDescent="0.25">
      <c r="A226">
        <v>353.73843383789062</v>
      </c>
      <c r="B226">
        <v>227.19670104980469</v>
      </c>
    </row>
    <row r="227" spans="1:2" ht="15" customHeight="1" x14ac:dyDescent="0.25">
      <c r="A227">
        <v>425.50103759765625</v>
      </c>
      <c r="B227">
        <v>222.06880187988281</v>
      </c>
    </row>
    <row r="228" spans="1:2" ht="15" customHeight="1" x14ac:dyDescent="0.25">
      <c r="A228">
        <v>334.74472045898437</v>
      </c>
      <c r="B228">
        <v>233.05545043945312</v>
      </c>
    </row>
    <row r="229" spans="1:2" ht="15" customHeight="1" x14ac:dyDescent="0.25">
      <c r="A229">
        <v>312.73162841796875</v>
      </c>
      <c r="B229">
        <v>310.22244262695312</v>
      </c>
    </row>
    <row r="230" spans="1:2" ht="15" customHeight="1" x14ac:dyDescent="0.25">
      <c r="A230">
        <v>283.57565307617187</v>
      </c>
      <c r="B230">
        <v>398.11346435546875</v>
      </c>
    </row>
    <row r="231" spans="1:2" ht="15" customHeight="1" x14ac:dyDescent="0.25">
      <c r="A231">
        <v>271.96237182617187</v>
      </c>
      <c r="B231">
        <v>404.93356323242187</v>
      </c>
    </row>
    <row r="232" spans="1:2" ht="15" customHeight="1" x14ac:dyDescent="0.25">
      <c r="A232">
        <v>265.44808959960937</v>
      </c>
      <c r="B232">
        <v>466.51260375976562</v>
      </c>
    </row>
    <row r="233" spans="1:2" ht="15" customHeight="1" x14ac:dyDescent="0.25">
      <c r="A233">
        <v>280.85733032226562</v>
      </c>
      <c r="B233">
        <v>450.40289306640625</v>
      </c>
    </row>
    <row r="234" spans="1:2" ht="15" customHeight="1" x14ac:dyDescent="0.25">
      <c r="A234">
        <v>376.53451538085937</v>
      </c>
      <c r="B234">
        <v>365.35403442382812</v>
      </c>
    </row>
    <row r="235" spans="1:2" ht="15" customHeight="1" x14ac:dyDescent="0.25">
      <c r="A235">
        <v>459.07553100585937</v>
      </c>
      <c r="B235">
        <v>259.28933715820312</v>
      </c>
    </row>
    <row r="236" spans="1:2" ht="15" customHeight="1" x14ac:dyDescent="0.25">
      <c r="A236">
        <v>478.64907836914062</v>
      </c>
      <c r="B236">
        <v>238.0772705078125</v>
      </c>
    </row>
    <row r="237" spans="1:2" ht="15" customHeight="1" x14ac:dyDescent="0.25">
      <c r="A237">
        <v>534.796142578125</v>
      </c>
      <c r="B237">
        <v>223.10459899902344</v>
      </c>
    </row>
    <row r="238" spans="1:2" ht="15" customHeight="1" x14ac:dyDescent="0.25">
      <c r="A238">
        <v>513.9017333984375</v>
      </c>
      <c r="B238">
        <v>223.36810302734375</v>
      </c>
    </row>
    <row r="239" spans="1:2" ht="15" customHeight="1" x14ac:dyDescent="0.25">
      <c r="A239">
        <v>409.36798095703125</v>
      </c>
      <c r="B239">
        <v>222.02769470214844</v>
      </c>
    </row>
    <row r="240" spans="1:2" ht="15" customHeight="1" x14ac:dyDescent="0.25">
      <c r="A240">
        <v>294.84762573242187</v>
      </c>
      <c r="B240">
        <v>221.48027038574219</v>
      </c>
    </row>
    <row r="241" spans="1:2" ht="15" customHeight="1" x14ac:dyDescent="0.25">
      <c r="A241">
        <v>280.43283081054687</v>
      </c>
      <c r="B241">
        <v>221.52227783203125</v>
      </c>
    </row>
    <row r="242" spans="1:2" ht="15" customHeight="1" x14ac:dyDescent="0.25">
      <c r="A242">
        <v>258.77899169921875</v>
      </c>
      <c r="B242">
        <v>221.29493713378906</v>
      </c>
    </row>
    <row r="243" spans="1:2" ht="15" customHeight="1" x14ac:dyDescent="0.25">
      <c r="A243">
        <v>261.51739501953125</v>
      </c>
      <c r="B243">
        <v>230.437744140625</v>
      </c>
    </row>
    <row r="244" spans="1:2" ht="15" customHeight="1" x14ac:dyDescent="0.25">
      <c r="A244">
        <v>257.8892822265625</v>
      </c>
      <c r="B244">
        <v>246.58953857421875</v>
      </c>
    </row>
    <row r="245" spans="1:2" ht="15" customHeight="1" x14ac:dyDescent="0.25">
      <c r="A245">
        <v>258.48773193359375</v>
      </c>
      <c r="B245">
        <v>335.78805541992187</v>
      </c>
    </row>
    <row r="246" spans="1:2" ht="15" customHeight="1" x14ac:dyDescent="0.25">
      <c r="A246">
        <v>257.98092651367187</v>
      </c>
      <c r="B246">
        <v>382.583984375</v>
      </c>
    </row>
    <row r="247" spans="1:2" ht="15" customHeight="1" x14ac:dyDescent="0.25">
      <c r="A247">
        <v>257.95880126953125</v>
      </c>
      <c r="B247">
        <v>463.21963500976562</v>
      </c>
    </row>
    <row r="248" spans="1:2" ht="15" customHeight="1" x14ac:dyDescent="0.25">
      <c r="A248">
        <v>269.67471313476562</v>
      </c>
      <c r="B248">
        <v>447.5875244140625</v>
      </c>
    </row>
    <row r="249" spans="1:2" ht="15" customHeight="1" x14ac:dyDescent="0.25">
      <c r="A249">
        <v>288.08087158203125</v>
      </c>
      <c r="B249">
        <v>398.73110961914062</v>
      </c>
    </row>
    <row r="250" spans="1:2" ht="15" customHeight="1" x14ac:dyDescent="0.25">
      <c r="A250">
        <v>388.72607421875</v>
      </c>
      <c r="B250">
        <v>332.8372802734375</v>
      </c>
    </row>
    <row r="251" spans="1:2" ht="15" customHeight="1" x14ac:dyDescent="0.25">
      <c r="A251">
        <v>435.83099365234375</v>
      </c>
      <c r="B251">
        <v>283.28628540039062</v>
      </c>
    </row>
    <row r="252" spans="1:2" ht="15" customHeight="1" x14ac:dyDescent="0.25">
      <c r="A252">
        <v>530.82781982421875</v>
      </c>
      <c r="B252">
        <v>271.57403564453125</v>
      </c>
    </row>
    <row r="253" spans="1:2" ht="15" customHeight="1" x14ac:dyDescent="0.25">
      <c r="A253">
        <v>507.5631103515625</v>
      </c>
      <c r="B253">
        <v>413.44039916992187</v>
      </c>
    </row>
    <row r="254" spans="1:2" ht="15" customHeight="1" x14ac:dyDescent="0.25">
      <c r="A254">
        <v>446.92922973632812</v>
      </c>
      <c r="B254">
        <v>505.45755004882812</v>
      </c>
    </row>
    <row r="255" spans="1:2" ht="15" customHeight="1" x14ac:dyDescent="0.25">
      <c r="A255">
        <v>375.05963134765625</v>
      </c>
      <c r="B255">
        <v>525.9671630859375</v>
      </c>
    </row>
    <row r="256" spans="1:2" ht="15" customHeight="1" x14ac:dyDescent="0.25">
      <c r="A256">
        <v>318.3331298828125</v>
      </c>
      <c r="B256">
        <v>496.4715576171875</v>
      </c>
    </row>
    <row r="257" spans="1:2" ht="15" customHeight="1" x14ac:dyDescent="0.25">
      <c r="A257">
        <v>315.18533325195312</v>
      </c>
      <c r="B257">
        <v>398.07559204101562</v>
      </c>
    </row>
    <row r="258" spans="1:2" ht="15" customHeight="1" x14ac:dyDescent="0.25">
      <c r="A258">
        <v>480.97323608398437</v>
      </c>
      <c r="B258">
        <v>266.2967529296875</v>
      </c>
    </row>
    <row r="259" spans="1:2" ht="15" customHeight="1" x14ac:dyDescent="0.25">
      <c r="A259">
        <v>575.57659912109375</v>
      </c>
      <c r="B259">
        <v>220.60140991210937</v>
      </c>
    </row>
    <row r="260" spans="1:2" ht="15" customHeight="1" x14ac:dyDescent="0.25">
      <c r="A260">
        <v>595.2713623046875</v>
      </c>
      <c r="B260">
        <v>219.30497741699219</v>
      </c>
    </row>
    <row r="261" spans="1:2" ht="15" customHeight="1" x14ac:dyDescent="0.25">
      <c r="A261">
        <v>556.997802734375</v>
      </c>
      <c r="B261">
        <v>214.31320190429687</v>
      </c>
    </row>
    <row r="262" spans="1:2" ht="15" customHeight="1" x14ac:dyDescent="0.25">
      <c r="A262">
        <v>439.15020751953125</v>
      </c>
      <c r="B262">
        <v>214.79734802246094</v>
      </c>
    </row>
    <row r="263" spans="1:2" ht="15" customHeight="1" x14ac:dyDescent="0.25">
      <c r="A263">
        <v>298.37405395507812</v>
      </c>
      <c r="B263">
        <v>217.86630249023437</v>
      </c>
    </row>
    <row r="264" spans="1:2" ht="15" customHeight="1" x14ac:dyDescent="0.25">
      <c r="A264">
        <v>259.96859741210937</v>
      </c>
      <c r="B264">
        <v>221.09271240234375</v>
      </c>
    </row>
    <row r="265" spans="1:2" ht="15" customHeight="1" x14ac:dyDescent="0.25">
      <c r="A265">
        <v>259.95904541015625</v>
      </c>
      <c r="B265">
        <v>217.19624328613281</v>
      </c>
    </row>
    <row r="266" spans="1:2" ht="15" customHeight="1" x14ac:dyDescent="0.25">
      <c r="A266">
        <v>253.23036193847656</v>
      </c>
      <c r="B266">
        <v>225.64082336425781</v>
      </c>
    </row>
    <row r="267" spans="1:2" ht="15" customHeight="1" x14ac:dyDescent="0.25">
      <c r="A267">
        <v>255.64280700683594</v>
      </c>
      <c r="B267">
        <v>284.5791015625</v>
      </c>
    </row>
    <row r="268" spans="1:2" ht="15" customHeight="1" x14ac:dyDescent="0.25">
      <c r="A268">
        <v>258.3096923828125</v>
      </c>
      <c r="B268">
        <v>418.17550659179687</v>
      </c>
    </row>
    <row r="269" spans="1:2" ht="15" customHeight="1" x14ac:dyDescent="0.25">
      <c r="A269">
        <v>260.064453125</v>
      </c>
      <c r="B269">
        <v>412.2220458984375</v>
      </c>
    </row>
    <row r="270" spans="1:2" ht="15" customHeight="1" x14ac:dyDescent="0.25">
      <c r="A270">
        <v>256.57635498046875</v>
      </c>
      <c r="B270">
        <v>437.56182861328125</v>
      </c>
    </row>
    <row r="271" spans="1:2" ht="15" customHeight="1" x14ac:dyDescent="0.25">
      <c r="A271">
        <v>267.1881103515625</v>
      </c>
      <c r="B271">
        <v>478.18325805664062</v>
      </c>
    </row>
    <row r="272" spans="1:2" ht="15" customHeight="1" x14ac:dyDescent="0.25">
      <c r="A272">
        <v>341.09500122070312</v>
      </c>
      <c r="B272">
        <v>473.22274780273437</v>
      </c>
    </row>
    <row r="273" spans="1:2" ht="15" customHeight="1" x14ac:dyDescent="0.25">
      <c r="A273">
        <v>486.89285278320312</v>
      </c>
      <c r="B273">
        <v>470.8306884765625</v>
      </c>
    </row>
    <row r="274" spans="1:2" ht="15" customHeight="1" x14ac:dyDescent="0.25">
      <c r="A274">
        <v>471.5345458984375</v>
      </c>
      <c r="B274">
        <v>468.894287109375</v>
      </c>
    </row>
    <row r="275" spans="1:2" ht="15" customHeight="1" x14ac:dyDescent="0.25">
      <c r="A275">
        <v>507.88818359375</v>
      </c>
      <c r="B275">
        <v>452.95416259765625</v>
      </c>
    </row>
    <row r="276" spans="1:2" ht="15" customHeight="1" x14ac:dyDescent="0.25">
      <c r="A276">
        <v>546.27288818359375</v>
      </c>
      <c r="B276">
        <v>451.41574096679687</v>
      </c>
    </row>
    <row r="277" spans="1:2" ht="15" customHeight="1" x14ac:dyDescent="0.25">
      <c r="A277">
        <v>539.7034912109375</v>
      </c>
      <c r="B277">
        <v>484.45050048828125</v>
      </c>
    </row>
    <row r="278" spans="1:2" ht="15" customHeight="1" x14ac:dyDescent="0.25">
      <c r="A278">
        <v>534.3048095703125</v>
      </c>
      <c r="B278">
        <v>430.7120361328125</v>
      </c>
    </row>
    <row r="279" spans="1:2" ht="15" customHeight="1" x14ac:dyDescent="0.25">
      <c r="A279">
        <v>529.67437744140625</v>
      </c>
      <c r="B279">
        <v>420.99822998046875</v>
      </c>
    </row>
    <row r="280" spans="1:2" ht="15" customHeight="1" x14ac:dyDescent="0.25">
      <c r="A280">
        <v>511.74710083007812</v>
      </c>
      <c r="B280">
        <v>425.52120971679687</v>
      </c>
    </row>
    <row r="281" spans="1:2" ht="15" customHeight="1" x14ac:dyDescent="0.25">
      <c r="A281">
        <v>514.99176025390625</v>
      </c>
      <c r="B281">
        <v>425.57904052734375</v>
      </c>
    </row>
    <row r="282" spans="1:2" ht="15" customHeight="1" x14ac:dyDescent="0.25">
      <c r="A282">
        <v>549.85845947265625</v>
      </c>
      <c r="B282">
        <v>423.64047241210937</v>
      </c>
    </row>
    <row r="283" spans="1:2" ht="15" customHeight="1" x14ac:dyDescent="0.25">
      <c r="A283">
        <v>484.20968627929687</v>
      </c>
      <c r="B283">
        <v>390.0699462890625</v>
      </c>
    </row>
    <row r="284" spans="1:2" ht="15" customHeight="1" x14ac:dyDescent="0.25">
      <c r="A284">
        <v>479.6446533203125</v>
      </c>
      <c r="B284">
        <v>326.179931640625</v>
      </c>
    </row>
    <row r="285" spans="1:2" ht="15" customHeight="1" x14ac:dyDescent="0.25">
      <c r="A285">
        <v>483.4698486328125</v>
      </c>
      <c r="B285">
        <v>251.51882934570312</v>
      </c>
    </row>
    <row r="286" spans="1:2" ht="15" customHeight="1" x14ac:dyDescent="0.25">
      <c r="A286">
        <v>484.49124145507812</v>
      </c>
      <c r="B286">
        <v>227.59767150878906</v>
      </c>
    </row>
    <row r="287" spans="1:2" ht="15" customHeight="1" x14ac:dyDescent="0.25">
      <c r="A287">
        <v>481.81710815429687</v>
      </c>
      <c r="B287">
        <v>230.80241394042969</v>
      </c>
    </row>
    <row r="288" spans="1:2" ht="15" customHeight="1" x14ac:dyDescent="0.25">
      <c r="A288">
        <v>439.42367553710937</v>
      </c>
      <c r="B288">
        <v>229.72624206542969</v>
      </c>
    </row>
    <row r="289" spans="1:2" ht="15" customHeight="1" x14ac:dyDescent="0.25">
      <c r="A289">
        <v>363.7293701171875</v>
      </c>
      <c r="B289">
        <v>305.83065795898438</v>
      </c>
    </row>
    <row r="290" spans="1:2" ht="15" customHeight="1" x14ac:dyDescent="0.25">
      <c r="A290">
        <v>285.63552856445312</v>
      </c>
      <c r="B290">
        <v>382.97808837890625</v>
      </c>
    </row>
    <row r="291" spans="1:2" ht="15" customHeight="1" x14ac:dyDescent="0.25">
      <c r="A291">
        <v>266.61773681640625</v>
      </c>
      <c r="B291">
        <v>409.67941284179687</v>
      </c>
    </row>
    <row r="292" spans="1:2" ht="15" customHeight="1" x14ac:dyDescent="0.25">
      <c r="A292">
        <v>272.80169677734375</v>
      </c>
      <c r="B292">
        <v>421.11380004882812</v>
      </c>
    </row>
    <row r="293" spans="1:2" ht="15" customHeight="1" x14ac:dyDescent="0.25">
      <c r="A293">
        <v>271.494873046875</v>
      </c>
      <c r="B293">
        <v>420.70474243164063</v>
      </c>
    </row>
    <row r="294" spans="1:2" ht="15" customHeight="1" x14ac:dyDescent="0.25">
      <c r="A294">
        <v>358.92010498046875</v>
      </c>
      <c r="B294">
        <v>419.09783935546875</v>
      </c>
    </row>
    <row r="295" spans="1:2" ht="15" customHeight="1" x14ac:dyDescent="0.25">
      <c r="A295">
        <v>443.271728515625</v>
      </c>
      <c r="B295">
        <v>422.63333129882813</v>
      </c>
    </row>
    <row r="296" spans="1:2" ht="15" customHeight="1" x14ac:dyDescent="0.25">
      <c r="A296">
        <v>475.1195068359375</v>
      </c>
      <c r="B296">
        <v>461.50946044921875</v>
      </c>
    </row>
    <row r="297" spans="1:2" ht="15" customHeight="1" x14ac:dyDescent="0.25">
      <c r="A297">
        <v>480.62167358398437</v>
      </c>
      <c r="B297">
        <v>512.27685546875</v>
      </c>
    </row>
    <row r="298" spans="1:2" ht="15" customHeight="1" x14ac:dyDescent="0.25">
      <c r="A298">
        <v>475.538330078125</v>
      </c>
      <c r="B298">
        <v>482.45513916015625</v>
      </c>
    </row>
    <row r="299" spans="1:2" ht="15" customHeight="1" x14ac:dyDescent="0.25">
      <c r="A299">
        <v>473.94717407226562</v>
      </c>
      <c r="B299">
        <v>467.24826049804687</v>
      </c>
    </row>
    <row r="300" spans="1:2" ht="15" customHeight="1" x14ac:dyDescent="0.25">
      <c r="A300">
        <v>478.898681640625</v>
      </c>
      <c r="B300">
        <v>461.43893432617188</v>
      </c>
    </row>
    <row r="301" spans="1:2" ht="15" customHeight="1" x14ac:dyDescent="0.25">
      <c r="A301">
        <v>525.793701171875</v>
      </c>
      <c r="B301">
        <v>477.06362915039062</v>
      </c>
    </row>
    <row r="302" spans="1:2" ht="15" customHeight="1" x14ac:dyDescent="0.25">
      <c r="A302">
        <v>580.06732177734375</v>
      </c>
      <c r="B302">
        <v>432.9576416015625</v>
      </c>
    </row>
    <row r="303" spans="1:2" ht="15" customHeight="1" x14ac:dyDescent="0.25">
      <c r="A303">
        <v>539.88128662109375</v>
      </c>
      <c r="B303">
        <v>422.0621337890625</v>
      </c>
    </row>
    <row r="304" spans="1:2" ht="15" customHeight="1" x14ac:dyDescent="0.25">
      <c r="A304">
        <v>523.58319091796875</v>
      </c>
      <c r="B304">
        <v>425.33401489257812</v>
      </c>
    </row>
    <row r="305" spans="1:2" ht="15" customHeight="1" x14ac:dyDescent="0.25">
      <c r="A305">
        <v>522.59075927734375</v>
      </c>
      <c r="B305">
        <v>421.75527954101562</v>
      </c>
    </row>
    <row r="306" spans="1:2" ht="15" customHeight="1" x14ac:dyDescent="0.25">
      <c r="A306">
        <v>544.145263671875</v>
      </c>
      <c r="B306">
        <v>381.00704956054687</v>
      </c>
    </row>
    <row r="307" spans="1:2" ht="15" customHeight="1" x14ac:dyDescent="0.25">
      <c r="A307">
        <v>487.83499145507812</v>
      </c>
      <c r="B307">
        <v>300.98751831054687</v>
      </c>
    </row>
    <row r="308" spans="1:2" ht="15" customHeight="1" x14ac:dyDescent="0.25">
      <c r="A308">
        <v>486.91775512695312</v>
      </c>
      <c r="B308">
        <v>296.17764282226562</v>
      </c>
    </row>
    <row r="309" spans="1:2" ht="15" customHeight="1" x14ac:dyDescent="0.25">
      <c r="A309">
        <v>489.41085815429687</v>
      </c>
      <c r="B309">
        <v>358.54409790039062</v>
      </c>
    </row>
    <row r="310" spans="1:2" ht="15" customHeight="1" x14ac:dyDescent="0.25">
      <c r="A310">
        <v>485.4761962890625</v>
      </c>
      <c r="B310">
        <v>346.24996948242187</v>
      </c>
    </row>
    <row r="311" spans="1:2" ht="15" customHeight="1" x14ac:dyDescent="0.25">
      <c r="A311">
        <v>435.53387451171875</v>
      </c>
      <c r="B311">
        <v>294.64144897460937</v>
      </c>
    </row>
    <row r="312" spans="1:2" ht="15" customHeight="1" x14ac:dyDescent="0.25">
      <c r="A312">
        <v>342.375244140625</v>
      </c>
      <c r="B312">
        <v>333.94931030273437</v>
      </c>
    </row>
    <row r="313" spans="1:2" ht="15" customHeight="1" x14ac:dyDescent="0.25">
      <c r="A313">
        <v>360.10702514648437</v>
      </c>
      <c r="B313">
        <v>379.18118286132812</v>
      </c>
    </row>
    <row r="314" spans="1:2" ht="15" customHeight="1" x14ac:dyDescent="0.25">
      <c r="A314">
        <v>428.77566528320312</v>
      </c>
      <c r="B314">
        <v>402.06301879882812</v>
      </c>
    </row>
    <row r="315" spans="1:2" ht="15" customHeight="1" x14ac:dyDescent="0.25">
      <c r="A315">
        <v>404.03909301757812</v>
      </c>
      <c r="B315">
        <v>418.39871215820312</v>
      </c>
    </row>
    <row r="316" spans="1:2" ht="15" customHeight="1" x14ac:dyDescent="0.25">
      <c r="A316">
        <v>346.28720092773437</v>
      </c>
      <c r="B316">
        <v>421.31765747070312</v>
      </c>
    </row>
    <row r="317" spans="1:2" ht="15" customHeight="1" x14ac:dyDescent="0.25">
      <c r="A317">
        <v>402.01260375976562</v>
      </c>
      <c r="B317">
        <v>423.42706298828125</v>
      </c>
    </row>
    <row r="318" spans="1:2" ht="15" customHeight="1" x14ac:dyDescent="0.25">
      <c r="A318">
        <v>444.84808349609375</v>
      </c>
      <c r="B318">
        <v>423.34912109375</v>
      </c>
    </row>
    <row r="319" spans="1:2" ht="15" customHeight="1" x14ac:dyDescent="0.25">
      <c r="A319">
        <v>465.12210083007812</v>
      </c>
      <c r="B319">
        <v>420.68972778320312</v>
      </c>
    </row>
    <row r="320" spans="1:2" ht="15" customHeight="1" x14ac:dyDescent="0.25">
      <c r="A320">
        <v>482.28988647460937</v>
      </c>
      <c r="B320">
        <v>422.32400512695312</v>
      </c>
    </row>
    <row r="321" spans="1:2" ht="15" customHeight="1" x14ac:dyDescent="0.25">
      <c r="A321">
        <v>485.42758178710937</v>
      </c>
      <c r="B321">
        <v>425.25555419921875</v>
      </c>
    </row>
    <row r="322" spans="1:2" ht="15" customHeight="1" x14ac:dyDescent="0.25">
      <c r="A322">
        <v>487.43112182617187</v>
      </c>
      <c r="B322">
        <v>420.39871215820313</v>
      </c>
    </row>
    <row r="323" spans="1:2" ht="15" customHeight="1" x14ac:dyDescent="0.25">
      <c r="A323">
        <v>482.4034423828125</v>
      </c>
      <c r="B323">
        <v>398.46746826171875</v>
      </c>
    </row>
    <row r="324" spans="1:2" ht="15" customHeight="1" x14ac:dyDescent="0.25">
      <c r="A324">
        <v>484.32632446289062</v>
      </c>
      <c r="B324">
        <v>395.33029174804688</v>
      </c>
    </row>
    <row r="325" spans="1:2" ht="15" customHeight="1" x14ac:dyDescent="0.25">
      <c r="A325">
        <v>496.19058227539062</v>
      </c>
      <c r="B325">
        <v>396.2261962890625</v>
      </c>
    </row>
    <row r="326" spans="1:2" ht="15" customHeight="1" x14ac:dyDescent="0.25">
      <c r="A326">
        <v>497.169677734375</v>
      </c>
      <c r="B326">
        <v>420.36367797851562</v>
      </c>
    </row>
    <row r="327" spans="1:2" ht="15" customHeight="1" x14ac:dyDescent="0.25">
      <c r="A327">
        <v>484.993896484375</v>
      </c>
      <c r="B327">
        <v>422.65927124023437</v>
      </c>
    </row>
    <row r="328" spans="1:2" ht="15" customHeight="1" x14ac:dyDescent="0.25">
      <c r="A328">
        <v>454.3609619140625</v>
      </c>
      <c r="B328">
        <v>423.13980102539062</v>
      </c>
    </row>
    <row r="329" spans="1:2" ht="15" customHeight="1" x14ac:dyDescent="0.25">
      <c r="A329">
        <v>450.05535888671875</v>
      </c>
      <c r="B329">
        <v>409.31179809570312</v>
      </c>
    </row>
    <row r="330" spans="1:2" ht="15" customHeight="1" x14ac:dyDescent="0.25">
      <c r="A330">
        <v>454.647705078125</v>
      </c>
      <c r="B330">
        <v>370.82012939453125</v>
      </c>
    </row>
    <row r="331" spans="1:2" ht="15" customHeight="1" x14ac:dyDescent="0.25">
      <c r="A331">
        <v>484.12893676757812</v>
      </c>
      <c r="B331">
        <v>264.39096069335937</v>
      </c>
    </row>
    <row r="332" spans="1:2" ht="15" customHeight="1" x14ac:dyDescent="0.25">
      <c r="A332">
        <v>487.36514282226562</v>
      </c>
      <c r="B332">
        <v>263.33242797851562</v>
      </c>
    </row>
    <row r="333" spans="1:2" ht="15" customHeight="1" x14ac:dyDescent="0.25">
      <c r="A333">
        <v>486.23486328125</v>
      </c>
      <c r="B333">
        <v>253.66813659667969</v>
      </c>
    </row>
    <row r="334" spans="1:2" ht="15" customHeight="1" x14ac:dyDescent="0.25">
      <c r="A334">
        <v>468.82928466796875</v>
      </c>
      <c r="B334">
        <v>219.16561889648437</v>
      </c>
    </row>
    <row r="335" spans="1:2" ht="15" customHeight="1" x14ac:dyDescent="0.25">
      <c r="A335">
        <v>419.5006103515625</v>
      </c>
      <c r="B335">
        <v>221.97987365722656</v>
      </c>
    </row>
    <row r="336" spans="1:2" ht="15" customHeight="1" x14ac:dyDescent="0.25">
      <c r="A336">
        <v>297.26956176757812</v>
      </c>
      <c r="B336">
        <v>222.17298889160156</v>
      </c>
    </row>
    <row r="337" spans="1:2" ht="15" customHeight="1" x14ac:dyDescent="0.25">
      <c r="A337">
        <v>311.54376220703125</v>
      </c>
      <c r="B337">
        <v>228.75860595703125</v>
      </c>
    </row>
    <row r="338" spans="1:2" ht="15" customHeight="1" x14ac:dyDescent="0.25">
      <c r="A338">
        <v>290.79928588867187</v>
      </c>
      <c r="B338">
        <v>240.43208312988281</v>
      </c>
    </row>
    <row r="339" spans="1:2" ht="15" customHeight="1" x14ac:dyDescent="0.25">
      <c r="A339">
        <v>260.32858276367187</v>
      </c>
      <c r="B339">
        <v>355.53839111328125</v>
      </c>
    </row>
    <row r="340" spans="1:2" ht="15" customHeight="1" x14ac:dyDescent="0.25">
      <c r="A340">
        <v>266.05438232421875</v>
      </c>
      <c r="B340">
        <v>475.72970581054687</v>
      </c>
    </row>
    <row r="341" spans="1:2" ht="15" customHeight="1" x14ac:dyDescent="0.25">
      <c r="A341">
        <v>266.7369384765625</v>
      </c>
      <c r="B341">
        <v>466.4051513671875</v>
      </c>
    </row>
    <row r="342" spans="1:2" ht="15" customHeight="1" x14ac:dyDescent="0.25">
      <c r="A342">
        <v>274.1048583984375</v>
      </c>
      <c r="B342">
        <v>468.23858642578125</v>
      </c>
    </row>
    <row r="343" spans="1:2" ht="15" customHeight="1" x14ac:dyDescent="0.25">
      <c r="A343">
        <v>293.02127075195312</v>
      </c>
      <c r="B343">
        <v>476.47598266601562</v>
      </c>
    </row>
    <row r="344" spans="1:2" ht="15" customHeight="1" x14ac:dyDescent="0.25">
      <c r="A344">
        <v>426.22271728515625</v>
      </c>
      <c r="B344">
        <v>498.07327270507812</v>
      </c>
    </row>
    <row r="345" spans="1:2" ht="15" customHeight="1" x14ac:dyDescent="0.25">
      <c r="A345">
        <v>550.92791748046875</v>
      </c>
      <c r="B345">
        <v>393.84512329101563</v>
      </c>
    </row>
    <row r="346" spans="1:2" ht="15" customHeight="1" x14ac:dyDescent="0.25">
      <c r="A346">
        <v>537.32769775390625</v>
      </c>
      <c r="B346">
        <v>264.2388916015625</v>
      </c>
    </row>
    <row r="347" spans="1:2" ht="15" customHeight="1" x14ac:dyDescent="0.25">
      <c r="A347">
        <v>542.86383056640625</v>
      </c>
      <c r="B347">
        <v>230.04812622070312</v>
      </c>
    </row>
    <row r="348" spans="1:2" ht="15" customHeight="1" x14ac:dyDescent="0.25">
      <c r="A348">
        <v>552.77557373046875</v>
      </c>
      <c r="B348">
        <v>229.62188720703125</v>
      </c>
    </row>
    <row r="349" spans="1:2" ht="15" customHeight="1" x14ac:dyDescent="0.25">
      <c r="A349">
        <v>576.10125732421875</v>
      </c>
      <c r="B349">
        <v>304.2598876953125</v>
      </c>
    </row>
    <row r="350" spans="1:2" ht="15" customHeight="1" x14ac:dyDescent="0.25">
      <c r="A350">
        <v>442.35507202148437</v>
      </c>
      <c r="B350">
        <v>394.53131103515625</v>
      </c>
    </row>
    <row r="351" spans="1:2" ht="15" customHeight="1" x14ac:dyDescent="0.25">
      <c r="A351">
        <v>303.65380859375</v>
      </c>
      <c r="B351">
        <v>389.11639404296875</v>
      </c>
    </row>
    <row r="352" spans="1:2" ht="15" customHeight="1" x14ac:dyDescent="0.25">
      <c r="A352">
        <v>281.99905395507812</v>
      </c>
      <c r="B352">
        <v>391.32818603515625</v>
      </c>
    </row>
    <row r="353" spans="1:2" ht="15" customHeight="1" x14ac:dyDescent="0.25">
      <c r="A353">
        <v>280.4464111328125</v>
      </c>
      <c r="B353">
        <v>397.49014282226562</v>
      </c>
    </row>
    <row r="354" spans="1:2" ht="15" customHeight="1" x14ac:dyDescent="0.25">
      <c r="A354">
        <v>373.05691528320312</v>
      </c>
      <c r="B354">
        <v>351.45748901367187</v>
      </c>
    </row>
    <row r="355" spans="1:2" ht="15" customHeight="1" x14ac:dyDescent="0.25">
      <c r="A355">
        <v>450.50247192382812</v>
      </c>
      <c r="B355">
        <v>261.05538940429687</v>
      </c>
    </row>
    <row r="356" spans="1:2" ht="15" customHeight="1" x14ac:dyDescent="0.25">
      <c r="A356">
        <v>435.86160278320312</v>
      </c>
      <c r="B356">
        <v>216.75759887695312</v>
      </c>
    </row>
    <row r="357" spans="1:2" ht="15" customHeight="1" x14ac:dyDescent="0.25">
      <c r="A357">
        <v>439.91079711914062</v>
      </c>
      <c r="B357">
        <v>220.95588684082031</v>
      </c>
    </row>
    <row r="358" spans="1:2" ht="15" customHeight="1" x14ac:dyDescent="0.25">
      <c r="A358">
        <v>450.01528930664062</v>
      </c>
      <c r="B358">
        <v>229.96241760253906</v>
      </c>
    </row>
    <row r="359" spans="1:2" ht="15" customHeight="1" x14ac:dyDescent="0.25">
      <c r="A359">
        <v>389.29159545898437</v>
      </c>
      <c r="B359">
        <v>217.56831359863281</v>
      </c>
    </row>
    <row r="360" spans="1:2" ht="15" customHeight="1" x14ac:dyDescent="0.25">
      <c r="A360">
        <v>294.11212158203125</v>
      </c>
      <c r="B360">
        <v>217.87115478515625</v>
      </c>
    </row>
    <row r="361" spans="1:2" ht="15" customHeight="1" x14ac:dyDescent="0.25">
      <c r="A361">
        <v>255.9215087890625</v>
      </c>
      <c r="B361">
        <v>223.80255126953125</v>
      </c>
    </row>
    <row r="362" spans="1:2" ht="15" customHeight="1" x14ac:dyDescent="0.25">
      <c r="A362">
        <v>259.94021606445312</v>
      </c>
      <c r="B362">
        <v>262.91189575195312</v>
      </c>
    </row>
    <row r="363" spans="1:2" ht="15" customHeight="1" x14ac:dyDescent="0.25">
      <c r="A363">
        <v>267.41702270507812</v>
      </c>
      <c r="B363">
        <v>377.04067993164062</v>
      </c>
    </row>
    <row r="364" spans="1:2" ht="15" customHeight="1" x14ac:dyDescent="0.25">
      <c r="A364">
        <v>257.89642333984375</v>
      </c>
      <c r="B364">
        <v>502.47235107421875</v>
      </c>
    </row>
    <row r="365" spans="1:2" ht="15" customHeight="1" x14ac:dyDescent="0.25">
      <c r="A365">
        <v>260.709228515625</v>
      </c>
      <c r="B365">
        <v>515.47821044921875</v>
      </c>
    </row>
    <row r="366" spans="1:2" ht="15" customHeight="1" x14ac:dyDescent="0.25">
      <c r="A366">
        <v>266.5313720703125</v>
      </c>
      <c r="B366">
        <v>525.61737060546875</v>
      </c>
    </row>
    <row r="367" spans="1:2" ht="15" customHeight="1" x14ac:dyDescent="0.25">
      <c r="A367">
        <v>314.11013793945312</v>
      </c>
      <c r="B367">
        <v>529.92364501953125</v>
      </c>
    </row>
    <row r="368" spans="1:2" ht="15" customHeight="1" x14ac:dyDescent="0.25">
      <c r="A368">
        <v>443.70278930664062</v>
      </c>
      <c r="B368">
        <v>522.7989501953125</v>
      </c>
    </row>
    <row r="369" spans="1:2" ht="15" customHeight="1" x14ac:dyDescent="0.25">
      <c r="A369">
        <v>581.39544677734375</v>
      </c>
      <c r="B369">
        <v>510.69778442382812</v>
      </c>
    </row>
    <row r="370" spans="1:2" ht="15" customHeight="1" x14ac:dyDescent="0.25">
      <c r="A370">
        <v>587.66595458984375</v>
      </c>
      <c r="B370">
        <v>469.961669921875</v>
      </c>
    </row>
    <row r="371" spans="1:2" ht="15" customHeight="1" x14ac:dyDescent="0.25">
      <c r="A371">
        <v>604.936767578125</v>
      </c>
      <c r="B371">
        <v>402.92684936523437</v>
      </c>
    </row>
    <row r="372" spans="1:2" ht="15" customHeight="1" x14ac:dyDescent="0.25">
      <c r="A372">
        <v>613.5186767578125</v>
      </c>
      <c r="B372">
        <v>337.38677978515625</v>
      </c>
    </row>
    <row r="373" spans="1:2" ht="15" customHeight="1" x14ac:dyDescent="0.25">
      <c r="A373">
        <v>607.3492431640625</v>
      </c>
      <c r="B373">
        <v>376.6182861328125</v>
      </c>
    </row>
    <row r="374" spans="1:2" ht="15" customHeight="1" x14ac:dyDescent="0.25">
      <c r="A374">
        <v>590.21380615234375</v>
      </c>
      <c r="B374">
        <v>421.86953735351563</v>
      </c>
    </row>
    <row r="375" spans="1:2" ht="15" customHeight="1" x14ac:dyDescent="0.25">
      <c r="A375">
        <v>544.2818603515625</v>
      </c>
      <c r="B375">
        <v>381.62026977539062</v>
      </c>
    </row>
    <row r="376" spans="1:2" ht="15" customHeight="1" x14ac:dyDescent="0.25">
      <c r="A376">
        <v>459.71536254882812</v>
      </c>
      <c r="B376">
        <v>355.08578491210937</v>
      </c>
    </row>
    <row r="377" spans="1:2" ht="15" customHeight="1" x14ac:dyDescent="0.25">
      <c r="A377">
        <v>390.91897583007812</v>
      </c>
      <c r="B377">
        <v>294.38040161132812</v>
      </c>
    </row>
    <row r="378" spans="1:2" ht="15" customHeight="1" x14ac:dyDescent="0.25">
      <c r="A378">
        <v>442.54547119140625</v>
      </c>
      <c r="B378">
        <v>279.20510864257812</v>
      </c>
    </row>
    <row r="379" spans="1:2" ht="15" customHeight="1" x14ac:dyDescent="0.25">
      <c r="A379">
        <v>493.11965942382812</v>
      </c>
      <c r="B379">
        <v>230.083251953125</v>
      </c>
    </row>
    <row r="380" spans="1:2" ht="15" customHeight="1" x14ac:dyDescent="0.25">
      <c r="A380">
        <v>436.35659790039062</v>
      </c>
      <c r="B380">
        <v>256.94882202148437</v>
      </c>
    </row>
    <row r="381" spans="1:2" ht="15" customHeight="1" x14ac:dyDescent="0.25">
      <c r="A381">
        <v>406.61495971679687</v>
      </c>
      <c r="B381">
        <v>241.83236694335938</v>
      </c>
    </row>
    <row r="382" spans="1:2" ht="15" customHeight="1" x14ac:dyDescent="0.25">
      <c r="A382">
        <v>339.38613891601562</v>
      </c>
      <c r="B382">
        <v>240.17692565917969</v>
      </c>
    </row>
    <row r="383" spans="1:2" ht="15" customHeight="1" x14ac:dyDescent="0.25">
      <c r="A383">
        <v>322.25833129882812</v>
      </c>
      <c r="B383">
        <v>239.5643310546875</v>
      </c>
    </row>
    <row r="384" spans="1:2" ht="15" customHeight="1" x14ac:dyDescent="0.25">
      <c r="A384">
        <v>272.24966430664062</v>
      </c>
      <c r="B384">
        <v>236.556396484375</v>
      </c>
    </row>
    <row r="385" spans="1:2" ht="15" customHeight="1" x14ac:dyDescent="0.25">
      <c r="A385">
        <v>308.19424438476562</v>
      </c>
      <c r="B385">
        <v>258.95755004882812</v>
      </c>
    </row>
    <row r="386" spans="1:2" ht="15" customHeight="1" x14ac:dyDescent="0.25">
      <c r="A386">
        <v>286.61672973632812</v>
      </c>
      <c r="B386">
        <v>252.71418762207031</v>
      </c>
    </row>
    <row r="387" spans="1:2" ht="15" customHeight="1" x14ac:dyDescent="0.25">
      <c r="A387">
        <v>285.69290161132812</v>
      </c>
      <c r="B387">
        <v>284.86233520507812</v>
      </c>
    </row>
    <row r="388" spans="1:2" ht="15" customHeight="1" x14ac:dyDescent="0.25">
      <c r="A388">
        <v>285.003173828125</v>
      </c>
      <c r="B388">
        <v>270.0703125</v>
      </c>
    </row>
    <row r="389" spans="1:2" ht="15" customHeight="1" x14ac:dyDescent="0.25">
      <c r="A389">
        <v>282.8851318359375</v>
      </c>
      <c r="B389">
        <v>248.09761047363281</v>
      </c>
    </row>
    <row r="390" spans="1:2" ht="15" customHeight="1" x14ac:dyDescent="0.25">
      <c r="A390">
        <v>311.53164672851563</v>
      </c>
      <c r="B390">
        <v>249.63401794433594</v>
      </c>
    </row>
    <row r="391" spans="1:2" ht="15" customHeight="1" x14ac:dyDescent="0.25">
      <c r="A391">
        <v>295.24929809570312</v>
      </c>
      <c r="B391">
        <v>248.0269775390625</v>
      </c>
    </row>
    <row r="392" spans="1:2" ht="15" customHeight="1" x14ac:dyDescent="0.25">
      <c r="A392">
        <v>341.6285400390625</v>
      </c>
      <c r="B392">
        <v>248.56794738769531</v>
      </c>
    </row>
    <row r="393" spans="1:2" ht="15" customHeight="1" x14ac:dyDescent="0.25">
      <c r="A393">
        <v>316.6427001953125</v>
      </c>
      <c r="B393">
        <v>245.2542724609375</v>
      </c>
    </row>
    <row r="394" spans="1:2" ht="15" customHeight="1" x14ac:dyDescent="0.25">
      <c r="A394">
        <v>294.57913208007813</v>
      </c>
      <c r="B394">
        <v>242.04257202148437</v>
      </c>
    </row>
    <row r="395" spans="1:2" ht="15" customHeight="1" x14ac:dyDescent="0.25">
      <c r="A395">
        <v>298.67926025390625</v>
      </c>
      <c r="B395">
        <v>239.65806579589844</v>
      </c>
    </row>
    <row r="396" spans="1:2" ht="15" customHeight="1" x14ac:dyDescent="0.25">
      <c r="A396">
        <v>295.7979736328125</v>
      </c>
      <c r="B396">
        <v>245.75749206542969</v>
      </c>
    </row>
    <row r="397" spans="1:2" ht="15" customHeight="1" x14ac:dyDescent="0.25">
      <c r="A397">
        <v>294.337646484375</v>
      </c>
      <c r="B397">
        <v>252.41007995605469</v>
      </c>
    </row>
    <row r="398" spans="1:2" ht="15" customHeight="1" x14ac:dyDescent="0.25">
      <c r="A398">
        <v>291.33987426757812</v>
      </c>
      <c r="B398">
        <v>284.8782958984375</v>
      </c>
    </row>
    <row r="399" spans="1:2" ht="15" customHeight="1" x14ac:dyDescent="0.25">
      <c r="A399">
        <v>287.51968383789062</v>
      </c>
      <c r="B399">
        <v>269.1116943359375</v>
      </c>
    </row>
    <row r="400" spans="1:2" ht="15" customHeight="1" x14ac:dyDescent="0.25">
      <c r="A400">
        <v>283.49191284179687</v>
      </c>
      <c r="B400">
        <v>235.45103454589844</v>
      </c>
    </row>
    <row r="401" spans="1:2" ht="15" customHeight="1" x14ac:dyDescent="0.25">
      <c r="A401">
        <v>291.82049560546875</v>
      </c>
      <c r="B401">
        <v>237.09149169921875</v>
      </c>
    </row>
    <row r="402" spans="1:2" ht="15" customHeight="1" x14ac:dyDescent="0.25">
      <c r="A402">
        <v>301.15606689453125</v>
      </c>
      <c r="B402">
        <v>236.7158203125</v>
      </c>
    </row>
    <row r="403" spans="1:2" ht="15" customHeight="1" x14ac:dyDescent="0.25">
      <c r="A403">
        <v>340.65655517578125</v>
      </c>
      <c r="B403">
        <v>237.10736083984375</v>
      </c>
    </row>
    <row r="404" spans="1:2" ht="15" customHeight="1" x14ac:dyDescent="0.25">
      <c r="A404">
        <v>312.17697143554687</v>
      </c>
      <c r="B404">
        <v>214.20947265625</v>
      </c>
    </row>
    <row r="405" spans="1:2" ht="15" customHeight="1" x14ac:dyDescent="0.25">
      <c r="A405">
        <v>286.0260009765625</v>
      </c>
      <c r="B405">
        <v>206.19200134277344</v>
      </c>
    </row>
    <row r="406" spans="1:2" ht="15" customHeight="1" x14ac:dyDescent="0.25">
      <c r="A406">
        <v>286.620361328125</v>
      </c>
      <c r="B406">
        <v>206.57002258300781</v>
      </c>
    </row>
    <row r="407" spans="1:2" ht="15" customHeight="1" x14ac:dyDescent="0.25">
      <c r="A407">
        <v>287.52456665039062</v>
      </c>
      <c r="B407">
        <v>208.21435546875</v>
      </c>
    </row>
    <row r="408" spans="1:2" ht="15" customHeight="1" x14ac:dyDescent="0.25">
      <c r="A408">
        <v>287.86563110351562</v>
      </c>
      <c r="B408">
        <v>206.89701843261719</v>
      </c>
    </row>
    <row r="409" spans="1:2" ht="15" customHeight="1" x14ac:dyDescent="0.25">
      <c r="A409">
        <v>256.61087036132813</v>
      </c>
      <c r="B409">
        <v>208.32159423828125</v>
      </c>
    </row>
    <row r="410" spans="1:2" ht="15" customHeight="1" x14ac:dyDescent="0.25">
      <c r="A410">
        <v>248.14828491210937</v>
      </c>
      <c r="B410">
        <v>218.89427185058594</v>
      </c>
    </row>
    <row r="411" spans="1:2" ht="15" customHeight="1" x14ac:dyDescent="0.25">
      <c r="A411">
        <v>248.93597412109375</v>
      </c>
      <c r="B411">
        <v>230.86679077148437</v>
      </c>
    </row>
    <row r="412" spans="1:2" ht="15" customHeight="1" x14ac:dyDescent="0.25">
      <c r="A412">
        <v>249.74606323242187</v>
      </c>
      <c r="B412">
        <v>218.79716491699219</v>
      </c>
    </row>
    <row r="413" spans="1:2" ht="15" customHeight="1" x14ac:dyDescent="0.25">
      <c r="A413">
        <v>253.95416259765625</v>
      </c>
      <c r="B413">
        <v>223.5726318359375</v>
      </c>
    </row>
    <row r="414" spans="1:2" ht="15" customHeight="1" x14ac:dyDescent="0.25">
      <c r="A414">
        <v>254.7589111328125</v>
      </c>
      <c r="B414">
        <v>230.83197021484375</v>
      </c>
    </row>
    <row r="415" spans="1:2" ht="15" customHeight="1" x14ac:dyDescent="0.25">
      <c r="A415">
        <v>269.58694458007813</v>
      </c>
      <c r="B415">
        <v>226.88284301757812</v>
      </c>
    </row>
    <row r="416" spans="1:2" ht="15" customHeight="1" x14ac:dyDescent="0.25">
      <c r="A416">
        <v>279.91021728515625</v>
      </c>
      <c r="B416">
        <v>220.50117492675781</v>
      </c>
    </row>
    <row r="417" spans="1:2" ht="15" customHeight="1" x14ac:dyDescent="0.25">
      <c r="A417">
        <v>266.49298095703125</v>
      </c>
      <c r="B417">
        <v>220.36454772949219</v>
      </c>
    </row>
    <row r="418" spans="1:2" ht="15" customHeight="1" x14ac:dyDescent="0.25">
      <c r="A418">
        <v>273.27304077148437</v>
      </c>
      <c r="B418">
        <v>219.40223693847656</v>
      </c>
    </row>
    <row r="419" spans="1:2" ht="15" customHeight="1" x14ac:dyDescent="0.25">
      <c r="A419">
        <v>280.10165405273437</v>
      </c>
      <c r="B419">
        <v>218.23420715332031</v>
      </c>
    </row>
    <row r="420" spans="1:2" ht="15" customHeight="1" x14ac:dyDescent="0.25">
      <c r="A420">
        <v>269.90814208984375</v>
      </c>
      <c r="B420">
        <v>218.2642822265625</v>
      </c>
    </row>
    <row r="421" spans="1:2" ht="15" customHeight="1" x14ac:dyDescent="0.25">
      <c r="A421">
        <v>263.40753173828125</v>
      </c>
      <c r="B421">
        <v>232.37969970703125</v>
      </c>
    </row>
    <row r="422" spans="1:2" ht="15" customHeight="1" x14ac:dyDescent="0.25">
      <c r="A422">
        <v>259.20889282226562</v>
      </c>
      <c r="B422">
        <v>291.39767456054687</v>
      </c>
    </row>
    <row r="423" spans="1:2" ht="15" customHeight="1" x14ac:dyDescent="0.25">
      <c r="A423">
        <v>258.78707885742187</v>
      </c>
      <c r="B423">
        <v>413.21218872070312</v>
      </c>
    </row>
    <row r="424" spans="1:2" ht="15" customHeight="1" x14ac:dyDescent="0.25">
      <c r="A424">
        <v>257.94601440429688</v>
      </c>
      <c r="B424">
        <v>426.40762329101562</v>
      </c>
    </row>
    <row r="425" spans="1:2" ht="15" customHeight="1" x14ac:dyDescent="0.25">
      <c r="A425">
        <v>259.08572387695312</v>
      </c>
      <c r="B425">
        <v>389.71163940429688</v>
      </c>
    </row>
    <row r="426" spans="1:2" ht="15" customHeight="1" x14ac:dyDescent="0.25">
      <c r="A426">
        <v>276.43020629882812</v>
      </c>
      <c r="B426">
        <v>297.23117065429687</v>
      </c>
    </row>
    <row r="427" spans="1:2" ht="15" customHeight="1" x14ac:dyDescent="0.25">
      <c r="A427">
        <v>341.88754272460937</v>
      </c>
      <c r="B427">
        <v>232.4091796875</v>
      </c>
    </row>
    <row r="428" spans="1:2" ht="15" customHeight="1" x14ac:dyDescent="0.25">
      <c r="A428">
        <v>481.6346435546875</v>
      </c>
      <c r="B428">
        <v>224.71015930175781</v>
      </c>
    </row>
    <row r="429" spans="1:2" ht="15" customHeight="1" x14ac:dyDescent="0.25">
      <c r="A429">
        <v>488.07186889648437</v>
      </c>
      <c r="B429">
        <v>223.29219055175781</v>
      </c>
    </row>
    <row r="430" spans="1:2" ht="15" customHeight="1" x14ac:dyDescent="0.25">
      <c r="A430">
        <v>440.98358154296875</v>
      </c>
      <c r="B430">
        <v>218.576904296875</v>
      </c>
    </row>
    <row r="431" spans="1:2" ht="15" customHeight="1" x14ac:dyDescent="0.25">
      <c r="A431">
        <v>338.77816772460937</v>
      </c>
      <c r="B431">
        <v>220.93376159667969</v>
      </c>
    </row>
    <row r="432" spans="1:2" ht="15" customHeight="1" x14ac:dyDescent="0.25">
      <c r="A432">
        <v>270.621337890625</v>
      </c>
      <c r="B432">
        <v>223.54617309570312</v>
      </c>
    </row>
    <row r="433" spans="1:2" ht="15" customHeight="1" x14ac:dyDescent="0.25">
      <c r="A433">
        <v>263.45309448242187</v>
      </c>
      <c r="B433">
        <v>239.389892578125</v>
      </c>
    </row>
    <row r="434" spans="1:2" ht="15" customHeight="1" x14ac:dyDescent="0.25">
      <c r="A434">
        <v>261.48367309570312</v>
      </c>
      <c r="B434">
        <v>276.5062255859375</v>
      </c>
    </row>
    <row r="435" spans="1:2" ht="15" customHeight="1" x14ac:dyDescent="0.25">
      <c r="A435">
        <v>256.20257568359375</v>
      </c>
      <c r="B435">
        <v>348.5157470703125</v>
      </c>
    </row>
    <row r="436" spans="1:2" ht="15" customHeight="1" x14ac:dyDescent="0.25">
      <c r="A436">
        <v>259.52200317382812</v>
      </c>
      <c r="B436">
        <v>414.6915283203125</v>
      </c>
    </row>
    <row r="437" spans="1:2" ht="15" customHeight="1" x14ac:dyDescent="0.25">
      <c r="A437">
        <v>261.69775390625</v>
      </c>
      <c r="B437">
        <v>333.36395263671875</v>
      </c>
    </row>
    <row r="438" spans="1:2" ht="15" customHeight="1" x14ac:dyDescent="0.25">
      <c r="A438">
        <v>276.7978515625</v>
      </c>
      <c r="B438">
        <v>422.66305541992187</v>
      </c>
    </row>
    <row r="439" spans="1:2" ht="15" customHeight="1" x14ac:dyDescent="0.25">
      <c r="A439">
        <v>320.02252197265625</v>
      </c>
      <c r="B439">
        <v>426.71755981445312</v>
      </c>
    </row>
    <row r="440" spans="1:2" ht="15" customHeight="1" x14ac:dyDescent="0.25">
      <c r="A440">
        <v>401.6976318359375</v>
      </c>
      <c r="B440">
        <v>373.67257690429687</v>
      </c>
    </row>
    <row r="441" spans="1:2" ht="15" customHeight="1" x14ac:dyDescent="0.25">
      <c r="A441">
        <v>462.52374267578125</v>
      </c>
      <c r="B441">
        <v>328.5750732421875</v>
      </c>
    </row>
    <row r="442" spans="1:2" ht="15" customHeight="1" x14ac:dyDescent="0.25">
      <c r="A442">
        <v>381.21566772460937</v>
      </c>
      <c r="B442">
        <v>318.47122192382812</v>
      </c>
    </row>
    <row r="443" spans="1:2" ht="15" customHeight="1" x14ac:dyDescent="0.25">
      <c r="A443">
        <v>485.58688354492188</v>
      </c>
      <c r="B443">
        <v>289.9837646484375</v>
      </c>
    </row>
    <row r="444" spans="1:2" ht="15" customHeight="1" x14ac:dyDescent="0.25">
      <c r="A444">
        <v>473.58648681640625</v>
      </c>
      <c r="B444">
        <v>278.733154296875</v>
      </c>
    </row>
    <row r="445" spans="1:2" ht="15" customHeight="1" x14ac:dyDescent="0.25">
      <c r="A445">
        <v>409.59762573242187</v>
      </c>
      <c r="B445">
        <v>300.33395385742187</v>
      </c>
    </row>
    <row r="446" spans="1:2" ht="15" customHeight="1" x14ac:dyDescent="0.25">
      <c r="A446">
        <v>364.70516967773437</v>
      </c>
      <c r="B446">
        <v>351.28140258789062</v>
      </c>
    </row>
    <row r="447" spans="1:2" ht="15" customHeight="1" x14ac:dyDescent="0.25">
      <c r="A447">
        <v>354.21539306640625</v>
      </c>
      <c r="B447">
        <v>360.32369995117187</v>
      </c>
    </row>
    <row r="448" spans="1:2" ht="15" customHeight="1" x14ac:dyDescent="0.25">
      <c r="A448">
        <v>335.22210693359375</v>
      </c>
      <c r="B448">
        <v>281.39407348632812</v>
      </c>
    </row>
    <row r="449" spans="1:2" ht="15" customHeight="1" x14ac:dyDescent="0.25">
      <c r="A449">
        <v>310.54965209960937</v>
      </c>
      <c r="B449">
        <v>226.81158447265625</v>
      </c>
    </row>
    <row r="450" spans="1:2" ht="15" customHeight="1" x14ac:dyDescent="0.25">
      <c r="A450">
        <v>341.9605712890625</v>
      </c>
      <c r="B450">
        <v>217.68693542480469</v>
      </c>
    </row>
    <row r="451" spans="1:2" ht="15" customHeight="1" x14ac:dyDescent="0.25">
      <c r="A451">
        <v>393.83273315429687</v>
      </c>
      <c r="B451">
        <v>210.02285766601562</v>
      </c>
    </row>
    <row r="452" spans="1:2" ht="15" customHeight="1" x14ac:dyDescent="0.25">
      <c r="A452">
        <v>393.76669311523437</v>
      </c>
      <c r="B452">
        <v>207.29519653320312</v>
      </c>
    </row>
    <row r="453" spans="1:2" ht="15" customHeight="1" x14ac:dyDescent="0.25">
      <c r="A453">
        <v>306.67315673828125</v>
      </c>
      <c r="B453">
        <v>207.1302490234375</v>
      </c>
    </row>
    <row r="454" spans="1:2" ht="15" customHeight="1" x14ac:dyDescent="0.25">
      <c r="A454">
        <v>258.49420166015625</v>
      </c>
      <c r="B454">
        <v>208.4849853515625</v>
      </c>
    </row>
    <row r="455" spans="1:2" ht="15" customHeight="1" x14ac:dyDescent="0.25">
      <c r="A455">
        <v>248.01667785644531</v>
      </c>
      <c r="B455">
        <v>209.87001037597656</v>
      </c>
    </row>
    <row r="456" spans="1:2" ht="15" customHeight="1" x14ac:dyDescent="0.25">
      <c r="A456">
        <v>242.32377624511719</v>
      </c>
      <c r="B456">
        <v>214.01310729980469</v>
      </c>
    </row>
    <row r="457" spans="1:2" ht="15" customHeight="1" x14ac:dyDescent="0.25">
      <c r="A457">
        <v>244.29840087890625</v>
      </c>
      <c r="B457">
        <v>217.97137451171875</v>
      </c>
    </row>
    <row r="458" spans="1:2" ht="15" customHeight="1" x14ac:dyDescent="0.25">
      <c r="A458">
        <v>246.96083068847656</v>
      </c>
      <c r="B458">
        <v>285.68515014648437</v>
      </c>
    </row>
    <row r="459" spans="1:2" ht="15" customHeight="1" x14ac:dyDescent="0.25">
      <c r="A459">
        <v>249.96047973632812</v>
      </c>
      <c r="B459">
        <v>293.20639038085937</v>
      </c>
    </row>
    <row r="460" spans="1:2" ht="15" customHeight="1" x14ac:dyDescent="0.25">
      <c r="A460">
        <v>252.45872497558594</v>
      </c>
      <c r="B460">
        <v>294.07098388671875</v>
      </c>
    </row>
    <row r="461" spans="1:2" ht="15" customHeight="1" x14ac:dyDescent="0.25">
      <c r="A461">
        <v>258.30352783203125</v>
      </c>
      <c r="B461">
        <v>295.33865356445312</v>
      </c>
    </row>
    <row r="462" spans="1:2" ht="15" customHeight="1" x14ac:dyDescent="0.25">
      <c r="A462">
        <v>261.8282470703125</v>
      </c>
      <c r="B462">
        <v>290.4691162109375</v>
      </c>
    </row>
    <row r="463" spans="1:2" ht="15" customHeight="1" x14ac:dyDescent="0.25">
      <c r="A463">
        <v>348.75466918945312</v>
      </c>
      <c r="B463">
        <v>292.42483520507812</v>
      </c>
    </row>
    <row r="464" spans="1:2" ht="15" customHeight="1" x14ac:dyDescent="0.25">
      <c r="A464">
        <v>334.24197387695312</v>
      </c>
      <c r="B464">
        <v>276.3734130859375</v>
      </c>
    </row>
    <row r="465" spans="1:2" ht="15" customHeight="1" x14ac:dyDescent="0.25">
      <c r="A465">
        <v>336.38043212890625</v>
      </c>
      <c r="B465">
        <v>275.51681518554687</v>
      </c>
    </row>
    <row r="466" spans="1:2" ht="15" customHeight="1" x14ac:dyDescent="0.25">
      <c r="A466">
        <v>336.51593017578125</v>
      </c>
      <c r="B466">
        <v>259.34771728515625</v>
      </c>
    </row>
    <row r="467" spans="1:2" ht="15" customHeight="1" x14ac:dyDescent="0.25">
      <c r="A467">
        <v>327.500244140625</v>
      </c>
      <c r="B467">
        <v>254.16007995605469</v>
      </c>
    </row>
    <row r="468" spans="1:2" ht="15" customHeight="1" x14ac:dyDescent="0.25">
      <c r="A468">
        <v>327.7191162109375</v>
      </c>
      <c r="B468">
        <v>261.50408935546875</v>
      </c>
    </row>
    <row r="469" spans="1:2" ht="15" customHeight="1" x14ac:dyDescent="0.25">
      <c r="A469">
        <v>316.42425537109375</v>
      </c>
      <c r="B469">
        <v>364.9970703125</v>
      </c>
    </row>
    <row r="470" spans="1:2" ht="15" customHeight="1" x14ac:dyDescent="0.25">
      <c r="A470">
        <v>313.928466796875</v>
      </c>
      <c r="B470">
        <v>455.53878784179687</v>
      </c>
    </row>
    <row r="471" spans="1:2" ht="15" customHeight="1" x14ac:dyDescent="0.25">
      <c r="A471">
        <v>291.94461059570312</v>
      </c>
      <c r="B471">
        <v>419.6488037109375</v>
      </c>
    </row>
    <row r="472" spans="1:2" ht="15" customHeight="1" x14ac:dyDescent="0.25">
      <c r="A472">
        <v>297.84536743164063</v>
      </c>
      <c r="B472">
        <v>417.4599609375</v>
      </c>
    </row>
    <row r="473" spans="1:2" ht="15" customHeight="1" x14ac:dyDescent="0.25">
      <c r="A473">
        <v>311.64620971679687</v>
      </c>
      <c r="B473">
        <v>379.77578735351562</v>
      </c>
    </row>
    <row r="474" spans="1:2" ht="15" customHeight="1" x14ac:dyDescent="0.25">
      <c r="A474">
        <v>432.2403564453125</v>
      </c>
      <c r="B474">
        <v>269.09451293945313</v>
      </c>
    </row>
    <row r="475" spans="1:2" ht="15" customHeight="1" x14ac:dyDescent="0.25">
      <c r="A475">
        <v>523.733642578125</v>
      </c>
      <c r="B475">
        <v>229.57891845703125</v>
      </c>
    </row>
    <row r="476" spans="1:2" ht="15" customHeight="1" x14ac:dyDescent="0.25">
      <c r="A476">
        <v>471.13946533203125</v>
      </c>
      <c r="B476">
        <v>211.47476196289062</v>
      </c>
    </row>
    <row r="477" spans="1:2" ht="15" customHeight="1" x14ac:dyDescent="0.25">
      <c r="A477">
        <v>462.89715576171875</v>
      </c>
      <c r="B477">
        <v>208.96255493164062</v>
      </c>
    </row>
    <row r="478" spans="1:2" ht="15" customHeight="1" x14ac:dyDescent="0.25">
      <c r="A478">
        <v>413.1317138671875</v>
      </c>
      <c r="B478">
        <v>209.51930236816406</v>
      </c>
    </row>
    <row r="479" spans="1:2" ht="15" customHeight="1" x14ac:dyDescent="0.25">
      <c r="A479">
        <v>298.36038208007812</v>
      </c>
      <c r="B479">
        <v>210.66119384765625</v>
      </c>
    </row>
    <row r="480" spans="1:2" ht="15" customHeight="1" x14ac:dyDescent="0.25">
      <c r="A480">
        <v>270.8087158203125</v>
      </c>
      <c r="B480">
        <v>210.43672180175781</v>
      </c>
    </row>
    <row r="481" spans="1:2" ht="15" customHeight="1" x14ac:dyDescent="0.25">
      <c r="A481">
        <v>253.72236633300781</v>
      </c>
      <c r="B481">
        <v>219.26123046875</v>
      </c>
    </row>
    <row r="482" spans="1:2" ht="15" customHeight="1" x14ac:dyDescent="0.25">
      <c r="A482">
        <v>251.79508972167969</v>
      </c>
      <c r="B482">
        <v>233.04386901855469</v>
      </c>
    </row>
    <row r="483" spans="1:2" ht="15" customHeight="1" x14ac:dyDescent="0.25">
      <c r="A483">
        <v>254.40290832519531</v>
      </c>
      <c r="B483">
        <v>332.162353515625</v>
      </c>
    </row>
    <row r="484" spans="1:2" ht="15" customHeight="1" x14ac:dyDescent="0.25">
      <c r="A484">
        <v>257.03475952148437</v>
      </c>
      <c r="B484">
        <v>418.45217895507812</v>
      </c>
    </row>
    <row r="485" spans="1:2" ht="15" customHeight="1" x14ac:dyDescent="0.25">
      <c r="A485">
        <v>258.302978515625</v>
      </c>
      <c r="B485">
        <v>399.46401977539062</v>
      </c>
    </row>
    <row r="486" spans="1:2" ht="15" customHeight="1" x14ac:dyDescent="0.25">
      <c r="A486">
        <v>259.721435546875</v>
      </c>
      <c r="B486">
        <v>380.72988891601562</v>
      </c>
    </row>
    <row r="487" spans="1:2" ht="15" customHeight="1" x14ac:dyDescent="0.25">
      <c r="A487">
        <v>269.99252319335937</v>
      </c>
      <c r="B487">
        <v>415.59832763671875</v>
      </c>
    </row>
    <row r="488" spans="1:2" ht="15" customHeight="1" x14ac:dyDescent="0.25">
      <c r="A488">
        <v>381.39288330078125</v>
      </c>
      <c r="B488">
        <v>402.1904296875</v>
      </c>
    </row>
    <row r="489" spans="1:2" ht="15" customHeight="1" x14ac:dyDescent="0.25">
      <c r="A489">
        <v>462.397216796875</v>
      </c>
      <c r="B489">
        <v>349.42135620117187</v>
      </c>
    </row>
    <row r="490" spans="1:2" ht="15" customHeight="1" x14ac:dyDescent="0.25">
      <c r="A490">
        <v>441.83786010742187</v>
      </c>
      <c r="B490">
        <v>353.29119873046875</v>
      </c>
    </row>
    <row r="491" spans="1:2" ht="15" customHeight="1" x14ac:dyDescent="0.25">
      <c r="A491">
        <v>432.07180786132813</v>
      </c>
      <c r="B491">
        <v>349.87875366210937</v>
      </c>
    </row>
    <row r="492" spans="1:2" ht="15" customHeight="1" x14ac:dyDescent="0.25">
      <c r="A492">
        <v>480.69589233398437</v>
      </c>
      <c r="B492">
        <v>359.77304077148437</v>
      </c>
    </row>
    <row r="493" spans="1:2" ht="15" customHeight="1" x14ac:dyDescent="0.25">
      <c r="A493">
        <v>455.42041015625</v>
      </c>
      <c r="B493">
        <v>447.0260009765625</v>
      </c>
    </row>
    <row r="494" spans="1:2" ht="15" customHeight="1" x14ac:dyDescent="0.25">
      <c r="A494">
        <v>394.38671875</v>
      </c>
      <c r="B494">
        <v>517.48980712890625</v>
      </c>
    </row>
    <row r="495" spans="1:2" ht="15" customHeight="1" x14ac:dyDescent="0.25">
      <c r="A495">
        <v>403.82305908203125</v>
      </c>
      <c r="B495">
        <v>523.04266357421875</v>
      </c>
    </row>
    <row r="496" spans="1:2" ht="15" customHeight="1" x14ac:dyDescent="0.25">
      <c r="A496">
        <v>399.40603637695312</v>
      </c>
      <c r="B496">
        <v>524.60546875</v>
      </c>
    </row>
    <row r="497" spans="1:2" ht="15" customHeight="1" x14ac:dyDescent="0.25">
      <c r="A497">
        <v>417.64035034179687</v>
      </c>
      <c r="B497">
        <v>504.34576416015625</v>
      </c>
    </row>
    <row r="498" spans="1:2" ht="15" customHeight="1" x14ac:dyDescent="0.25">
      <c r="A498">
        <v>518.21917724609375</v>
      </c>
      <c r="B498">
        <v>418.596435546875</v>
      </c>
    </row>
    <row r="499" spans="1:2" ht="15" customHeight="1" x14ac:dyDescent="0.25">
      <c r="A499">
        <v>596.02392578125</v>
      </c>
      <c r="B499">
        <v>322.22518920898437</v>
      </c>
    </row>
    <row r="500" spans="1:2" ht="15" customHeight="1" x14ac:dyDescent="0.25">
      <c r="A500">
        <v>601.26251220703125</v>
      </c>
      <c r="B500">
        <v>251.29356384277344</v>
      </c>
    </row>
    <row r="501" spans="1:2" ht="15" customHeight="1" x14ac:dyDescent="0.25">
      <c r="A501">
        <v>602.05804443359375</v>
      </c>
      <c r="B501">
        <v>207.43782043457031</v>
      </c>
    </row>
    <row r="502" spans="1:2" ht="15" customHeight="1" x14ac:dyDescent="0.25">
      <c r="A502">
        <v>576.20977783203125</v>
      </c>
      <c r="B502">
        <v>208.87657165527344</v>
      </c>
    </row>
    <row r="503" spans="1:2" ht="15" customHeight="1" x14ac:dyDescent="0.25">
      <c r="A503">
        <v>467.53579711914062</v>
      </c>
      <c r="B503">
        <v>210.57865905761719</v>
      </c>
    </row>
    <row r="504" spans="1:2" ht="15" customHeight="1" x14ac:dyDescent="0.25">
      <c r="A504">
        <v>368.44345092773437</v>
      </c>
      <c r="B504">
        <v>215.28233337402344</v>
      </c>
    </row>
    <row r="505" spans="1:2" ht="15" customHeight="1" x14ac:dyDescent="0.25">
      <c r="A505">
        <v>287.09365844726562</v>
      </c>
      <c r="B505">
        <v>212.20065307617187</v>
      </c>
    </row>
    <row r="506" spans="1:2" ht="15" customHeight="1" x14ac:dyDescent="0.25">
      <c r="A506">
        <v>249.08207702636719</v>
      </c>
      <c r="B506">
        <v>282.8570556640625</v>
      </c>
    </row>
    <row r="507" spans="1:2" ht="15" customHeight="1" x14ac:dyDescent="0.25">
      <c r="A507">
        <v>252.37519836425781</v>
      </c>
      <c r="B507">
        <v>426.5714111328125</v>
      </c>
    </row>
    <row r="508" spans="1:2" ht="15" customHeight="1" x14ac:dyDescent="0.25">
      <c r="A508">
        <v>253.68218994140625</v>
      </c>
      <c r="B508">
        <v>503.13095092773437</v>
      </c>
    </row>
    <row r="509" spans="1:2" ht="15" customHeight="1" x14ac:dyDescent="0.25">
      <c r="A509">
        <v>258.68954467773438</v>
      </c>
      <c r="B509">
        <v>526.6463623046875</v>
      </c>
    </row>
    <row r="510" spans="1:2" ht="15" customHeight="1" x14ac:dyDescent="0.25">
      <c r="A510">
        <v>253.79901123046875</v>
      </c>
      <c r="B510">
        <v>520.28802490234375</v>
      </c>
    </row>
    <row r="511" spans="1:2" ht="15" customHeight="1" x14ac:dyDescent="0.25">
      <c r="A511">
        <v>341.7401123046875</v>
      </c>
      <c r="B511">
        <v>508.934814453125</v>
      </c>
    </row>
    <row r="512" spans="1:2" ht="15" customHeight="1" x14ac:dyDescent="0.25">
      <c r="A512">
        <v>504.385986328125</v>
      </c>
      <c r="B512">
        <v>458.39080810546875</v>
      </c>
    </row>
    <row r="513" spans="1:2" ht="15" customHeight="1" x14ac:dyDescent="0.25">
      <c r="A513">
        <v>579.3056640625</v>
      </c>
      <c r="B513">
        <v>378.22006225585938</v>
      </c>
    </row>
    <row r="514" spans="1:2" ht="15" customHeight="1" x14ac:dyDescent="0.25">
      <c r="A514">
        <v>603.868408203125</v>
      </c>
      <c r="B514">
        <v>400.26126098632812</v>
      </c>
    </row>
    <row r="515" spans="1:2" ht="15" customHeight="1" x14ac:dyDescent="0.25">
      <c r="A515">
        <v>591.51678466796875</v>
      </c>
      <c r="B515">
        <v>427.396240234375</v>
      </c>
    </row>
    <row r="516" spans="1:2" ht="15" customHeight="1" x14ac:dyDescent="0.25">
      <c r="A516">
        <v>574.72607421875</v>
      </c>
      <c r="B516">
        <v>439.05752563476562</v>
      </c>
    </row>
    <row r="517" spans="1:2" ht="15" customHeight="1" x14ac:dyDescent="0.25">
      <c r="A517">
        <v>514.9935302734375</v>
      </c>
      <c r="B517">
        <v>463.39508056640625</v>
      </c>
    </row>
    <row r="518" spans="1:2" ht="15" customHeight="1" x14ac:dyDescent="0.25">
      <c r="A518">
        <v>428.03451538085937</v>
      </c>
      <c r="B518">
        <v>493.84445190429688</v>
      </c>
    </row>
    <row r="519" spans="1:2" ht="15" customHeight="1" x14ac:dyDescent="0.25">
      <c r="A519">
        <v>457.56591796875</v>
      </c>
      <c r="B519">
        <v>522.73345947265625</v>
      </c>
    </row>
    <row r="520" spans="1:2" ht="15" customHeight="1" x14ac:dyDescent="0.25">
      <c r="A520">
        <v>494.046630859375</v>
      </c>
      <c r="B520">
        <v>523.57196044921875</v>
      </c>
    </row>
    <row r="521" spans="1:2" ht="15" customHeight="1" x14ac:dyDescent="0.25">
      <c r="A521">
        <v>510.88848876953125</v>
      </c>
      <c r="B521">
        <v>468.3885498046875</v>
      </c>
    </row>
    <row r="522" spans="1:2" ht="15" customHeight="1" x14ac:dyDescent="0.25">
      <c r="A522">
        <v>542.8892822265625</v>
      </c>
      <c r="B522">
        <v>325.84152221679687</v>
      </c>
    </row>
    <row r="523" spans="1:2" ht="15" customHeight="1" x14ac:dyDescent="0.25">
      <c r="A523">
        <v>578.54840087890625</v>
      </c>
      <c r="B523">
        <v>216.88339233398438</v>
      </c>
    </row>
    <row r="524" spans="1:2" ht="15" customHeight="1" x14ac:dyDescent="0.25">
      <c r="A524">
        <v>615.8858642578125</v>
      </c>
      <c r="B524">
        <v>209.16160583496094</v>
      </c>
    </row>
    <row r="525" spans="1:2" ht="15" customHeight="1" x14ac:dyDescent="0.25">
      <c r="A525">
        <v>612.193603515625</v>
      </c>
      <c r="B525">
        <v>204.89491271972656</v>
      </c>
    </row>
    <row r="526" spans="1:2" ht="15" customHeight="1" x14ac:dyDescent="0.25">
      <c r="A526">
        <v>537.9573974609375</v>
      </c>
      <c r="B526">
        <v>205.23020935058594</v>
      </c>
    </row>
    <row r="527" spans="1:2" ht="15" customHeight="1" x14ac:dyDescent="0.25">
      <c r="A527">
        <v>369.13433837890625</v>
      </c>
      <c r="B527">
        <v>205.38397216796875</v>
      </c>
    </row>
    <row r="528" spans="1:2" ht="15" customHeight="1" x14ac:dyDescent="0.25">
      <c r="A528">
        <v>254.55683898925781</v>
      </c>
      <c r="B528">
        <v>205.59268188476562</v>
      </c>
    </row>
    <row r="529" spans="1:2" ht="15" customHeight="1" x14ac:dyDescent="0.25">
      <c r="A529">
        <v>249.16380310058594</v>
      </c>
      <c r="B529">
        <v>208.35858154296875</v>
      </c>
    </row>
    <row r="530" spans="1:2" ht="15" customHeight="1" x14ac:dyDescent="0.25">
      <c r="A530">
        <v>244.41091918945312</v>
      </c>
      <c r="B530">
        <v>244.69070434570312</v>
      </c>
    </row>
    <row r="531" spans="1:2" ht="15" customHeight="1" x14ac:dyDescent="0.25">
      <c r="A531">
        <v>244.24851989746094</v>
      </c>
      <c r="B531">
        <v>375.02108764648437</v>
      </c>
    </row>
    <row r="532" spans="1:2" ht="15" customHeight="1" x14ac:dyDescent="0.25">
      <c r="A532">
        <v>245.89828491210937</v>
      </c>
      <c r="B532">
        <v>453.24636840820312</v>
      </c>
    </row>
    <row r="533" spans="1:2" ht="15" customHeight="1" x14ac:dyDescent="0.25">
      <c r="A533">
        <v>245.36322021484375</v>
      </c>
      <c r="B533">
        <v>450.19964599609375</v>
      </c>
    </row>
    <row r="534" spans="1:2" ht="15" customHeight="1" x14ac:dyDescent="0.25">
      <c r="A534">
        <v>247.39765930175781</v>
      </c>
      <c r="B534">
        <v>483.54995727539062</v>
      </c>
    </row>
    <row r="535" spans="1:2" ht="15" customHeight="1" x14ac:dyDescent="0.25">
      <c r="A535">
        <v>298.27835083007812</v>
      </c>
      <c r="B535">
        <v>523.29254150390625</v>
      </c>
    </row>
    <row r="536" spans="1:2" ht="15" customHeight="1" x14ac:dyDescent="0.25">
      <c r="A536">
        <v>453.36810302734375</v>
      </c>
      <c r="B536">
        <v>513.405029296875</v>
      </c>
    </row>
    <row r="537" spans="1:2" ht="15" customHeight="1" x14ac:dyDescent="0.25">
      <c r="A537">
        <v>525.69049072265625</v>
      </c>
      <c r="B537">
        <v>425.88201904296875</v>
      </c>
    </row>
    <row r="538" spans="1:2" ht="15" customHeight="1" x14ac:dyDescent="0.25">
      <c r="A538">
        <v>523.165283203125</v>
      </c>
      <c r="B538">
        <v>346.4893798828125</v>
      </c>
    </row>
    <row r="539" spans="1:2" ht="15" customHeight="1" x14ac:dyDescent="0.25">
      <c r="A539">
        <v>554.3336181640625</v>
      </c>
      <c r="B539">
        <v>338.37942504882812</v>
      </c>
    </row>
    <row r="540" spans="1:2" ht="15" customHeight="1" x14ac:dyDescent="0.25">
      <c r="A540">
        <v>594.3895263671875</v>
      </c>
      <c r="B540">
        <v>379.29647827148437</v>
      </c>
    </row>
    <row r="541" spans="1:2" ht="15" customHeight="1" x14ac:dyDescent="0.25">
      <c r="A541">
        <v>577.90692138671875</v>
      </c>
      <c r="B541">
        <v>456.28060913085937</v>
      </c>
    </row>
    <row r="542" spans="1:2" ht="15" customHeight="1" x14ac:dyDescent="0.25">
      <c r="A542">
        <v>471.51312255859375</v>
      </c>
      <c r="B542">
        <v>465.30014038085937</v>
      </c>
    </row>
    <row r="543" spans="1:2" ht="15" customHeight="1" x14ac:dyDescent="0.25">
      <c r="A543">
        <v>389.03216552734375</v>
      </c>
      <c r="B543">
        <v>459.40335083007812</v>
      </c>
    </row>
    <row r="544" spans="1:2" ht="15" customHeight="1" x14ac:dyDescent="0.25">
      <c r="A544">
        <v>386.336181640625</v>
      </c>
      <c r="B544">
        <v>462.95211791992187</v>
      </c>
    </row>
    <row r="545" spans="1:2" ht="15" customHeight="1" x14ac:dyDescent="0.25">
      <c r="A545">
        <v>440.18728637695312</v>
      </c>
      <c r="B545">
        <v>448.59527587890625</v>
      </c>
    </row>
    <row r="546" spans="1:2" ht="15" customHeight="1" x14ac:dyDescent="0.25">
      <c r="A546">
        <v>530.01849365234375</v>
      </c>
      <c r="B546">
        <v>321.82638549804687</v>
      </c>
    </row>
    <row r="547" spans="1:2" ht="15" customHeight="1" x14ac:dyDescent="0.25">
      <c r="A547">
        <v>536.1893310546875</v>
      </c>
      <c r="B547">
        <v>254.38807678222656</v>
      </c>
    </row>
    <row r="548" spans="1:2" ht="15" customHeight="1" x14ac:dyDescent="0.25">
      <c r="A548">
        <v>527.80999755859375</v>
      </c>
      <c r="B548">
        <v>223.95184326171875</v>
      </c>
    </row>
    <row r="549" spans="1:2" ht="15" customHeight="1" x14ac:dyDescent="0.25">
      <c r="A549">
        <v>534.696044921875</v>
      </c>
      <c r="B549">
        <v>260.66201782226562</v>
      </c>
    </row>
    <row r="550" spans="1:2" ht="15" customHeight="1" x14ac:dyDescent="0.25">
      <c r="A550">
        <v>518.03497314453125</v>
      </c>
      <c r="B550">
        <v>219.77729797363281</v>
      </c>
    </row>
    <row r="551" spans="1:2" ht="15" customHeight="1" x14ac:dyDescent="0.25">
      <c r="A551">
        <v>368.55032348632812</v>
      </c>
      <c r="B551">
        <v>218.39968872070312</v>
      </c>
    </row>
    <row r="552" spans="1:2" ht="15" customHeight="1" x14ac:dyDescent="0.25">
      <c r="A552">
        <v>305.51034545898437</v>
      </c>
      <c r="B552">
        <v>218.21543884277344</v>
      </c>
    </row>
    <row r="553" spans="1:2" ht="15" customHeight="1" x14ac:dyDescent="0.25">
      <c r="A553">
        <v>271.14395141601562</v>
      </c>
      <c r="B553">
        <v>221.45802307128906</v>
      </c>
    </row>
    <row r="554" spans="1:2" ht="15" customHeight="1" x14ac:dyDescent="0.25">
      <c r="A554">
        <v>308.90658569335937</v>
      </c>
      <c r="B554">
        <v>208.26240539550781</v>
      </c>
    </row>
    <row r="555" spans="1:2" ht="15" customHeight="1" x14ac:dyDescent="0.25">
      <c r="A555">
        <v>256.5726318359375</v>
      </c>
      <c r="B555">
        <v>226.45182800292969</v>
      </c>
    </row>
    <row r="556" spans="1:2" ht="15" customHeight="1" x14ac:dyDescent="0.25">
      <c r="A556">
        <v>255.94732666015625</v>
      </c>
      <c r="B556">
        <v>291.23086547851562</v>
      </c>
    </row>
    <row r="557" spans="1:2" ht="15" customHeight="1" x14ac:dyDescent="0.25">
      <c r="A557">
        <v>258.3858642578125</v>
      </c>
      <c r="B557">
        <v>405.29061889648437</v>
      </c>
    </row>
    <row r="558" spans="1:2" ht="15" customHeight="1" x14ac:dyDescent="0.25">
      <c r="A558">
        <v>267.4554443359375</v>
      </c>
      <c r="B558">
        <v>477.49322509765625</v>
      </c>
    </row>
    <row r="559" spans="1:2" ht="15" customHeight="1" x14ac:dyDescent="0.25">
      <c r="A559">
        <v>257.83749389648437</v>
      </c>
      <c r="B559">
        <v>519.48736572265625</v>
      </c>
    </row>
    <row r="560" spans="1:2" ht="15" customHeight="1" x14ac:dyDescent="0.25">
      <c r="A560">
        <v>285.73849487304687</v>
      </c>
      <c r="B560">
        <v>477.03964233398437</v>
      </c>
    </row>
    <row r="561" spans="1:2" ht="15" customHeight="1" x14ac:dyDescent="0.25">
      <c r="A561">
        <v>367.4993896484375</v>
      </c>
      <c r="B561">
        <v>377.626220703125</v>
      </c>
    </row>
    <row r="562" spans="1:2" ht="15" customHeight="1" x14ac:dyDescent="0.25">
      <c r="A562">
        <v>492.59228515625</v>
      </c>
      <c r="B562">
        <v>259.41177368164062</v>
      </c>
    </row>
    <row r="563" spans="1:2" ht="15" customHeight="1" x14ac:dyDescent="0.25">
      <c r="A563">
        <v>564.08917236328125</v>
      </c>
      <c r="B563">
        <v>208.65077209472656</v>
      </c>
    </row>
    <row r="564" spans="1:2" ht="15" customHeight="1" x14ac:dyDescent="0.25">
      <c r="A564">
        <v>605.115234375</v>
      </c>
      <c r="B564">
        <v>210.43711853027344</v>
      </c>
    </row>
    <row r="565" spans="1:2" ht="15" customHeight="1" x14ac:dyDescent="0.25">
      <c r="A565">
        <v>544.447265625</v>
      </c>
      <c r="B565">
        <v>276.87701416015625</v>
      </c>
    </row>
    <row r="566" spans="1:2" ht="15" customHeight="1" x14ac:dyDescent="0.25">
      <c r="A566">
        <v>423.23611450195313</v>
      </c>
      <c r="B566">
        <v>419.26705932617188</v>
      </c>
    </row>
    <row r="567" spans="1:2" ht="15" customHeight="1" x14ac:dyDescent="0.25">
      <c r="A567">
        <v>296.61819458007812</v>
      </c>
      <c r="B567">
        <v>464.43121337890625</v>
      </c>
    </row>
    <row r="568" spans="1:2" ht="15" customHeight="1" x14ac:dyDescent="0.25">
      <c r="A568">
        <v>253.31294250488281</v>
      </c>
      <c r="B568">
        <v>445.30526733398437</v>
      </c>
    </row>
    <row r="569" spans="1:2" ht="15" customHeight="1" x14ac:dyDescent="0.25">
      <c r="A569">
        <v>260.4971923828125</v>
      </c>
      <c r="B569">
        <v>359.49444580078125</v>
      </c>
    </row>
    <row r="570" spans="1:2" ht="15" customHeight="1" x14ac:dyDescent="0.25">
      <c r="A570">
        <v>342.802490234375</v>
      </c>
      <c r="B570">
        <v>282.0965576171875</v>
      </c>
    </row>
    <row r="571" spans="1:2" ht="15" customHeight="1" x14ac:dyDescent="0.25">
      <c r="A571">
        <v>496.63922119140625</v>
      </c>
      <c r="B571">
        <v>214.19940185546875</v>
      </c>
    </row>
    <row r="572" spans="1:2" ht="15" customHeight="1" x14ac:dyDescent="0.25">
      <c r="A572">
        <v>534.00152587890625</v>
      </c>
      <c r="B572">
        <v>212.00450134277344</v>
      </c>
    </row>
    <row r="573" spans="1:2" ht="15" customHeight="1" x14ac:dyDescent="0.25">
      <c r="A573">
        <v>510.91748046875</v>
      </c>
      <c r="B573">
        <v>215.34735107421875</v>
      </c>
    </row>
    <row r="574" spans="1:2" ht="15" customHeight="1" x14ac:dyDescent="0.25">
      <c r="A574">
        <v>410.33297729492187</v>
      </c>
      <c r="B574">
        <v>216.49909973144531</v>
      </c>
    </row>
    <row r="575" spans="1:2" ht="15" customHeight="1" x14ac:dyDescent="0.25">
      <c r="A575">
        <v>325.93896484375</v>
      </c>
      <c r="B575">
        <v>208.42646789550781</v>
      </c>
    </row>
    <row r="576" spans="1:2" ht="15" customHeight="1" x14ac:dyDescent="0.25">
      <c r="A576">
        <v>255.88165283203125</v>
      </c>
      <c r="B576">
        <v>203.78395080566406</v>
      </c>
    </row>
    <row r="577" spans="1:2" ht="15" customHeight="1" x14ac:dyDescent="0.25">
      <c r="A577">
        <v>260.59185791015625</v>
      </c>
      <c r="B577">
        <v>206.76480102539062</v>
      </c>
    </row>
    <row r="578" spans="1:2" ht="15" customHeight="1" x14ac:dyDescent="0.25">
      <c r="A578">
        <v>264.7105712890625</v>
      </c>
      <c r="B578">
        <v>217.7823486328125</v>
      </c>
    </row>
    <row r="579" spans="1:2" ht="15" customHeight="1" x14ac:dyDescent="0.25">
      <c r="A579">
        <v>266.52847290039062</v>
      </c>
      <c r="B579">
        <v>213.18991088867187</v>
      </c>
    </row>
    <row r="580" spans="1:2" ht="15" customHeight="1" x14ac:dyDescent="0.25">
      <c r="A580">
        <v>254.95608520507812</v>
      </c>
      <c r="B580">
        <v>209.83235168457031</v>
      </c>
    </row>
    <row r="581" spans="1:2" ht="15" customHeight="1" x14ac:dyDescent="0.25">
      <c r="A581">
        <v>250.82252502441406</v>
      </c>
      <c r="B581">
        <v>210.67988586425781</v>
      </c>
    </row>
    <row r="582" spans="1:2" ht="15" customHeight="1" x14ac:dyDescent="0.25">
      <c r="A582">
        <v>252.72846984863281</v>
      </c>
      <c r="B582">
        <v>216.12651062011719</v>
      </c>
    </row>
    <row r="583" spans="1:2" ht="15" customHeight="1" x14ac:dyDescent="0.25">
      <c r="A583">
        <v>261.86300659179687</v>
      </c>
      <c r="B583">
        <v>216.54145812988281</v>
      </c>
    </row>
    <row r="584" spans="1:2" ht="15" customHeight="1" x14ac:dyDescent="0.25">
      <c r="A584">
        <v>255.76055908203125</v>
      </c>
      <c r="B584">
        <v>215.89678955078125</v>
      </c>
    </row>
    <row r="585" spans="1:2" ht="15" customHeight="1" x14ac:dyDescent="0.25">
      <c r="A585">
        <v>252.66728210449219</v>
      </c>
      <c r="B585">
        <v>215.2801513671875</v>
      </c>
    </row>
    <row r="586" spans="1:2" ht="15" customHeight="1" x14ac:dyDescent="0.25">
      <c r="A586">
        <v>255.55693054199219</v>
      </c>
      <c r="B586">
        <v>216.23237609863281</v>
      </c>
    </row>
    <row r="587" spans="1:2" ht="15" customHeight="1" x14ac:dyDescent="0.25">
      <c r="A587">
        <v>263.25588989257812</v>
      </c>
      <c r="B587">
        <v>215.34306335449219</v>
      </c>
    </row>
    <row r="588" spans="1:2" ht="15" customHeight="1" x14ac:dyDescent="0.25">
      <c r="A588">
        <v>262.809814453125</v>
      </c>
      <c r="B588">
        <v>232.34529113769531</v>
      </c>
    </row>
    <row r="589" spans="1:2" ht="15" customHeight="1" x14ac:dyDescent="0.25">
      <c r="A589">
        <v>264.77670288085937</v>
      </c>
      <c r="B589">
        <v>376.24172973632812</v>
      </c>
    </row>
    <row r="590" spans="1:2" ht="15" customHeight="1" x14ac:dyDescent="0.25">
      <c r="A590">
        <v>265.02212524414062</v>
      </c>
      <c r="B590">
        <v>521.87872314453125</v>
      </c>
    </row>
    <row r="591" spans="1:2" ht="15" customHeight="1" x14ac:dyDescent="0.25">
      <c r="A591">
        <v>263.42962646484375</v>
      </c>
      <c r="B591">
        <v>517.8232421875</v>
      </c>
    </row>
    <row r="592" spans="1:2" ht="15" customHeight="1" x14ac:dyDescent="0.25">
      <c r="A592">
        <v>262.92672729492187</v>
      </c>
      <c r="B592">
        <v>527.95916748046875</v>
      </c>
    </row>
    <row r="593" spans="1:2" ht="15" customHeight="1" x14ac:dyDescent="0.25">
      <c r="A593">
        <v>288.656982421875</v>
      </c>
      <c r="B593">
        <v>513.9913330078125</v>
      </c>
    </row>
    <row r="594" spans="1:2" ht="15" customHeight="1" x14ac:dyDescent="0.25">
      <c r="A594">
        <v>458.8614501953125</v>
      </c>
      <c r="B594">
        <v>440.6197509765625</v>
      </c>
    </row>
    <row r="595" spans="1:2" ht="15" customHeight="1" x14ac:dyDescent="0.25">
      <c r="A595">
        <v>620.64361572265625</v>
      </c>
      <c r="B595">
        <v>304.69635009765625</v>
      </c>
    </row>
    <row r="596" spans="1:2" ht="15" customHeight="1" x14ac:dyDescent="0.25">
      <c r="A596">
        <v>597.7349853515625</v>
      </c>
      <c r="B596">
        <v>224.95018005371094</v>
      </c>
    </row>
    <row r="597" spans="1:2" ht="15" customHeight="1" x14ac:dyDescent="0.25">
      <c r="A597">
        <v>609.39715576171875</v>
      </c>
      <c r="B597">
        <v>214.14535522460937</v>
      </c>
    </row>
    <row r="598" spans="1:2" ht="15" customHeight="1" x14ac:dyDescent="0.25">
      <c r="A598">
        <v>582.3946533203125</v>
      </c>
      <c r="B598">
        <v>207.04713439941406</v>
      </c>
    </row>
    <row r="599" spans="1:2" ht="15" customHeight="1" x14ac:dyDescent="0.25">
      <c r="A599">
        <v>487.83920288085937</v>
      </c>
      <c r="B599">
        <v>205.25946044921875</v>
      </c>
    </row>
    <row r="600" spans="1:2" ht="15" customHeight="1" x14ac:dyDescent="0.25">
      <c r="A600">
        <v>340.66888427734375</v>
      </c>
      <c r="B600">
        <v>207.93113708496094</v>
      </c>
    </row>
    <row r="601" spans="1:2" ht="15" customHeight="1" x14ac:dyDescent="0.25">
      <c r="A601">
        <v>259.35198974609375</v>
      </c>
      <c r="B601">
        <v>213.83062744140625</v>
      </c>
    </row>
    <row r="602" spans="1:2" ht="15" customHeight="1" x14ac:dyDescent="0.25">
      <c r="A602">
        <v>255.65528869628906</v>
      </c>
      <c r="B602">
        <v>287.52304077148437</v>
      </c>
    </row>
    <row r="603" spans="1:2" ht="15" customHeight="1" x14ac:dyDescent="0.25">
      <c r="A603">
        <v>246.78633117675781</v>
      </c>
      <c r="B603">
        <v>456.2657470703125</v>
      </c>
    </row>
    <row r="604" spans="1:2" ht="15" customHeight="1" x14ac:dyDescent="0.25">
      <c r="A604">
        <v>251.65025329589844</v>
      </c>
      <c r="B604">
        <v>511.21240234375</v>
      </c>
    </row>
    <row r="605" spans="1:2" ht="15" customHeight="1" x14ac:dyDescent="0.25">
      <c r="A605">
        <v>259.0174560546875</v>
      </c>
      <c r="B605">
        <v>504.74224853515625</v>
      </c>
    </row>
    <row r="606" spans="1:2" ht="15" customHeight="1" x14ac:dyDescent="0.25">
      <c r="A606">
        <v>261.32626342773437</v>
      </c>
      <c r="B606">
        <v>533.37744140625</v>
      </c>
    </row>
    <row r="607" spans="1:2" ht="15" customHeight="1" x14ac:dyDescent="0.25">
      <c r="A607">
        <v>362.32437133789062</v>
      </c>
      <c r="B607">
        <v>515.3408203125</v>
      </c>
    </row>
    <row r="608" spans="1:2" ht="15" customHeight="1" x14ac:dyDescent="0.25">
      <c r="A608">
        <v>547.795654296875</v>
      </c>
      <c r="B608">
        <v>519.37115478515625</v>
      </c>
    </row>
    <row r="609" spans="1:2" ht="15" customHeight="1" x14ac:dyDescent="0.25">
      <c r="A609">
        <v>589.83355712890625</v>
      </c>
      <c r="B609">
        <v>418.52261352539062</v>
      </c>
    </row>
    <row r="610" spans="1:2" ht="15" customHeight="1" x14ac:dyDescent="0.25">
      <c r="A610">
        <v>588.037841796875</v>
      </c>
      <c r="B610">
        <v>378.21755981445312</v>
      </c>
    </row>
    <row r="611" spans="1:2" ht="15" customHeight="1" x14ac:dyDescent="0.25">
      <c r="A611">
        <v>614.7393798828125</v>
      </c>
      <c r="B611">
        <v>389.5419921875</v>
      </c>
    </row>
    <row r="612" spans="1:2" ht="15" customHeight="1" x14ac:dyDescent="0.25">
      <c r="A612">
        <v>585.6717529296875</v>
      </c>
      <c r="B612">
        <v>420.45703125</v>
      </c>
    </row>
    <row r="613" spans="1:2" ht="15" customHeight="1" x14ac:dyDescent="0.25">
      <c r="A613">
        <v>588.7396240234375</v>
      </c>
      <c r="B613">
        <v>444.92498779296875</v>
      </c>
    </row>
    <row r="614" spans="1:2" ht="15" customHeight="1" x14ac:dyDescent="0.25">
      <c r="A614">
        <v>460.30279541015625</v>
      </c>
      <c r="B614">
        <v>472.46188354492187</v>
      </c>
    </row>
    <row r="615" spans="1:2" ht="15" customHeight="1" x14ac:dyDescent="0.25">
      <c r="A615">
        <v>424.238037109375</v>
      </c>
      <c r="B615">
        <v>513.2025146484375</v>
      </c>
    </row>
    <row r="616" spans="1:2" ht="15" customHeight="1" x14ac:dyDescent="0.25">
      <c r="A616">
        <v>439.6265869140625</v>
      </c>
      <c r="B616">
        <v>530.12799072265625</v>
      </c>
    </row>
    <row r="617" spans="1:2" ht="15" customHeight="1" x14ac:dyDescent="0.25">
      <c r="A617">
        <v>473.58990478515625</v>
      </c>
      <c r="B617">
        <v>526.2777099609375</v>
      </c>
    </row>
    <row r="618" spans="1:2" ht="15" customHeight="1" x14ac:dyDescent="0.25">
      <c r="A618">
        <v>505.0283203125</v>
      </c>
      <c r="B618">
        <v>454.35968017578125</v>
      </c>
    </row>
    <row r="619" spans="1:2" ht="15" customHeight="1" x14ac:dyDescent="0.25">
      <c r="A619">
        <v>534.79583740234375</v>
      </c>
      <c r="B619">
        <v>329.07330322265625</v>
      </c>
    </row>
    <row r="620" spans="1:2" ht="15" customHeight="1" x14ac:dyDescent="0.25">
      <c r="A620">
        <v>582.2115478515625</v>
      </c>
      <c r="B620">
        <v>242.03715515136719</v>
      </c>
    </row>
    <row r="621" spans="1:2" ht="15" customHeight="1" x14ac:dyDescent="0.25">
      <c r="A621">
        <v>599.19287109375</v>
      </c>
      <c r="B621">
        <v>219.56768798828125</v>
      </c>
    </row>
    <row r="622" spans="1:2" ht="15" customHeight="1" x14ac:dyDescent="0.25">
      <c r="A622">
        <v>596.25390625</v>
      </c>
      <c r="B622">
        <v>207.93815612792969</v>
      </c>
    </row>
    <row r="623" spans="1:2" ht="15" customHeight="1" x14ac:dyDescent="0.25">
      <c r="A623">
        <v>504.60971069335938</v>
      </c>
      <c r="B623">
        <v>206.25741577148437</v>
      </c>
    </row>
    <row r="624" spans="1:2" ht="15" customHeight="1" x14ac:dyDescent="0.25">
      <c r="A624">
        <v>363.07284545898437</v>
      </c>
      <c r="B624">
        <v>204.6212158203125</v>
      </c>
    </row>
    <row r="625" spans="1:2" ht="15" customHeight="1" x14ac:dyDescent="0.25">
      <c r="A625">
        <v>274.23660278320312</v>
      </c>
      <c r="B625">
        <v>204.41152954101562</v>
      </c>
    </row>
    <row r="626" spans="1:2" ht="15" customHeight="1" x14ac:dyDescent="0.25">
      <c r="A626">
        <v>257.40048217773437</v>
      </c>
      <c r="B626">
        <v>263.3201904296875</v>
      </c>
    </row>
    <row r="627" spans="1:2" ht="15" customHeight="1" x14ac:dyDescent="0.25">
      <c r="A627">
        <v>245.66506958007812</v>
      </c>
      <c r="B627">
        <v>423.54205322265625</v>
      </c>
    </row>
    <row r="628" spans="1:2" ht="15" customHeight="1" x14ac:dyDescent="0.25">
      <c r="A628">
        <v>246.26809692382812</v>
      </c>
      <c r="B628">
        <v>525.502685546875</v>
      </c>
    </row>
    <row r="629" spans="1:2" ht="15" customHeight="1" x14ac:dyDescent="0.25">
      <c r="A629">
        <v>250.98004150390625</v>
      </c>
      <c r="B629">
        <v>505.45053100585938</v>
      </c>
    </row>
    <row r="630" spans="1:2" ht="15" customHeight="1" x14ac:dyDescent="0.25">
      <c r="A630">
        <v>251.99256896972656</v>
      </c>
      <c r="B630">
        <v>486.47012329101563</v>
      </c>
    </row>
    <row r="631" spans="1:2" ht="15" customHeight="1" x14ac:dyDescent="0.25">
      <c r="A631">
        <v>331.65826416015625</v>
      </c>
      <c r="B631">
        <v>468.763427734375</v>
      </c>
    </row>
    <row r="632" spans="1:2" ht="15" customHeight="1" x14ac:dyDescent="0.25">
      <c r="A632">
        <v>508.4749755859375</v>
      </c>
      <c r="B632">
        <v>453.16897583007812</v>
      </c>
    </row>
    <row r="633" spans="1:2" ht="15" customHeight="1" x14ac:dyDescent="0.25">
      <c r="A633">
        <v>605.67926025390625</v>
      </c>
      <c r="B633">
        <v>439.16000366210937</v>
      </c>
    </row>
    <row r="634" spans="1:2" ht="15" customHeight="1" x14ac:dyDescent="0.25">
      <c r="A634">
        <v>582.9896240234375</v>
      </c>
      <c r="B634">
        <v>442.65838623046875</v>
      </c>
    </row>
    <row r="635" spans="1:2" ht="15" customHeight="1" x14ac:dyDescent="0.25">
      <c r="A635">
        <v>562.09844970703125</v>
      </c>
      <c r="B635">
        <v>408.11993408203125</v>
      </c>
    </row>
    <row r="636" spans="1:2" ht="15" customHeight="1" x14ac:dyDescent="0.25">
      <c r="A636">
        <v>542.65557861328125</v>
      </c>
      <c r="B636">
        <v>396.370849609375</v>
      </c>
    </row>
    <row r="637" spans="1:2" ht="15" customHeight="1" x14ac:dyDescent="0.25">
      <c r="A637">
        <v>521.62554931640625</v>
      </c>
      <c r="B637">
        <v>430.37405395507812</v>
      </c>
    </row>
    <row r="638" spans="1:2" ht="15" customHeight="1" x14ac:dyDescent="0.25">
      <c r="A638">
        <v>510.22640991210937</v>
      </c>
      <c r="B638">
        <v>458.77529907226562</v>
      </c>
    </row>
    <row r="639" spans="1:2" ht="15" customHeight="1" x14ac:dyDescent="0.25">
      <c r="A639">
        <v>511.07888793945313</v>
      </c>
      <c r="B639">
        <v>498.72457885742187</v>
      </c>
    </row>
    <row r="640" spans="1:2" ht="15" customHeight="1" x14ac:dyDescent="0.25">
      <c r="A640">
        <v>468.6365966796875</v>
      </c>
      <c r="B640">
        <v>526.84503173828125</v>
      </c>
    </row>
    <row r="641" spans="1:2" ht="15" customHeight="1" x14ac:dyDescent="0.25">
      <c r="A641">
        <v>453.32177734375</v>
      </c>
      <c r="B641">
        <v>498.78619384765625</v>
      </c>
    </row>
    <row r="642" spans="1:2" ht="15" customHeight="1" x14ac:dyDescent="0.25">
      <c r="A642">
        <v>497.51348876953125</v>
      </c>
      <c r="B642">
        <v>467.31503295898437</v>
      </c>
    </row>
    <row r="643" spans="1:2" ht="15" customHeight="1" x14ac:dyDescent="0.25">
      <c r="A643">
        <v>530.61248779296875</v>
      </c>
      <c r="B643">
        <v>408.81732177734375</v>
      </c>
    </row>
    <row r="644" spans="1:2" ht="15" customHeight="1" x14ac:dyDescent="0.25">
      <c r="A644">
        <v>574.9173583984375</v>
      </c>
      <c r="B644">
        <v>399.00796508789062</v>
      </c>
    </row>
    <row r="645" spans="1:2" ht="15" customHeight="1" x14ac:dyDescent="0.25">
      <c r="A645">
        <v>608.4307861328125</v>
      </c>
      <c r="B645">
        <v>299.32546997070312</v>
      </c>
    </row>
    <row r="646" spans="1:2" ht="15" customHeight="1" x14ac:dyDescent="0.25">
      <c r="A646">
        <v>566.99871826171875</v>
      </c>
      <c r="B646">
        <v>235.14579772949219</v>
      </c>
    </row>
    <row r="647" spans="1:2" ht="15" customHeight="1" x14ac:dyDescent="0.25">
      <c r="A647">
        <v>536.42877197265625</v>
      </c>
      <c r="B647">
        <v>201.94190979003906</v>
      </c>
    </row>
    <row r="648" spans="1:2" ht="15" customHeight="1" x14ac:dyDescent="0.25">
      <c r="A648">
        <v>465.9300537109375</v>
      </c>
      <c r="B648">
        <v>207.01365661621094</v>
      </c>
    </row>
    <row r="649" spans="1:2" ht="15" customHeight="1" x14ac:dyDescent="0.25">
      <c r="A649">
        <v>456.05923461914062</v>
      </c>
      <c r="B649">
        <v>209.15596008300781</v>
      </c>
    </row>
    <row r="650" spans="1:2" ht="15" customHeight="1" x14ac:dyDescent="0.25">
      <c r="A650">
        <v>343.47677612304688</v>
      </c>
      <c r="B650">
        <v>257.20101928710937</v>
      </c>
    </row>
    <row r="651" spans="1:2" ht="15" customHeight="1" x14ac:dyDescent="0.25">
      <c r="A651">
        <v>271.52655029296875</v>
      </c>
      <c r="B651">
        <v>402.61892700195313</v>
      </c>
    </row>
    <row r="652" spans="1:2" ht="15" customHeight="1" x14ac:dyDescent="0.25">
      <c r="A652">
        <v>245.15791320800781</v>
      </c>
      <c r="B652">
        <v>504.91812133789062</v>
      </c>
    </row>
    <row r="653" spans="1:2" ht="15" customHeight="1" x14ac:dyDescent="0.25">
      <c r="A653">
        <v>250.78974914550781</v>
      </c>
      <c r="B653">
        <v>435.29385375976562</v>
      </c>
    </row>
    <row r="654" spans="1:2" ht="15" customHeight="1" x14ac:dyDescent="0.25">
      <c r="A654">
        <v>252.26271057128906</v>
      </c>
      <c r="B654">
        <v>412.84115600585937</v>
      </c>
    </row>
    <row r="655" spans="1:2" ht="15" customHeight="1" x14ac:dyDescent="0.25">
      <c r="A655">
        <v>314.32632446289062</v>
      </c>
      <c r="B655">
        <v>356.89895629882812</v>
      </c>
    </row>
    <row r="656" spans="1:2" ht="15" customHeight="1" x14ac:dyDescent="0.25">
      <c r="A656">
        <v>479.52706909179687</v>
      </c>
      <c r="B656">
        <v>272.083740234375</v>
      </c>
    </row>
    <row r="657" spans="1:2" ht="15" customHeight="1" x14ac:dyDescent="0.25">
      <c r="A657">
        <v>577.040771484375</v>
      </c>
      <c r="B657">
        <v>209.9556884765625</v>
      </c>
    </row>
    <row r="658" spans="1:2" ht="15" customHeight="1" x14ac:dyDescent="0.25">
      <c r="A658">
        <v>487.76535034179687</v>
      </c>
      <c r="B658">
        <v>212.39013671875</v>
      </c>
    </row>
    <row r="659" spans="1:2" ht="15" customHeight="1" x14ac:dyDescent="0.25">
      <c r="A659">
        <v>463.74462890625</v>
      </c>
      <c r="B659">
        <v>212.25216674804687</v>
      </c>
    </row>
    <row r="660" spans="1:2" ht="15" customHeight="1" x14ac:dyDescent="0.25">
      <c r="A660">
        <v>395.1270751953125</v>
      </c>
      <c r="B660">
        <v>210.66073608398438</v>
      </c>
    </row>
    <row r="661" spans="1:2" ht="15" customHeight="1" x14ac:dyDescent="0.25">
      <c r="A661">
        <v>306.37326049804687</v>
      </c>
      <c r="B661">
        <v>303.71218872070312</v>
      </c>
    </row>
    <row r="662" spans="1:2" ht="15" customHeight="1" x14ac:dyDescent="0.25">
      <c r="A662">
        <v>241.10173034667969</v>
      </c>
      <c r="B662">
        <v>444.44125366210937</v>
      </c>
    </row>
    <row r="663" spans="1:2" ht="15" customHeight="1" x14ac:dyDescent="0.25">
      <c r="A663">
        <v>248.73141479492188</v>
      </c>
      <c r="B663">
        <v>509.64013671875</v>
      </c>
    </row>
    <row r="664" spans="1:2" ht="15" customHeight="1" x14ac:dyDescent="0.25">
      <c r="A664">
        <v>247.74623107910156</v>
      </c>
      <c r="B664">
        <v>507.107666015625</v>
      </c>
    </row>
    <row r="665" spans="1:2" ht="15" customHeight="1" x14ac:dyDescent="0.25">
      <c r="A665">
        <v>246.40478515625</v>
      </c>
      <c r="B665">
        <v>454.68423461914062</v>
      </c>
    </row>
    <row r="666" spans="1:2" ht="15" customHeight="1" x14ac:dyDescent="0.25">
      <c r="A666">
        <v>355.54220581054687</v>
      </c>
      <c r="B666">
        <v>339.71255493164062</v>
      </c>
    </row>
    <row r="667" spans="1:2" ht="15" customHeight="1" x14ac:dyDescent="0.25">
      <c r="A667">
        <v>508.82003784179687</v>
      </c>
      <c r="B667">
        <v>219.01052856445312</v>
      </c>
    </row>
    <row r="668" spans="1:2" ht="15" customHeight="1" x14ac:dyDescent="0.25">
      <c r="A668">
        <v>569.24847412109375</v>
      </c>
      <c r="B668">
        <v>199.11859130859375</v>
      </c>
    </row>
    <row r="669" spans="1:2" ht="15" customHeight="1" x14ac:dyDescent="0.25">
      <c r="A669">
        <v>558.123779296875</v>
      </c>
      <c r="B669">
        <v>201.91572570800781</v>
      </c>
    </row>
    <row r="670" spans="1:2" ht="15" customHeight="1" x14ac:dyDescent="0.25">
      <c r="A670">
        <v>497.22384643554687</v>
      </c>
      <c r="B670">
        <v>200.86634826660156</v>
      </c>
    </row>
    <row r="671" spans="1:2" ht="15" customHeight="1" x14ac:dyDescent="0.25">
      <c r="A671">
        <v>370.73147583007812</v>
      </c>
      <c r="B671">
        <v>201.44294738769531</v>
      </c>
    </row>
    <row r="672" spans="1:2" ht="15" customHeight="1" x14ac:dyDescent="0.25">
      <c r="A672">
        <v>250.98588562011719</v>
      </c>
      <c r="B672">
        <v>200.29812622070312</v>
      </c>
    </row>
    <row r="673" spans="1:2" ht="15" customHeight="1" x14ac:dyDescent="0.25">
      <c r="A673">
        <v>238.68307495117187</v>
      </c>
      <c r="B673">
        <v>202.16238403320312</v>
      </c>
    </row>
    <row r="674" spans="1:2" ht="15" customHeight="1" x14ac:dyDescent="0.25">
      <c r="A674">
        <v>239.0732421875</v>
      </c>
      <c r="B674">
        <v>216.90371704101562</v>
      </c>
    </row>
    <row r="675" spans="1:2" ht="15" customHeight="1" x14ac:dyDescent="0.25">
      <c r="A675">
        <v>240.23306274414062</v>
      </c>
      <c r="B675">
        <v>279.17507934570312</v>
      </c>
    </row>
    <row r="676" spans="1:2" ht="15" customHeight="1" x14ac:dyDescent="0.25">
      <c r="A676">
        <v>241.17933654785156</v>
      </c>
      <c r="B676">
        <v>341.97805786132812</v>
      </c>
    </row>
    <row r="677" spans="1:2" ht="15" customHeight="1" x14ac:dyDescent="0.25">
      <c r="A677">
        <v>241.5301513671875</v>
      </c>
      <c r="B677">
        <v>227.00498962402344</v>
      </c>
    </row>
    <row r="678" spans="1:2" ht="15" customHeight="1" x14ac:dyDescent="0.25">
      <c r="A678">
        <v>242.52682495117187</v>
      </c>
      <c r="B678">
        <v>275.87841796875</v>
      </c>
    </row>
    <row r="679" spans="1:2" ht="15" customHeight="1" x14ac:dyDescent="0.25">
      <c r="A679">
        <v>257.86941528320312</v>
      </c>
      <c r="B679">
        <v>312.48001098632812</v>
      </c>
    </row>
    <row r="680" spans="1:2" ht="15" customHeight="1" x14ac:dyDescent="0.25">
      <c r="A680">
        <v>333.61102294921875</v>
      </c>
      <c r="B680">
        <v>294.74435424804688</v>
      </c>
    </row>
    <row r="681" spans="1:2" ht="15" customHeight="1" x14ac:dyDescent="0.25">
      <c r="A681">
        <v>379.63711547851562</v>
      </c>
      <c r="B681">
        <v>245.70973205566406</v>
      </c>
    </row>
    <row r="682" spans="1:2" ht="15" customHeight="1" x14ac:dyDescent="0.25">
      <c r="A682">
        <v>259.46469116210937</v>
      </c>
      <c r="B682">
        <v>211.54190063476562</v>
      </c>
    </row>
    <row r="683" spans="1:2" ht="15" customHeight="1" x14ac:dyDescent="0.25">
      <c r="A683">
        <v>327.05624389648437</v>
      </c>
      <c r="B683">
        <v>205.45660400390625</v>
      </c>
    </row>
    <row r="684" spans="1:2" ht="15" customHeight="1" x14ac:dyDescent="0.25">
      <c r="A684">
        <v>354.4473876953125</v>
      </c>
      <c r="B684">
        <v>213.73623657226562</v>
      </c>
    </row>
    <row r="685" spans="1:2" ht="15" customHeight="1" x14ac:dyDescent="0.25">
      <c r="A685">
        <v>333.15185546875</v>
      </c>
      <c r="B685">
        <v>226.28318786621094</v>
      </c>
    </row>
    <row r="686" spans="1:2" ht="15" customHeight="1" x14ac:dyDescent="0.25">
      <c r="A686">
        <v>276.94097900390625</v>
      </c>
      <c r="B686">
        <v>351.83843994140625</v>
      </c>
    </row>
    <row r="687" spans="1:2" ht="15" customHeight="1" x14ac:dyDescent="0.25">
      <c r="A687">
        <v>251.61466979980469</v>
      </c>
      <c r="B687">
        <v>437.64651489257812</v>
      </c>
    </row>
    <row r="688" spans="1:2" ht="15" customHeight="1" x14ac:dyDescent="0.25">
      <c r="A688">
        <v>244.07551574707031</v>
      </c>
      <c r="B688">
        <v>435.56350708007813</v>
      </c>
    </row>
    <row r="689" spans="1:2" ht="15" customHeight="1" x14ac:dyDescent="0.25">
      <c r="A689">
        <v>252.5638427734375</v>
      </c>
      <c r="B689">
        <v>325.22036743164063</v>
      </c>
    </row>
    <row r="690" spans="1:2" ht="15" customHeight="1" x14ac:dyDescent="0.25">
      <c r="A690">
        <v>270.4639892578125</v>
      </c>
      <c r="B690">
        <v>248.89533996582031</v>
      </c>
    </row>
    <row r="691" spans="1:2" ht="15" customHeight="1" x14ac:dyDescent="0.25">
      <c r="A691">
        <v>418.51666259765625</v>
      </c>
      <c r="B691">
        <v>212.34242248535156</v>
      </c>
    </row>
    <row r="692" spans="1:2" ht="15" customHeight="1" x14ac:dyDescent="0.25">
      <c r="A692">
        <v>494.46771240234375</v>
      </c>
      <c r="B692">
        <v>201.84588623046875</v>
      </c>
    </row>
    <row r="693" spans="1:2" ht="15" customHeight="1" x14ac:dyDescent="0.25">
      <c r="A693">
        <v>489.30615234375</v>
      </c>
      <c r="B693">
        <v>201.748291015625</v>
      </c>
    </row>
    <row r="694" spans="1:2" ht="15" customHeight="1" x14ac:dyDescent="0.25">
      <c r="A694">
        <v>361.56216430664062</v>
      </c>
      <c r="B694">
        <v>200.89506530761719</v>
      </c>
    </row>
    <row r="695" spans="1:2" ht="15" customHeight="1" x14ac:dyDescent="0.25">
      <c r="A695">
        <v>281.4833984375</v>
      </c>
      <c r="B695">
        <v>201.06675720214844</v>
      </c>
    </row>
    <row r="696" spans="1:2" ht="15" customHeight="1" x14ac:dyDescent="0.25">
      <c r="A696">
        <v>250.21038818359375</v>
      </c>
      <c r="B696">
        <v>201.82286071777344</v>
      </c>
    </row>
    <row r="697" spans="1:2" ht="15" customHeight="1" x14ac:dyDescent="0.25">
      <c r="A697">
        <v>241.99546813964844</v>
      </c>
      <c r="B697">
        <v>213.18373107910156</v>
      </c>
    </row>
    <row r="698" spans="1:2" ht="15" customHeight="1" x14ac:dyDescent="0.25">
      <c r="A698">
        <v>241.83781433105469</v>
      </c>
      <c r="B698">
        <v>255.39213562011719</v>
      </c>
    </row>
    <row r="699" spans="1:2" ht="15" customHeight="1" x14ac:dyDescent="0.25">
      <c r="A699">
        <v>243.78303527832031</v>
      </c>
      <c r="B699">
        <v>393.33432006835937</v>
      </c>
    </row>
    <row r="700" spans="1:2" ht="15" customHeight="1" x14ac:dyDescent="0.25">
      <c r="A700">
        <v>245.42521667480469</v>
      </c>
      <c r="B700">
        <v>420.26776123046875</v>
      </c>
    </row>
    <row r="701" spans="1:2" ht="15" customHeight="1" x14ac:dyDescent="0.25">
      <c r="A701">
        <v>250.3511962890625</v>
      </c>
      <c r="B701">
        <v>420.06976318359375</v>
      </c>
    </row>
    <row r="702" spans="1:2" ht="15" customHeight="1" x14ac:dyDescent="0.25">
      <c r="A702">
        <v>259.70828247070312</v>
      </c>
      <c r="B702">
        <v>444.8306884765625</v>
      </c>
    </row>
    <row r="703" spans="1:2" ht="15" customHeight="1" x14ac:dyDescent="0.25">
      <c r="A703">
        <v>316.46499633789062</v>
      </c>
      <c r="B703">
        <v>499.20703125</v>
      </c>
    </row>
    <row r="704" spans="1:2" ht="15" customHeight="1" x14ac:dyDescent="0.25">
      <c r="A704">
        <v>460.40524291992187</v>
      </c>
      <c r="B704">
        <v>510.19638061523438</v>
      </c>
    </row>
    <row r="705" spans="1:2" ht="15" customHeight="1" x14ac:dyDescent="0.25">
      <c r="A705">
        <v>477.42578125</v>
      </c>
      <c r="B705">
        <v>445.45538330078125</v>
      </c>
    </row>
    <row r="706" spans="1:2" ht="15" customHeight="1" x14ac:dyDescent="0.25">
      <c r="A706">
        <v>472.24520874023437</v>
      </c>
      <c r="B706">
        <v>400.40060424804687</v>
      </c>
    </row>
    <row r="707" spans="1:2" ht="15" customHeight="1" x14ac:dyDescent="0.25">
      <c r="A707">
        <v>511.7115478515625</v>
      </c>
      <c r="B707">
        <v>262.99661254882812</v>
      </c>
    </row>
    <row r="708" spans="1:2" ht="15" customHeight="1" x14ac:dyDescent="0.25">
      <c r="A708">
        <v>573.9288330078125</v>
      </c>
      <c r="B708">
        <v>232.1649169921875</v>
      </c>
    </row>
    <row r="709" spans="1:2" ht="15" customHeight="1" x14ac:dyDescent="0.25">
      <c r="A709">
        <v>579.558349609375</v>
      </c>
      <c r="B709">
        <v>241.8316650390625</v>
      </c>
    </row>
    <row r="710" spans="1:2" ht="15" customHeight="1" x14ac:dyDescent="0.25">
      <c r="A710">
        <v>501.96356201171875</v>
      </c>
      <c r="B710">
        <v>377.57302856445312</v>
      </c>
    </row>
    <row r="711" spans="1:2" ht="15" customHeight="1" x14ac:dyDescent="0.25">
      <c r="A711">
        <v>447.020751953125</v>
      </c>
      <c r="B711">
        <v>495.69989013671875</v>
      </c>
    </row>
    <row r="712" spans="1:2" ht="15" customHeight="1" x14ac:dyDescent="0.25">
      <c r="A712">
        <v>286.4012451171875</v>
      </c>
      <c r="B712">
        <v>504.32086181640625</v>
      </c>
    </row>
    <row r="713" spans="1:2" ht="15" customHeight="1" x14ac:dyDescent="0.25">
      <c r="A713">
        <v>272.77752685546875</v>
      </c>
      <c r="B713">
        <v>490.52520751953125</v>
      </c>
    </row>
    <row r="714" spans="1:2" ht="15" customHeight="1" x14ac:dyDescent="0.25">
      <c r="A714">
        <v>290.11038208007812</v>
      </c>
      <c r="B714">
        <v>479.82244873046875</v>
      </c>
    </row>
    <row r="715" spans="1:2" ht="15" customHeight="1" x14ac:dyDescent="0.25">
      <c r="A715">
        <v>450.27499389648437</v>
      </c>
      <c r="B715">
        <v>378.22705078125</v>
      </c>
    </row>
    <row r="716" spans="1:2" ht="15" customHeight="1" x14ac:dyDescent="0.25">
      <c r="A716">
        <v>572.86651611328125</v>
      </c>
      <c r="B716">
        <v>278.888916015625</v>
      </c>
    </row>
    <row r="717" spans="1:2" ht="15" customHeight="1" x14ac:dyDescent="0.25">
      <c r="A717">
        <v>574.24407958984375</v>
      </c>
      <c r="B717">
        <v>214.62138366699219</v>
      </c>
    </row>
    <row r="718" spans="1:2" ht="15" customHeight="1" x14ac:dyDescent="0.25">
      <c r="A718">
        <v>548.60064697265625</v>
      </c>
      <c r="B718">
        <v>217.16796875</v>
      </c>
    </row>
    <row r="719" spans="1:2" ht="15" customHeight="1" x14ac:dyDescent="0.25">
      <c r="A719">
        <v>537.8758544921875</v>
      </c>
      <c r="B719">
        <v>207.89738464355469</v>
      </c>
    </row>
    <row r="720" spans="1:2" ht="15" customHeight="1" x14ac:dyDescent="0.25">
      <c r="A720">
        <v>411.7857666015625</v>
      </c>
      <c r="B720">
        <v>209.08029174804687</v>
      </c>
    </row>
    <row r="721" spans="1:2" ht="15" customHeight="1" x14ac:dyDescent="0.25">
      <c r="A721">
        <v>315.25265502929687</v>
      </c>
      <c r="B721">
        <v>214.61386108398437</v>
      </c>
    </row>
    <row r="722" spans="1:2" ht="15" customHeight="1" x14ac:dyDescent="0.25">
      <c r="A722">
        <v>251.77485656738281</v>
      </c>
      <c r="B722">
        <v>252.32032775878906</v>
      </c>
    </row>
    <row r="723" spans="1:2" ht="15" customHeight="1" x14ac:dyDescent="0.25">
      <c r="A723">
        <v>256.68417358398437</v>
      </c>
      <c r="B723">
        <v>384.8294677734375</v>
      </c>
    </row>
    <row r="724" spans="1:2" ht="15" customHeight="1" x14ac:dyDescent="0.25">
      <c r="A724">
        <v>246.90841674804687</v>
      </c>
      <c r="B724">
        <v>411.76437377929687</v>
      </c>
    </row>
    <row r="725" spans="1:2" ht="15" customHeight="1" x14ac:dyDescent="0.25">
      <c r="A725">
        <v>247.27922058105469</v>
      </c>
      <c r="B725">
        <v>495.5299072265625</v>
      </c>
    </row>
    <row r="726" spans="1:2" ht="15" customHeight="1" x14ac:dyDescent="0.25">
      <c r="A726">
        <v>254.42654418945313</v>
      </c>
      <c r="B726">
        <v>519.17437744140625</v>
      </c>
    </row>
    <row r="727" spans="1:2" ht="15" customHeight="1" x14ac:dyDescent="0.25">
      <c r="A727">
        <v>298.81100463867187</v>
      </c>
      <c r="B727">
        <v>513.27130126953125</v>
      </c>
    </row>
    <row r="728" spans="1:2" ht="15" customHeight="1" x14ac:dyDescent="0.25">
      <c r="A728">
        <v>441.13925170898437</v>
      </c>
      <c r="B728">
        <v>479.50967407226562</v>
      </c>
    </row>
    <row r="729" spans="1:2" ht="15" customHeight="1" x14ac:dyDescent="0.25">
      <c r="A729">
        <v>463.4066162109375</v>
      </c>
      <c r="B729">
        <v>382.79876708984375</v>
      </c>
    </row>
    <row r="730" spans="1:2" ht="15" customHeight="1" x14ac:dyDescent="0.25">
      <c r="A730">
        <v>550.08782958984375</v>
      </c>
      <c r="B730">
        <v>297.9161376953125</v>
      </c>
    </row>
    <row r="731" spans="1:2" ht="15" customHeight="1" x14ac:dyDescent="0.25">
      <c r="A731">
        <v>572.32720947265625</v>
      </c>
      <c r="B731">
        <v>288.68557739257812</v>
      </c>
    </row>
    <row r="732" spans="1:2" ht="15" customHeight="1" x14ac:dyDescent="0.25">
      <c r="A732">
        <v>559.4739990234375</v>
      </c>
      <c r="B732">
        <v>320.46646118164062</v>
      </c>
    </row>
    <row r="733" spans="1:2" ht="15" customHeight="1" x14ac:dyDescent="0.25">
      <c r="A733">
        <v>518.905029296875</v>
      </c>
      <c r="B733">
        <v>430.77053833007812</v>
      </c>
    </row>
    <row r="734" spans="1:2" ht="15" customHeight="1" x14ac:dyDescent="0.25">
      <c r="A734">
        <v>414.1741943359375</v>
      </c>
      <c r="B734">
        <v>515.8165283203125</v>
      </c>
    </row>
    <row r="735" spans="1:2" ht="15" customHeight="1" x14ac:dyDescent="0.25">
      <c r="A735">
        <v>333.55560302734375</v>
      </c>
      <c r="B735">
        <v>500.6241455078125</v>
      </c>
    </row>
    <row r="736" spans="1:2" ht="15" customHeight="1" x14ac:dyDescent="0.25">
      <c r="A736">
        <v>330.07406616210937</v>
      </c>
      <c r="B736">
        <v>491.75390625</v>
      </c>
    </row>
    <row r="737" spans="1:2" ht="15" customHeight="1" x14ac:dyDescent="0.25">
      <c r="A737">
        <v>368.60626220703125</v>
      </c>
      <c r="B737">
        <v>371.65634155273438</v>
      </c>
    </row>
    <row r="738" spans="1:2" ht="15" customHeight="1" x14ac:dyDescent="0.25">
      <c r="A738">
        <v>497.78445434570312</v>
      </c>
      <c r="B738">
        <v>253.76689147949219</v>
      </c>
    </row>
    <row r="739" spans="1:2" ht="15" customHeight="1" x14ac:dyDescent="0.25">
      <c r="A739">
        <v>574.23101806640625</v>
      </c>
      <c r="B739">
        <v>211.41928100585937</v>
      </c>
    </row>
    <row r="740" spans="1:2" ht="15" customHeight="1" x14ac:dyDescent="0.25">
      <c r="A740">
        <v>553.47674560546875</v>
      </c>
      <c r="B740">
        <v>211.75456237792969</v>
      </c>
    </row>
    <row r="741" spans="1:2" ht="15" customHeight="1" x14ac:dyDescent="0.25">
      <c r="A741">
        <v>541.0382080078125</v>
      </c>
      <c r="B741">
        <v>200.39886474609375</v>
      </c>
    </row>
    <row r="742" spans="1:2" ht="15" customHeight="1" x14ac:dyDescent="0.25">
      <c r="A742">
        <v>397.94073486328125</v>
      </c>
      <c r="B742">
        <v>201.24871826171875</v>
      </c>
    </row>
    <row r="743" spans="1:2" ht="15" customHeight="1" x14ac:dyDescent="0.25">
      <c r="A743">
        <v>277.06231689453125</v>
      </c>
      <c r="B743">
        <v>201.68656921386719</v>
      </c>
    </row>
    <row r="744" spans="1:2" ht="15" customHeight="1" x14ac:dyDescent="0.25">
      <c r="A744">
        <v>245.70492553710937</v>
      </c>
      <c r="B744">
        <v>204.2496337890625</v>
      </c>
    </row>
    <row r="745" spans="1:2" ht="15" customHeight="1" x14ac:dyDescent="0.25">
      <c r="A745">
        <v>253.41290283203125</v>
      </c>
      <c r="B745">
        <v>202.55348205566406</v>
      </c>
    </row>
    <row r="746" spans="1:2" ht="15" customHeight="1" x14ac:dyDescent="0.25">
      <c r="A746">
        <v>242.19230651855469</v>
      </c>
      <c r="B746">
        <v>202.54640197753906</v>
      </c>
    </row>
    <row r="747" spans="1:2" ht="15" customHeight="1" x14ac:dyDescent="0.25">
      <c r="A747">
        <v>243.25651550292969</v>
      </c>
      <c r="B747">
        <v>201.00436401367187</v>
      </c>
    </row>
    <row r="748" spans="1:2" ht="15" customHeight="1" x14ac:dyDescent="0.25">
      <c r="A748">
        <v>243.96205139160156</v>
      </c>
      <c r="B748">
        <v>202.9859619140625</v>
      </c>
    </row>
    <row r="749" spans="1:2" ht="15" customHeight="1" x14ac:dyDescent="0.25">
      <c r="A749">
        <v>241.10342407226562</v>
      </c>
      <c r="B749">
        <v>199.9931640625</v>
      </c>
    </row>
    <row r="750" spans="1:2" ht="15" customHeight="1" x14ac:dyDescent="0.25">
      <c r="A750">
        <v>238.19285583496094</v>
      </c>
      <c r="B750">
        <v>213.6004638671875</v>
      </c>
    </row>
    <row r="751" spans="1:2" ht="15" customHeight="1" x14ac:dyDescent="0.25">
      <c r="A751">
        <v>237.24308776855469</v>
      </c>
      <c r="B751">
        <v>218.09010314941406</v>
      </c>
    </row>
    <row r="752" spans="1:2" ht="15" customHeight="1" x14ac:dyDescent="0.25">
      <c r="A752">
        <v>238.02871704101562</v>
      </c>
      <c r="B752">
        <v>222.4041748046875</v>
      </c>
    </row>
    <row r="753" spans="1:2" ht="15" customHeight="1" x14ac:dyDescent="0.25">
      <c r="A753">
        <v>239.07296752929687</v>
      </c>
      <c r="B753">
        <v>219.19920349121094</v>
      </c>
    </row>
    <row r="754" spans="1:2" ht="15" customHeight="1" x14ac:dyDescent="0.25">
      <c r="A754">
        <v>236.36186218261719</v>
      </c>
      <c r="B754">
        <v>212.93679809570312</v>
      </c>
    </row>
    <row r="755" spans="1:2" ht="15" customHeight="1" x14ac:dyDescent="0.25">
      <c r="A755">
        <v>252.0296630859375</v>
      </c>
      <c r="B755">
        <v>196.1513671875</v>
      </c>
    </row>
    <row r="756" spans="1:2" ht="15" customHeight="1" x14ac:dyDescent="0.25">
      <c r="A756">
        <v>253.12234497070312</v>
      </c>
      <c r="B756">
        <v>197.80461120605469</v>
      </c>
    </row>
    <row r="757" spans="1:2" ht="15" customHeight="1" x14ac:dyDescent="0.25">
      <c r="A757">
        <v>260.9794921875</v>
      </c>
      <c r="B757">
        <v>208.90650939941406</v>
      </c>
    </row>
    <row r="758" spans="1:2" ht="15" customHeight="1" x14ac:dyDescent="0.25">
      <c r="A758">
        <v>254.42686462402344</v>
      </c>
      <c r="B758">
        <v>237.79776000976562</v>
      </c>
    </row>
    <row r="759" spans="1:2" ht="15" customHeight="1" x14ac:dyDescent="0.25">
      <c r="A759">
        <v>246.34275817871094</v>
      </c>
      <c r="B759">
        <v>207.26409912109375</v>
      </c>
    </row>
    <row r="760" spans="1:2" ht="15" customHeight="1" x14ac:dyDescent="0.25">
      <c r="A760">
        <v>232.114013671875</v>
      </c>
      <c r="B760">
        <v>205.94612121582031</v>
      </c>
    </row>
    <row r="761" spans="1:2" ht="15" customHeight="1" x14ac:dyDescent="0.25">
      <c r="A761">
        <v>234.01728820800781</v>
      </c>
      <c r="B761">
        <v>205.54252624511719</v>
      </c>
    </row>
    <row r="762" spans="1:2" ht="15" customHeight="1" x14ac:dyDescent="0.25">
      <c r="A762">
        <v>247.24868774414062</v>
      </c>
      <c r="B762">
        <v>203.63670349121094</v>
      </c>
    </row>
    <row r="763" spans="1:2" ht="15" customHeight="1" x14ac:dyDescent="0.25">
      <c r="A763">
        <v>277.30001831054687</v>
      </c>
      <c r="B763">
        <v>198.49562072753906</v>
      </c>
    </row>
    <row r="764" spans="1:2" ht="15" customHeight="1" x14ac:dyDescent="0.25">
      <c r="A764">
        <v>234.64259338378906</v>
      </c>
      <c r="B764">
        <v>197.361328125</v>
      </c>
    </row>
    <row r="765" spans="1:2" ht="15" customHeight="1" x14ac:dyDescent="0.25">
      <c r="A765">
        <v>240.28715515136719</v>
      </c>
      <c r="B765">
        <v>200.16006469726562</v>
      </c>
    </row>
    <row r="766" spans="1:2" ht="15" customHeight="1" x14ac:dyDescent="0.25">
      <c r="A766">
        <v>238.81716918945312</v>
      </c>
      <c r="B766">
        <v>199.41993713378906</v>
      </c>
    </row>
    <row r="767" spans="1:2" ht="15" customHeight="1" x14ac:dyDescent="0.25">
      <c r="A767">
        <v>236.75607299804687</v>
      </c>
      <c r="B767">
        <v>200.12516784667969</v>
      </c>
    </row>
    <row r="768" spans="1:2" ht="15" customHeight="1" x14ac:dyDescent="0.25">
      <c r="A768">
        <v>230.99369812011719</v>
      </c>
      <c r="B768">
        <v>198.90364074707031</v>
      </c>
    </row>
    <row r="769" spans="1:2" ht="15" customHeight="1" x14ac:dyDescent="0.25">
      <c r="A769">
        <v>234.51406860351562</v>
      </c>
      <c r="B769">
        <v>204.68386840820312</v>
      </c>
    </row>
    <row r="770" spans="1:2" ht="15" customHeight="1" x14ac:dyDescent="0.25">
      <c r="A770">
        <v>235.57426452636719</v>
      </c>
      <c r="B770">
        <v>218.65901184082031</v>
      </c>
    </row>
    <row r="771" spans="1:2" ht="15" customHeight="1" x14ac:dyDescent="0.25">
      <c r="A771">
        <v>236.15451049804687</v>
      </c>
      <c r="B771">
        <v>336.58163452148437</v>
      </c>
    </row>
    <row r="772" spans="1:2" ht="15" customHeight="1" x14ac:dyDescent="0.25">
      <c r="A772">
        <v>235.08973693847656</v>
      </c>
      <c r="B772">
        <v>421.77044677734375</v>
      </c>
    </row>
    <row r="773" spans="1:2" ht="15" customHeight="1" x14ac:dyDescent="0.25">
      <c r="A773">
        <v>235.12104797363281</v>
      </c>
      <c r="B773">
        <v>419.7025146484375</v>
      </c>
    </row>
    <row r="774" spans="1:2" ht="15" customHeight="1" x14ac:dyDescent="0.25">
      <c r="A774">
        <v>240.39083862304688</v>
      </c>
      <c r="B774">
        <v>503.41067504882812</v>
      </c>
    </row>
    <row r="775" spans="1:2" ht="15" customHeight="1" x14ac:dyDescent="0.25">
      <c r="A775">
        <v>259.50381469726562</v>
      </c>
      <c r="B775">
        <v>526.61749267578125</v>
      </c>
    </row>
    <row r="776" spans="1:2" ht="15" customHeight="1" x14ac:dyDescent="0.25">
      <c r="A776">
        <v>392.93063354492187</v>
      </c>
      <c r="B776">
        <v>527.126708984375</v>
      </c>
    </row>
    <row r="777" spans="1:2" ht="15" customHeight="1" x14ac:dyDescent="0.25">
      <c r="A777">
        <v>469.5516357421875</v>
      </c>
      <c r="B777">
        <v>509.08941650390625</v>
      </c>
    </row>
    <row r="778" spans="1:2" ht="15" customHeight="1" x14ac:dyDescent="0.25">
      <c r="A778">
        <v>465.12957763671875</v>
      </c>
      <c r="B778">
        <v>434.6685791015625</v>
      </c>
    </row>
    <row r="779" spans="1:2" ht="15" customHeight="1" x14ac:dyDescent="0.25">
      <c r="A779">
        <v>569.9378662109375</v>
      </c>
      <c r="B779">
        <v>326.04519653320312</v>
      </c>
    </row>
    <row r="780" spans="1:2" ht="15" customHeight="1" x14ac:dyDescent="0.25">
      <c r="A780">
        <v>585.93426513671875</v>
      </c>
      <c r="B780">
        <v>346.22262573242187</v>
      </c>
    </row>
    <row r="781" spans="1:2" ht="15" customHeight="1" x14ac:dyDescent="0.25">
      <c r="A781">
        <v>584.04058837890625</v>
      </c>
      <c r="B781">
        <v>354.81375122070312</v>
      </c>
    </row>
    <row r="782" spans="1:2" ht="15" customHeight="1" x14ac:dyDescent="0.25">
      <c r="A782">
        <v>558.12420654296875</v>
      </c>
      <c r="B782">
        <v>446.75604248046875</v>
      </c>
    </row>
    <row r="783" spans="1:2" ht="15" customHeight="1" x14ac:dyDescent="0.25">
      <c r="A783">
        <v>469.17599487304687</v>
      </c>
      <c r="B783">
        <v>523.61151123046875</v>
      </c>
    </row>
    <row r="784" spans="1:2" ht="15" customHeight="1" x14ac:dyDescent="0.25">
      <c r="A784">
        <v>354.05514526367187</v>
      </c>
      <c r="B784">
        <v>530.76171875</v>
      </c>
    </row>
    <row r="785" spans="1:2" ht="15" customHeight="1" x14ac:dyDescent="0.25">
      <c r="A785">
        <v>382.49032592773437</v>
      </c>
      <c r="B785">
        <v>516.3568115234375</v>
      </c>
    </row>
    <row r="786" spans="1:2" ht="15" customHeight="1" x14ac:dyDescent="0.25">
      <c r="A786">
        <v>394.34890747070312</v>
      </c>
      <c r="B786">
        <v>420.744384765625</v>
      </c>
    </row>
    <row r="787" spans="1:2" ht="15" customHeight="1" x14ac:dyDescent="0.25">
      <c r="A787">
        <v>497.64602661132812</v>
      </c>
      <c r="B787">
        <v>262.58538818359375</v>
      </c>
    </row>
    <row r="788" spans="1:2" ht="15" customHeight="1" x14ac:dyDescent="0.25">
      <c r="A788">
        <v>578.20135498046875</v>
      </c>
      <c r="B788">
        <v>202.99920654296875</v>
      </c>
    </row>
    <row r="789" spans="1:2" ht="15" customHeight="1" x14ac:dyDescent="0.25">
      <c r="A789">
        <v>583.20599365234375</v>
      </c>
      <c r="B789">
        <v>199.32286071777344</v>
      </c>
    </row>
    <row r="790" spans="1:2" ht="15" customHeight="1" x14ac:dyDescent="0.25">
      <c r="A790">
        <v>563.373291015625</v>
      </c>
      <c r="B790">
        <v>199.69264221191406</v>
      </c>
    </row>
    <row r="791" spans="1:2" ht="15" customHeight="1" x14ac:dyDescent="0.25">
      <c r="A791">
        <v>447.31375122070312</v>
      </c>
      <c r="B791">
        <v>198.88177490234375</v>
      </c>
    </row>
    <row r="792" spans="1:2" ht="15" customHeight="1" x14ac:dyDescent="0.25">
      <c r="A792">
        <v>280.0926513671875</v>
      </c>
      <c r="B792">
        <v>203.73834228515625</v>
      </c>
    </row>
    <row r="793" spans="1:2" ht="15" customHeight="1" x14ac:dyDescent="0.25">
      <c r="A793">
        <v>232.86549377441406</v>
      </c>
      <c r="B793">
        <v>217.68096923828125</v>
      </c>
    </row>
    <row r="794" spans="1:2" ht="15" customHeight="1" x14ac:dyDescent="0.25">
      <c r="A794">
        <v>228.75279235839844</v>
      </c>
      <c r="B794">
        <v>345.38858032226562</v>
      </c>
    </row>
    <row r="795" spans="1:2" ht="15" customHeight="1" x14ac:dyDescent="0.25">
      <c r="A795">
        <v>228.3350830078125</v>
      </c>
      <c r="B795">
        <v>493.5755615234375</v>
      </c>
    </row>
    <row r="796" spans="1:2" ht="15" customHeight="1" x14ac:dyDescent="0.25">
      <c r="A796">
        <v>229.78019714355469</v>
      </c>
      <c r="B796">
        <v>498.02764892578125</v>
      </c>
    </row>
    <row r="797" spans="1:2" ht="15" customHeight="1" x14ac:dyDescent="0.25">
      <c r="A797">
        <v>235.37602233886719</v>
      </c>
      <c r="B797">
        <v>533.9327392578125</v>
      </c>
    </row>
    <row r="798" spans="1:2" ht="15" customHeight="1" x14ac:dyDescent="0.25">
      <c r="A798">
        <v>256.55630493164062</v>
      </c>
      <c r="B798">
        <v>517.741943359375</v>
      </c>
    </row>
    <row r="799" spans="1:2" ht="15" customHeight="1" x14ac:dyDescent="0.25">
      <c r="A799">
        <v>398.78500366210937</v>
      </c>
      <c r="B799">
        <v>483.57379150390625</v>
      </c>
    </row>
    <row r="800" spans="1:2" ht="15" customHeight="1" x14ac:dyDescent="0.25">
      <c r="A800">
        <v>550.00848388671875</v>
      </c>
      <c r="B800">
        <v>464.170654296875</v>
      </c>
    </row>
    <row r="801" spans="1:2" ht="15" customHeight="1" x14ac:dyDescent="0.25">
      <c r="A801">
        <v>546.4461669921875</v>
      </c>
      <c r="B801">
        <v>390.772216796875</v>
      </c>
    </row>
    <row r="802" spans="1:2" ht="15" customHeight="1" x14ac:dyDescent="0.25">
      <c r="A802">
        <v>588.06317138671875</v>
      </c>
      <c r="B802">
        <v>455.5733642578125</v>
      </c>
    </row>
    <row r="803" spans="1:2" ht="15" customHeight="1" x14ac:dyDescent="0.25">
      <c r="A803">
        <v>561.825439453125</v>
      </c>
      <c r="B803">
        <v>444.01858520507812</v>
      </c>
    </row>
    <row r="804" spans="1:2" ht="15" customHeight="1" x14ac:dyDescent="0.25">
      <c r="A804">
        <v>519.4927978515625</v>
      </c>
      <c r="B804">
        <v>347.41848754882812</v>
      </c>
    </row>
    <row r="805" spans="1:2" ht="15" customHeight="1" x14ac:dyDescent="0.25">
      <c r="A805">
        <v>505.592529296875</v>
      </c>
      <c r="B805">
        <v>417.99139404296875</v>
      </c>
    </row>
    <row r="806" spans="1:2" ht="15" customHeight="1" x14ac:dyDescent="0.25">
      <c r="A806">
        <v>427.81573486328125</v>
      </c>
      <c r="B806">
        <v>473.86212158203125</v>
      </c>
    </row>
    <row r="807" spans="1:2" ht="15" customHeight="1" x14ac:dyDescent="0.25">
      <c r="A807">
        <v>505.09530639648437</v>
      </c>
      <c r="B807">
        <v>394.0880126953125</v>
      </c>
    </row>
    <row r="808" spans="1:2" ht="15" customHeight="1" x14ac:dyDescent="0.25">
      <c r="A808">
        <v>480.40066528320312</v>
      </c>
      <c r="B808">
        <v>350.78469848632812</v>
      </c>
    </row>
    <row r="809" spans="1:2" ht="15" customHeight="1" x14ac:dyDescent="0.25">
      <c r="A809">
        <v>379.1370849609375</v>
      </c>
      <c r="B809">
        <v>411.8077392578125</v>
      </c>
    </row>
    <row r="810" spans="1:2" ht="15" customHeight="1" x14ac:dyDescent="0.25">
      <c r="A810">
        <v>472.7628173828125</v>
      </c>
      <c r="B810">
        <v>415.48568725585937</v>
      </c>
    </row>
    <row r="811" spans="1:2" ht="15" customHeight="1" x14ac:dyDescent="0.25">
      <c r="A811">
        <v>516.38555908203125</v>
      </c>
      <c r="B811">
        <v>300.72271728515625</v>
      </c>
    </row>
    <row r="812" spans="1:2" ht="15" customHeight="1" x14ac:dyDescent="0.25">
      <c r="A812">
        <v>424.31329345703125</v>
      </c>
      <c r="B812">
        <v>207.1400146484375</v>
      </c>
    </row>
    <row r="813" spans="1:2" ht="15" customHeight="1" x14ac:dyDescent="0.25">
      <c r="A813">
        <v>392.30880737304687</v>
      </c>
      <c r="B813">
        <v>198.15565490722656</v>
      </c>
    </row>
    <row r="814" spans="1:2" ht="15" customHeight="1" x14ac:dyDescent="0.25">
      <c r="A814">
        <v>464.80825805664062</v>
      </c>
      <c r="B814">
        <v>199.1427001953125</v>
      </c>
    </row>
    <row r="815" spans="1:2" ht="15" customHeight="1" x14ac:dyDescent="0.25">
      <c r="A815">
        <v>462.334716796875</v>
      </c>
      <c r="B815">
        <v>198.68310546875</v>
      </c>
    </row>
    <row r="816" spans="1:2" ht="15" customHeight="1" x14ac:dyDescent="0.25">
      <c r="A816">
        <v>332.00399780273437</v>
      </c>
      <c r="B816">
        <v>197.55218505859375</v>
      </c>
    </row>
    <row r="817" spans="1:2" ht="15" customHeight="1" x14ac:dyDescent="0.25">
      <c r="A817">
        <v>237.747314453125</v>
      </c>
      <c r="B817">
        <v>197.86924743652344</v>
      </c>
    </row>
    <row r="818" spans="1:2" ht="15" customHeight="1" x14ac:dyDescent="0.25">
      <c r="A818">
        <v>234.80642700195312</v>
      </c>
      <c r="B818">
        <v>212.617431640625</v>
      </c>
    </row>
    <row r="819" spans="1:2" ht="15" customHeight="1" x14ac:dyDescent="0.25">
      <c r="A819">
        <v>234.45767211914063</v>
      </c>
      <c r="B819">
        <v>240.7900390625</v>
      </c>
    </row>
    <row r="820" spans="1:2" ht="15" customHeight="1" x14ac:dyDescent="0.25">
      <c r="A820">
        <v>234.89512634277344</v>
      </c>
      <c r="B820">
        <v>283.0848388671875</v>
      </c>
    </row>
    <row r="821" spans="1:2" ht="15" customHeight="1" x14ac:dyDescent="0.25">
      <c r="A821">
        <v>232.65171813964844</v>
      </c>
      <c r="B821">
        <v>217.56802368164062</v>
      </c>
    </row>
    <row r="822" spans="1:2" ht="15" customHeight="1" x14ac:dyDescent="0.25">
      <c r="A822">
        <v>235.80279541015625</v>
      </c>
      <c r="B822">
        <v>206.13339233398437</v>
      </c>
    </row>
    <row r="823" spans="1:2" ht="15" customHeight="1" x14ac:dyDescent="0.25">
      <c r="A823">
        <v>254.09443664550781</v>
      </c>
      <c r="B823">
        <v>204.18121337890625</v>
      </c>
    </row>
    <row r="824" spans="1:2" ht="15" customHeight="1" x14ac:dyDescent="0.25">
      <c r="A824">
        <v>286.066650390625</v>
      </c>
      <c r="B824">
        <v>203.79095458984375</v>
      </c>
    </row>
    <row r="825" spans="1:2" ht="15" customHeight="1" x14ac:dyDescent="0.25">
      <c r="A825">
        <v>326.30825805664062</v>
      </c>
      <c r="B825">
        <v>204.19404602050781</v>
      </c>
    </row>
    <row r="826" spans="1:2" ht="15" customHeight="1" x14ac:dyDescent="0.25">
      <c r="A826">
        <v>255.96420288085937</v>
      </c>
      <c r="B826">
        <v>200.17805480957031</v>
      </c>
    </row>
    <row r="827" spans="1:2" ht="15" customHeight="1" x14ac:dyDescent="0.25">
      <c r="A827">
        <v>251.72770690917969</v>
      </c>
      <c r="B827">
        <v>199.95018005371094</v>
      </c>
    </row>
    <row r="828" spans="1:2" ht="15" customHeight="1" x14ac:dyDescent="0.25">
      <c r="A828">
        <v>251.15733337402344</v>
      </c>
      <c r="B828">
        <v>203.01838684082031</v>
      </c>
    </row>
    <row r="829" spans="1:2" ht="15" customHeight="1" x14ac:dyDescent="0.25">
      <c r="A829">
        <v>253.42886352539062</v>
      </c>
      <c r="B829">
        <v>207.13877868652344</v>
      </c>
    </row>
    <row r="830" spans="1:2" ht="15" customHeight="1" x14ac:dyDescent="0.25">
      <c r="A830">
        <v>249.87376403808594</v>
      </c>
      <c r="B830">
        <v>256.2479248046875</v>
      </c>
    </row>
    <row r="831" spans="1:2" ht="15" customHeight="1" x14ac:dyDescent="0.25">
      <c r="A831">
        <v>243.77459716796875</v>
      </c>
      <c r="B831">
        <v>346.09063720703125</v>
      </c>
    </row>
    <row r="832" spans="1:2" ht="15" customHeight="1" x14ac:dyDescent="0.25">
      <c r="A832">
        <v>243.5048828125</v>
      </c>
      <c r="B832">
        <v>315.38796997070312</v>
      </c>
    </row>
    <row r="833" spans="1:2" ht="15" customHeight="1" x14ac:dyDescent="0.25">
      <c r="A833">
        <v>250.80021667480469</v>
      </c>
      <c r="B833">
        <v>291.80532836914063</v>
      </c>
    </row>
    <row r="834" spans="1:2" ht="15" customHeight="1" x14ac:dyDescent="0.25">
      <c r="A834">
        <v>255.43795776367187</v>
      </c>
      <c r="B834">
        <v>265.3807373046875</v>
      </c>
    </row>
    <row r="835" spans="1:2" ht="15" customHeight="1" x14ac:dyDescent="0.25">
      <c r="A835">
        <v>317.83938598632812</v>
      </c>
      <c r="B835">
        <v>204.65414428710937</v>
      </c>
    </row>
    <row r="836" spans="1:2" ht="15" customHeight="1" x14ac:dyDescent="0.25">
      <c r="A836">
        <v>409.71701049804687</v>
      </c>
      <c r="B836">
        <v>195.95217895507812</v>
      </c>
    </row>
    <row r="837" spans="1:2" ht="15" customHeight="1" x14ac:dyDescent="0.25">
      <c r="A837">
        <v>360.73336791992187</v>
      </c>
      <c r="B837">
        <v>199.97846984863281</v>
      </c>
    </row>
    <row r="838" spans="1:2" ht="15" customHeight="1" x14ac:dyDescent="0.25">
      <c r="A838">
        <v>350.64852905273438</v>
      </c>
      <c r="B838">
        <v>200.02239990234375</v>
      </c>
    </row>
    <row r="839" spans="1:2" ht="15" customHeight="1" x14ac:dyDescent="0.25">
      <c r="A839">
        <v>312.47488403320312</v>
      </c>
      <c r="B839">
        <v>200.33186340332031</v>
      </c>
    </row>
    <row r="840" spans="1:2" ht="15" customHeight="1" x14ac:dyDescent="0.25">
      <c r="A840">
        <v>252.37516784667969</v>
      </c>
      <c r="B840">
        <v>200.18519592285156</v>
      </c>
    </row>
    <row r="841" spans="1:2" ht="15" customHeight="1" x14ac:dyDescent="0.25">
      <c r="A841">
        <v>248.11663818359375</v>
      </c>
      <c r="B841">
        <v>207.22647094726562</v>
      </c>
    </row>
    <row r="842" spans="1:2" ht="15" customHeight="1" x14ac:dyDescent="0.25">
      <c r="A842">
        <v>249.14462280273437</v>
      </c>
      <c r="B842">
        <v>243.11891174316406</v>
      </c>
    </row>
    <row r="843" spans="1:2" ht="15" customHeight="1" x14ac:dyDescent="0.25">
      <c r="A843">
        <v>248.62931823730469</v>
      </c>
      <c r="B843">
        <v>358.869140625</v>
      </c>
    </row>
    <row r="844" spans="1:2" ht="15" customHeight="1" x14ac:dyDescent="0.25">
      <c r="A844">
        <v>247.44688415527344</v>
      </c>
      <c r="B844">
        <v>508.1934814453125</v>
      </c>
    </row>
    <row r="845" spans="1:2" ht="15" customHeight="1" x14ac:dyDescent="0.25">
      <c r="A845">
        <v>247.8221435546875</v>
      </c>
      <c r="B845">
        <v>529.498779296875</v>
      </c>
    </row>
    <row r="846" spans="1:2" ht="15" customHeight="1" x14ac:dyDescent="0.25">
      <c r="A846">
        <v>252.60795593261719</v>
      </c>
      <c r="B846">
        <v>528.96429443359375</v>
      </c>
    </row>
    <row r="847" spans="1:2" ht="15" customHeight="1" x14ac:dyDescent="0.25">
      <c r="A847">
        <v>297.55447387695312</v>
      </c>
      <c r="B847">
        <v>530.32763671875</v>
      </c>
    </row>
    <row r="848" spans="1:2" ht="15" customHeight="1" x14ac:dyDescent="0.25">
      <c r="A848">
        <v>420.93759155273437</v>
      </c>
      <c r="B848">
        <v>530.280029296875</v>
      </c>
    </row>
    <row r="849" spans="1:2" ht="15" customHeight="1" x14ac:dyDescent="0.25">
      <c r="A849">
        <v>577.82391357421875</v>
      </c>
      <c r="B849">
        <v>444.05615234375</v>
      </c>
    </row>
    <row r="850" spans="1:2" ht="15" customHeight="1" x14ac:dyDescent="0.25">
      <c r="A850">
        <v>597.80511474609375</v>
      </c>
      <c r="B850">
        <v>293.20904541015625</v>
      </c>
    </row>
    <row r="851" spans="1:2" ht="15" customHeight="1" x14ac:dyDescent="0.25">
      <c r="A851">
        <v>604.50494384765625</v>
      </c>
      <c r="B851">
        <v>199.2459716796875</v>
      </c>
    </row>
    <row r="852" spans="1:2" ht="15" customHeight="1" x14ac:dyDescent="0.25">
      <c r="A852">
        <v>606.3162841796875</v>
      </c>
      <c r="B852">
        <v>203.0240478515625</v>
      </c>
    </row>
    <row r="853" spans="1:2" ht="15" customHeight="1" x14ac:dyDescent="0.25">
      <c r="A853">
        <v>606.8592529296875</v>
      </c>
      <c r="B853">
        <v>210.32467651367188</v>
      </c>
    </row>
    <row r="854" spans="1:2" ht="15" customHeight="1" x14ac:dyDescent="0.25">
      <c r="A854">
        <v>494.23980712890625</v>
      </c>
      <c r="B854">
        <v>249.1561279296875</v>
      </c>
    </row>
    <row r="855" spans="1:2" ht="15" customHeight="1" x14ac:dyDescent="0.25">
      <c r="A855">
        <v>325.64047241210937</v>
      </c>
      <c r="B855">
        <v>378.13980102539062</v>
      </c>
    </row>
    <row r="856" spans="1:2" ht="15" customHeight="1" x14ac:dyDescent="0.25">
      <c r="A856">
        <v>240.51174926757812</v>
      </c>
      <c r="B856">
        <v>351.10671997070312</v>
      </c>
    </row>
    <row r="857" spans="1:2" ht="15" customHeight="1" x14ac:dyDescent="0.25">
      <c r="A857">
        <v>248.69998168945312</v>
      </c>
      <c r="B857">
        <v>299.3494873046875</v>
      </c>
    </row>
    <row r="858" spans="1:2" ht="15" customHeight="1" x14ac:dyDescent="0.25">
      <c r="A858">
        <v>258.3201904296875</v>
      </c>
      <c r="B858">
        <v>216.55775451660156</v>
      </c>
    </row>
    <row r="859" spans="1:2" ht="15" customHeight="1" x14ac:dyDescent="0.25">
      <c r="A859">
        <v>308.05172729492187</v>
      </c>
      <c r="B859">
        <v>195.5982666015625</v>
      </c>
    </row>
    <row r="860" spans="1:2" ht="15" customHeight="1" x14ac:dyDescent="0.25">
      <c r="A860">
        <v>445.835693359375</v>
      </c>
      <c r="B860">
        <v>211.75067138671875</v>
      </c>
    </row>
    <row r="861" spans="1:2" ht="15" customHeight="1" x14ac:dyDescent="0.25">
      <c r="A861">
        <v>406.1070556640625</v>
      </c>
      <c r="B861">
        <v>198.39508056640625</v>
      </c>
    </row>
    <row r="862" spans="1:2" ht="15" customHeight="1" x14ac:dyDescent="0.25">
      <c r="A862">
        <v>349.2784423828125</v>
      </c>
      <c r="B862">
        <v>198.30873107910156</v>
      </c>
    </row>
    <row r="863" spans="1:2" ht="15" customHeight="1" x14ac:dyDescent="0.25">
      <c r="A863">
        <v>252.34703063964844</v>
      </c>
      <c r="B863">
        <v>197.92752075195312</v>
      </c>
    </row>
    <row r="864" spans="1:2" ht="15" customHeight="1" x14ac:dyDescent="0.25">
      <c r="A864">
        <v>244.59027099609375</v>
      </c>
      <c r="B864">
        <v>203.04280090332031</v>
      </c>
    </row>
    <row r="865" spans="1:2" ht="15" customHeight="1" x14ac:dyDescent="0.25">
      <c r="A865">
        <v>262.07781982421875</v>
      </c>
      <c r="B865">
        <v>220.37930297851563</v>
      </c>
    </row>
    <row r="866" spans="1:2" ht="15" customHeight="1" x14ac:dyDescent="0.25">
      <c r="A866">
        <v>245.05636596679687</v>
      </c>
      <c r="B866">
        <v>300.18252563476562</v>
      </c>
    </row>
    <row r="867" spans="1:2" ht="15" customHeight="1" x14ac:dyDescent="0.25">
      <c r="A867">
        <v>246.00900268554687</v>
      </c>
      <c r="B867">
        <v>446.58261108398437</v>
      </c>
    </row>
    <row r="868" spans="1:2" ht="15" customHeight="1" x14ac:dyDescent="0.25">
      <c r="A868">
        <v>247.14042663574219</v>
      </c>
      <c r="B868">
        <v>505.4007568359375</v>
      </c>
    </row>
    <row r="869" spans="1:2" ht="15" customHeight="1" x14ac:dyDescent="0.25">
      <c r="A869">
        <v>255.3095703125</v>
      </c>
      <c r="B869">
        <v>465.21926879882812</v>
      </c>
    </row>
    <row r="870" spans="1:2" ht="15" customHeight="1" x14ac:dyDescent="0.25">
      <c r="A870">
        <v>274.5693359375</v>
      </c>
      <c r="B870">
        <v>483.19046020507812</v>
      </c>
    </row>
    <row r="871" spans="1:2" ht="15" customHeight="1" x14ac:dyDescent="0.25">
      <c r="A871">
        <v>371.26821899414062</v>
      </c>
      <c r="B871">
        <v>444.92874145507812</v>
      </c>
    </row>
    <row r="872" spans="1:2" ht="15" customHeight="1" x14ac:dyDescent="0.25">
      <c r="A872">
        <v>541.10247802734375</v>
      </c>
      <c r="B872">
        <v>441.75372314453125</v>
      </c>
    </row>
    <row r="873" spans="1:2" ht="15" customHeight="1" x14ac:dyDescent="0.25">
      <c r="A873">
        <v>593.8157958984375</v>
      </c>
      <c r="B873">
        <v>419.80007934570312</v>
      </c>
    </row>
    <row r="874" spans="1:2" ht="15" customHeight="1" x14ac:dyDescent="0.25">
      <c r="A874">
        <v>551.1873779296875</v>
      </c>
      <c r="B874">
        <v>406.61209106445312</v>
      </c>
    </row>
    <row r="875" spans="1:2" ht="15" customHeight="1" x14ac:dyDescent="0.25">
      <c r="A875">
        <v>560.24139404296875</v>
      </c>
      <c r="B875">
        <v>317.35153198242187</v>
      </c>
    </row>
    <row r="876" spans="1:2" ht="15" customHeight="1" x14ac:dyDescent="0.25">
      <c r="A876">
        <v>517.98553466796875</v>
      </c>
      <c r="B876">
        <v>255.61029052734375</v>
      </c>
    </row>
    <row r="877" spans="1:2" ht="15" customHeight="1" x14ac:dyDescent="0.25">
      <c r="A877">
        <v>513.2227783203125</v>
      </c>
      <c r="B877">
        <v>217.32748413085937</v>
      </c>
    </row>
    <row r="878" spans="1:2" ht="15" customHeight="1" x14ac:dyDescent="0.25">
      <c r="A878">
        <v>484.74307250976562</v>
      </c>
      <c r="B878">
        <v>279.45208740234375</v>
      </c>
    </row>
    <row r="879" spans="1:2" ht="15" customHeight="1" x14ac:dyDescent="0.25">
      <c r="A879">
        <v>466.59896850585937</v>
      </c>
      <c r="B879">
        <v>353.40805053710937</v>
      </c>
    </row>
    <row r="880" spans="1:2" ht="15" customHeight="1" x14ac:dyDescent="0.25">
      <c r="A880">
        <v>366.38253784179687</v>
      </c>
      <c r="B880">
        <v>272.30416870117187</v>
      </c>
    </row>
    <row r="881" spans="1:2" ht="15" customHeight="1" x14ac:dyDescent="0.25">
      <c r="A881">
        <v>296.83526611328125</v>
      </c>
      <c r="B881">
        <v>207.30924987792969</v>
      </c>
    </row>
    <row r="882" spans="1:2" ht="15" customHeight="1" x14ac:dyDescent="0.25">
      <c r="A882">
        <v>258.68222045898437</v>
      </c>
      <c r="B882">
        <v>197.77699279785156</v>
      </c>
    </row>
    <row r="883" spans="1:2" ht="15" customHeight="1" x14ac:dyDescent="0.25">
      <c r="A883">
        <v>337.7066650390625</v>
      </c>
      <c r="B883">
        <v>199.21690368652344</v>
      </c>
    </row>
    <row r="884" spans="1:2" ht="15" customHeight="1" x14ac:dyDescent="0.25">
      <c r="A884">
        <v>411.51605224609375</v>
      </c>
      <c r="B884">
        <v>198.26809692382812</v>
      </c>
    </row>
    <row r="885" spans="1:2" ht="15" customHeight="1" x14ac:dyDescent="0.25">
      <c r="A885">
        <v>312.4610595703125</v>
      </c>
      <c r="B885">
        <v>200.91590881347656</v>
      </c>
    </row>
    <row r="886" spans="1:2" ht="15" customHeight="1" x14ac:dyDescent="0.25">
      <c r="A886">
        <v>248.86672973632812</v>
      </c>
      <c r="B886">
        <v>196.60833740234375</v>
      </c>
    </row>
    <row r="887" spans="1:2" ht="15" customHeight="1" x14ac:dyDescent="0.25">
      <c r="A887">
        <v>242.330322265625</v>
      </c>
      <c r="B887">
        <v>199.89387512207031</v>
      </c>
    </row>
    <row r="888" spans="1:2" ht="15" customHeight="1" x14ac:dyDescent="0.25">
      <c r="A888">
        <v>241.61923217773437</v>
      </c>
      <c r="B888">
        <v>198.58424377441406</v>
      </c>
    </row>
    <row r="889" spans="1:2" ht="15" customHeight="1" x14ac:dyDescent="0.25">
      <c r="A889">
        <v>242.24575805664062</v>
      </c>
      <c r="B889">
        <v>199.06193542480469</v>
      </c>
    </row>
    <row r="890" spans="1:2" ht="15" customHeight="1" x14ac:dyDescent="0.25">
      <c r="A890">
        <v>239.06695556640625</v>
      </c>
      <c r="B890">
        <v>203.72653198242187</v>
      </c>
    </row>
    <row r="891" spans="1:2" ht="15" customHeight="1" x14ac:dyDescent="0.25">
      <c r="A891">
        <v>236.27128601074219</v>
      </c>
      <c r="B891">
        <v>227.20904541015625</v>
      </c>
    </row>
    <row r="892" spans="1:2" ht="15" customHeight="1" x14ac:dyDescent="0.25">
      <c r="A892">
        <v>237.17242431640625</v>
      </c>
      <c r="B892">
        <v>214.75918579101562</v>
      </c>
    </row>
    <row r="893" spans="1:2" ht="15" customHeight="1" x14ac:dyDescent="0.25">
      <c r="A893">
        <v>237.59072875976562</v>
      </c>
      <c r="B893">
        <v>238.42767333984375</v>
      </c>
    </row>
    <row r="894" spans="1:2" ht="15" customHeight="1" x14ac:dyDescent="0.25">
      <c r="A894">
        <v>238.33682250976563</v>
      </c>
      <c r="B894">
        <v>206.31878662109375</v>
      </c>
    </row>
    <row r="895" spans="1:2" ht="15" customHeight="1" x14ac:dyDescent="0.25">
      <c r="A895">
        <v>244.77604675292969</v>
      </c>
      <c r="B895">
        <v>204.0235595703125</v>
      </c>
    </row>
    <row r="896" spans="1:2" ht="15" customHeight="1" x14ac:dyDescent="0.25">
      <c r="A896">
        <v>265.69976806640625</v>
      </c>
      <c r="B896">
        <v>204.64793395996094</v>
      </c>
    </row>
    <row r="897" spans="1:2" ht="15" customHeight="1" x14ac:dyDescent="0.25">
      <c r="A897">
        <v>259.4228515625</v>
      </c>
      <c r="B897">
        <v>206.46371459960937</v>
      </c>
    </row>
    <row r="898" spans="1:2" ht="15" customHeight="1" x14ac:dyDescent="0.25">
      <c r="A898">
        <v>292.05084228515625</v>
      </c>
      <c r="B898">
        <v>200.81475830078125</v>
      </c>
    </row>
    <row r="899" spans="1:2" ht="15" customHeight="1" x14ac:dyDescent="0.25">
      <c r="A899">
        <v>249.20278930664062</v>
      </c>
      <c r="B899">
        <v>197.53620910644531</v>
      </c>
    </row>
    <row r="900" spans="1:2" ht="15" customHeight="1" x14ac:dyDescent="0.25">
      <c r="A900">
        <v>249.34266662597656</v>
      </c>
      <c r="B900">
        <v>199.28054809570312</v>
      </c>
    </row>
    <row r="901" spans="1:2" ht="15" customHeight="1" x14ac:dyDescent="0.25">
      <c r="A901">
        <v>249.92825317382812</v>
      </c>
      <c r="B901">
        <v>199.25787353515625</v>
      </c>
    </row>
    <row r="902" spans="1:2" ht="15" customHeight="1" x14ac:dyDescent="0.25">
      <c r="A902">
        <v>249.79623413085937</v>
      </c>
      <c r="B902">
        <v>234.00559997558594</v>
      </c>
    </row>
    <row r="903" spans="1:2" ht="15" customHeight="1" x14ac:dyDescent="0.25">
      <c r="A903">
        <v>241.27630615234375</v>
      </c>
      <c r="B903">
        <v>249.06550598144531</v>
      </c>
    </row>
    <row r="904" spans="1:2" ht="15" customHeight="1" x14ac:dyDescent="0.25">
      <c r="A904">
        <v>245.75004577636719</v>
      </c>
      <c r="B904">
        <v>203.11868286132812</v>
      </c>
    </row>
    <row r="905" spans="1:2" ht="15" customHeight="1" x14ac:dyDescent="0.25">
      <c r="A905">
        <v>246.22407531738281</v>
      </c>
      <c r="B905">
        <v>202.52279663085937</v>
      </c>
    </row>
    <row r="906" spans="1:2" ht="15" customHeight="1" x14ac:dyDescent="0.25">
      <c r="A906">
        <v>244.84494018554687</v>
      </c>
      <c r="B906">
        <v>199.26290893554687</v>
      </c>
    </row>
    <row r="907" spans="1:2" ht="15" customHeight="1" x14ac:dyDescent="0.25">
      <c r="A907">
        <v>293.26336669921875</v>
      </c>
      <c r="B907">
        <v>204.80783081054687</v>
      </c>
    </row>
    <row r="908" spans="1:2" ht="15" customHeight="1" x14ac:dyDescent="0.25">
      <c r="A908">
        <v>291.88641357421875</v>
      </c>
      <c r="B908">
        <v>200.85160827636719</v>
      </c>
    </row>
    <row r="909" spans="1:2" ht="15" customHeight="1" x14ac:dyDescent="0.25">
      <c r="A909">
        <v>248.64053344726562</v>
      </c>
      <c r="B909">
        <v>199.71002197265625</v>
      </c>
    </row>
    <row r="910" spans="1:2" ht="15" customHeight="1" x14ac:dyDescent="0.25">
      <c r="A910">
        <v>250.28665161132812</v>
      </c>
      <c r="B910">
        <v>199.54095458984375</v>
      </c>
    </row>
    <row r="911" spans="1:2" ht="15" customHeight="1" x14ac:dyDescent="0.25">
      <c r="A911">
        <v>249.30592346191406</v>
      </c>
      <c r="B911">
        <v>200.32322692871094</v>
      </c>
    </row>
    <row r="912" spans="1:2" ht="15" customHeight="1" x14ac:dyDescent="0.25">
      <c r="A912">
        <v>252.1697998046875</v>
      </c>
      <c r="B912">
        <v>198.79371643066406</v>
      </c>
    </row>
    <row r="913" spans="1:2" ht="15" customHeight="1" x14ac:dyDescent="0.25">
      <c r="A913">
        <v>248.72755432128906</v>
      </c>
      <c r="B913">
        <v>199.12663269042969</v>
      </c>
    </row>
    <row r="914" spans="1:2" ht="15" customHeight="1" x14ac:dyDescent="0.25">
      <c r="A914">
        <v>247.86244201660156</v>
      </c>
      <c r="B914">
        <v>199.90470886230469</v>
      </c>
    </row>
    <row r="915" spans="1:2" ht="15" customHeight="1" x14ac:dyDescent="0.25">
      <c r="A915">
        <v>246.791748046875</v>
      </c>
      <c r="B915">
        <v>199.54151916503906</v>
      </c>
    </row>
    <row r="916" spans="1:2" ht="15" customHeight="1" x14ac:dyDescent="0.25">
      <c r="A916">
        <v>247.85801696777344</v>
      </c>
      <c r="B916">
        <v>199.587646484375</v>
      </c>
    </row>
    <row r="917" spans="1:2" ht="15" customHeight="1" x14ac:dyDescent="0.25">
      <c r="A917">
        <v>247.11117553710937</v>
      </c>
      <c r="B917">
        <v>212.05783081054687</v>
      </c>
    </row>
    <row r="918" spans="1:2" ht="15" customHeight="1" x14ac:dyDescent="0.25">
      <c r="A918">
        <v>247.04296875</v>
      </c>
      <c r="B918">
        <v>210.81019592285156</v>
      </c>
    </row>
    <row r="919" spans="1:2" ht="15" customHeight="1" x14ac:dyDescent="0.25">
      <c r="A919">
        <v>245.66499328613281</v>
      </c>
      <c r="B919">
        <v>207.81570434570312</v>
      </c>
    </row>
    <row r="920" spans="1:2" ht="15" customHeight="1" x14ac:dyDescent="0.25">
      <c r="A920">
        <v>244.49655151367187</v>
      </c>
      <c r="B920">
        <v>203.88523864746094</v>
      </c>
    </row>
    <row r="921" spans="1:2" ht="15" customHeight="1" x14ac:dyDescent="0.25">
      <c r="A921">
        <v>245.84234619140625</v>
      </c>
      <c r="B921">
        <v>208.03860473632812</v>
      </c>
    </row>
    <row r="922" spans="1:2" ht="15" customHeight="1" x14ac:dyDescent="0.25">
      <c r="A922">
        <v>256.58746337890625</v>
      </c>
      <c r="B922">
        <v>204.62092590332031</v>
      </c>
    </row>
    <row r="923" spans="1:2" ht="15" customHeight="1" x14ac:dyDescent="0.25">
      <c r="A923">
        <v>254.49700927734375</v>
      </c>
      <c r="B923">
        <v>204.25656127929687</v>
      </c>
    </row>
    <row r="924" spans="1:2" ht="15" customHeight="1" x14ac:dyDescent="0.25">
      <c r="A924">
        <v>250.78019714355469</v>
      </c>
      <c r="B924">
        <v>210.29661560058594</v>
      </c>
    </row>
    <row r="925" spans="1:2" ht="15" customHeight="1" x14ac:dyDescent="0.25">
      <c r="A925">
        <v>251.05499267578125</v>
      </c>
      <c r="B925">
        <v>226.41998291015625</v>
      </c>
    </row>
    <row r="926" spans="1:2" ht="15" customHeight="1" x14ac:dyDescent="0.25">
      <c r="A926">
        <v>257.00155639648437</v>
      </c>
      <c r="B926">
        <v>294.42913818359375</v>
      </c>
    </row>
    <row r="927" spans="1:2" ht="15" customHeight="1" x14ac:dyDescent="0.25">
      <c r="A927">
        <v>254.47123718261719</v>
      </c>
      <c r="B927">
        <v>405.47930908203125</v>
      </c>
    </row>
    <row r="928" spans="1:2" ht="15" customHeight="1" x14ac:dyDescent="0.25">
      <c r="A928">
        <v>254.19766235351562</v>
      </c>
      <c r="B928">
        <v>348.86819458007813</v>
      </c>
    </row>
    <row r="929" spans="1:2" ht="15" customHeight="1" x14ac:dyDescent="0.25">
      <c r="A929">
        <v>259.7633056640625</v>
      </c>
      <c r="B929">
        <v>273.72540283203125</v>
      </c>
    </row>
    <row r="930" spans="1:2" ht="15" customHeight="1" x14ac:dyDescent="0.25">
      <c r="A930">
        <v>279.20846557617187</v>
      </c>
      <c r="B930">
        <v>205.12841796875</v>
      </c>
    </row>
    <row r="931" spans="1:2" ht="15" customHeight="1" x14ac:dyDescent="0.25">
      <c r="A931">
        <v>361.93844604492187</v>
      </c>
      <c r="B931">
        <v>206.8416748046875</v>
      </c>
    </row>
    <row r="932" spans="1:2" ht="15" customHeight="1" x14ac:dyDescent="0.25">
      <c r="A932">
        <v>481.82516479492187</v>
      </c>
      <c r="B932">
        <v>199.32894897460937</v>
      </c>
    </row>
    <row r="933" spans="1:2" ht="15" customHeight="1" x14ac:dyDescent="0.25">
      <c r="A933">
        <v>404.28097534179687</v>
      </c>
      <c r="B933">
        <v>200.19590759277344</v>
      </c>
    </row>
    <row r="934" spans="1:2" ht="15" customHeight="1" x14ac:dyDescent="0.25">
      <c r="A934">
        <v>320.5736083984375</v>
      </c>
      <c r="B934">
        <v>198.77818298339844</v>
      </c>
    </row>
    <row r="935" spans="1:2" ht="15" customHeight="1" x14ac:dyDescent="0.25">
      <c r="A935">
        <v>250.58390808105469</v>
      </c>
      <c r="B935">
        <v>200.87359619140625</v>
      </c>
    </row>
    <row r="936" spans="1:2" ht="15" customHeight="1" x14ac:dyDescent="0.25">
      <c r="A936">
        <v>254.4080810546875</v>
      </c>
      <c r="B936">
        <v>198.37907409667969</v>
      </c>
    </row>
    <row r="937" spans="1:2" ht="15" customHeight="1" x14ac:dyDescent="0.25">
      <c r="A937">
        <v>245.42684936523437</v>
      </c>
      <c r="B937">
        <v>207.65774536132812</v>
      </c>
    </row>
    <row r="938" spans="1:2" ht="15" customHeight="1" x14ac:dyDescent="0.25">
      <c r="A938">
        <v>242.88688659667969</v>
      </c>
      <c r="B938">
        <v>260.24014282226562</v>
      </c>
    </row>
    <row r="939" spans="1:2" ht="15" customHeight="1" x14ac:dyDescent="0.25">
      <c r="A939">
        <v>242.43867492675781</v>
      </c>
      <c r="B939">
        <v>381.40133666992187</v>
      </c>
    </row>
    <row r="940" spans="1:2" ht="15" customHeight="1" x14ac:dyDescent="0.25">
      <c r="A940">
        <v>240.09812927246094</v>
      </c>
      <c r="B940">
        <v>503.44906616210937</v>
      </c>
    </row>
    <row r="941" spans="1:2" ht="15" customHeight="1" x14ac:dyDescent="0.25">
      <c r="A941">
        <v>239.97462463378906</v>
      </c>
      <c r="B941">
        <v>529.40606689453125</v>
      </c>
    </row>
    <row r="942" spans="1:2" ht="15" customHeight="1" x14ac:dyDescent="0.25">
      <c r="A942">
        <v>249.86817932128906</v>
      </c>
      <c r="B942">
        <v>533.44073486328125</v>
      </c>
    </row>
    <row r="943" spans="1:2" ht="15" customHeight="1" x14ac:dyDescent="0.25">
      <c r="A943">
        <v>314.28167724609375</v>
      </c>
      <c r="B943">
        <v>533.04779052734375</v>
      </c>
    </row>
    <row r="944" spans="1:2" ht="15" customHeight="1" x14ac:dyDescent="0.25">
      <c r="A944">
        <v>450.63436889648437</v>
      </c>
      <c r="B944">
        <v>531.6181640625</v>
      </c>
    </row>
    <row r="945" spans="1:2" ht="15" customHeight="1" x14ac:dyDescent="0.25">
      <c r="A945">
        <v>586.75054931640625</v>
      </c>
      <c r="B945">
        <v>534.76531982421875</v>
      </c>
    </row>
    <row r="946" spans="1:2" ht="15" customHeight="1" x14ac:dyDescent="0.25">
      <c r="A946">
        <v>607.7623291015625</v>
      </c>
      <c r="B946">
        <v>521.7017822265625</v>
      </c>
    </row>
    <row r="947" spans="1:2" ht="15" customHeight="1" x14ac:dyDescent="0.25">
      <c r="A947">
        <v>606.164306640625</v>
      </c>
      <c r="B947">
        <v>496.0616455078125</v>
      </c>
    </row>
    <row r="948" spans="1:2" ht="15" customHeight="1" x14ac:dyDescent="0.25">
      <c r="A948">
        <v>602.585205078125</v>
      </c>
      <c r="B948">
        <v>456.95870971679687</v>
      </c>
    </row>
    <row r="949" spans="1:2" ht="15" customHeight="1" x14ac:dyDescent="0.25">
      <c r="A949">
        <v>601.011962890625</v>
      </c>
      <c r="B949">
        <v>508.27224731445312</v>
      </c>
    </row>
    <row r="950" spans="1:2" ht="15" customHeight="1" x14ac:dyDescent="0.25">
      <c r="A950">
        <v>597.51251220703125</v>
      </c>
      <c r="B950">
        <v>533.814453125</v>
      </c>
    </row>
    <row r="951" spans="1:2" ht="15" customHeight="1" x14ac:dyDescent="0.25">
      <c r="A951">
        <v>575.99920654296875</v>
      </c>
      <c r="B951">
        <v>532.84173583984375</v>
      </c>
    </row>
    <row r="952" spans="1:2" ht="15" customHeight="1" x14ac:dyDescent="0.25">
      <c r="A952">
        <v>542.35760498046875</v>
      </c>
      <c r="B952">
        <v>535.3697509765625</v>
      </c>
    </row>
    <row r="953" spans="1:2" ht="15" customHeight="1" x14ac:dyDescent="0.25">
      <c r="A953">
        <v>501.92449951171875</v>
      </c>
      <c r="B953">
        <v>525.62200927734375</v>
      </c>
    </row>
    <row r="954" spans="1:2" ht="15" customHeight="1" x14ac:dyDescent="0.25">
      <c r="A954">
        <v>567.4105224609375</v>
      </c>
      <c r="B954">
        <v>431.02474975585937</v>
      </c>
    </row>
    <row r="955" spans="1:2" ht="15" customHeight="1" x14ac:dyDescent="0.25">
      <c r="A955">
        <v>590.31201171875</v>
      </c>
      <c r="B955">
        <v>306.44491577148437</v>
      </c>
    </row>
    <row r="956" spans="1:2" ht="15" customHeight="1" x14ac:dyDescent="0.25">
      <c r="A956">
        <v>591.0260009765625</v>
      </c>
      <c r="B956">
        <v>222.38166809082031</v>
      </c>
    </row>
    <row r="957" spans="1:2" ht="15" customHeight="1" x14ac:dyDescent="0.25">
      <c r="A957">
        <v>592.92034912109375</v>
      </c>
      <c r="B957">
        <v>204.73121643066406</v>
      </c>
    </row>
    <row r="958" spans="1:2" ht="15" customHeight="1" x14ac:dyDescent="0.25">
      <c r="A958">
        <v>577.65948486328125</v>
      </c>
      <c r="B958">
        <v>198.57780456542969</v>
      </c>
    </row>
    <row r="959" spans="1:2" ht="15" customHeight="1" x14ac:dyDescent="0.25">
      <c r="A959">
        <v>461.56466674804687</v>
      </c>
      <c r="B959">
        <v>198.58187866210937</v>
      </c>
    </row>
    <row r="960" spans="1:2" ht="15" customHeight="1" x14ac:dyDescent="0.25">
      <c r="A960">
        <v>332.14926147460937</v>
      </c>
      <c r="B960">
        <v>207.57423400878906</v>
      </c>
    </row>
    <row r="961" spans="1:2" ht="15" customHeight="1" x14ac:dyDescent="0.25">
      <c r="A961">
        <v>247.05262756347656</v>
      </c>
      <c r="B961">
        <v>241.67485046386719</v>
      </c>
    </row>
    <row r="962" spans="1:2" ht="15" customHeight="1" x14ac:dyDescent="0.25">
      <c r="A962">
        <v>239.135986328125</v>
      </c>
      <c r="B962">
        <v>390.85031127929687</v>
      </c>
    </row>
    <row r="963" spans="1:2" ht="15" customHeight="1" x14ac:dyDescent="0.25">
      <c r="A963">
        <v>242.49348449707031</v>
      </c>
      <c r="B963">
        <v>515.08624267578125</v>
      </c>
    </row>
    <row r="964" spans="1:2" ht="15" customHeight="1" x14ac:dyDescent="0.25">
      <c r="A964">
        <v>246.03434753417969</v>
      </c>
      <c r="B964">
        <v>521.232421875</v>
      </c>
    </row>
    <row r="965" spans="1:2" ht="15" customHeight="1" x14ac:dyDescent="0.25">
      <c r="A965">
        <v>259.4874267578125</v>
      </c>
      <c r="B965">
        <v>530.94525146484375</v>
      </c>
    </row>
    <row r="966" spans="1:2" ht="15" customHeight="1" x14ac:dyDescent="0.25">
      <c r="A966">
        <v>301.43231201171875</v>
      </c>
      <c r="B966">
        <v>532.7327880859375</v>
      </c>
    </row>
    <row r="967" spans="1:2" ht="15" customHeight="1" x14ac:dyDescent="0.25">
      <c r="A967">
        <v>467.48690795898437</v>
      </c>
      <c r="B967">
        <v>522.7000732421875</v>
      </c>
    </row>
    <row r="968" spans="1:2" ht="15" customHeight="1" x14ac:dyDescent="0.25">
      <c r="A968">
        <v>595.07659912109375</v>
      </c>
      <c r="B968">
        <v>507.762939453125</v>
      </c>
    </row>
    <row r="969" spans="1:2" ht="15" customHeight="1" x14ac:dyDescent="0.25">
      <c r="A969">
        <v>600.4351806640625</v>
      </c>
      <c r="B969">
        <v>399.56680297851562</v>
      </c>
    </row>
    <row r="970" spans="1:2" ht="15" customHeight="1" x14ac:dyDescent="0.25">
      <c r="A970">
        <v>618.31964111328125</v>
      </c>
      <c r="B970">
        <v>299.87451171875</v>
      </c>
    </row>
    <row r="971" spans="1:2" ht="15" customHeight="1" x14ac:dyDescent="0.25">
      <c r="A971">
        <v>614.71142578125</v>
      </c>
      <c r="B971">
        <v>214.4312744140625</v>
      </c>
    </row>
    <row r="972" spans="1:2" ht="15" customHeight="1" x14ac:dyDescent="0.25">
      <c r="A972">
        <v>602.16912841796875</v>
      </c>
      <c r="B972">
        <v>206.33384704589844</v>
      </c>
    </row>
    <row r="973" spans="1:2" ht="15" customHeight="1" x14ac:dyDescent="0.25">
      <c r="A973">
        <v>578.48101806640625</v>
      </c>
      <c r="B973">
        <v>219.08154296875</v>
      </c>
    </row>
    <row r="974" spans="1:2" ht="15" customHeight="1" x14ac:dyDescent="0.25">
      <c r="A974">
        <v>443.80899047851562</v>
      </c>
      <c r="B974">
        <v>312.25723266601562</v>
      </c>
    </row>
    <row r="975" spans="1:2" ht="15" customHeight="1" x14ac:dyDescent="0.25">
      <c r="A975">
        <v>339.57638549804687</v>
      </c>
      <c r="B975">
        <v>404.96023559570312</v>
      </c>
    </row>
    <row r="976" spans="1:2" ht="15" customHeight="1" x14ac:dyDescent="0.25">
      <c r="A976">
        <v>248.72109985351562</v>
      </c>
      <c r="B976">
        <v>363.12100219726562</v>
      </c>
    </row>
    <row r="977" spans="1:2" ht="15" customHeight="1" x14ac:dyDescent="0.25">
      <c r="A977">
        <v>248.35026550292969</v>
      </c>
      <c r="B977">
        <v>337.88021850585937</v>
      </c>
    </row>
    <row r="978" spans="1:2" ht="15" customHeight="1" x14ac:dyDescent="0.25">
      <c r="A978">
        <v>263.05438232421875</v>
      </c>
      <c r="B978">
        <v>263.74429321289062</v>
      </c>
    </row>
    <row r="979" spans="1:2" ht="15" customHeight="1" x14ac:dyDescent="0.25">
      <c r="A979">
        <v>377.57559204101562</v>
      </c>
      <c r="B979">
        <v>200.79086303710937</v>
      </c>
    </row>
    <row r="980" spans="1:2" ht="15" customHeight="1" x14ac:dyDescent="0.25">
      <c r="A980">
        <v>452.12738037109375</v>
      </c>
      <c r="B980">
        <v>216.066162109375</v>
      </c>
    </row>
    <row r="981" spans="1:2" ht="15" customHeight="1" x14ac:dyDescent="0.25">
      <c r="A981">
        <v>408.5</v>
      </c>
      <c r="B981">
        <v>204.42195129394531</v>
      </c>
    </row>
    <row r="982" spans="1:2" ht="15" customHeight="1" x14ac:dyDescent="0.25">
      <c r="A982">
        <v>378.5107421875</v>
      </c>
      <c r="B982">
        <v>197.49205017089844</v>
      </c>
    </row>
    <row r="983" spans="1:2" ht="15" customHeight="1" x14ac:dyDescent="0.25">
      <c r="A983">
        <v>286.87908935546875</v>
      </c>
      <c r="B983">
        <v>197.68052673339844</v>
      </c>
    </row>
    <row r="984" spans="1:2" ht="15" customHeight="1" x14ac:dyDescent="0.25">
      <c r="A984">
        <v>234.76341247558594</v>
      </c>
      <c r="B984">
        <v>201.21745300292969</v>
      </c>
    </row>
    <row r="985" spans="1:2" ht="15" customHeight="1" x14ac:dyDescent="0.25">
      <c r="A985">
        <v>256.87786865234375</v>
      </c>
      <c r="B985">
        <v>207.36820983886719</v>
      </c>
    </row>
    <row r="986" spans="1:2" ht="15" customHeight="1" x14ac:dyDescent="0.25">
      <c r="A986">
        <v>242.92680358886719</v>
      </c>
      <c r="B986">
        <v>241.79881286621094</v>
      </c>
    </row>
    <row r="987" spans="1:2" ht="15" customHeight="1" x14ac:dyDescent="0.25">
      <c r="A987">
        <v>238.59986877441406</v>
      </c>
      <c r="B987">
        <v>378.77740478515625</v>
      </c>
    </row>
    <row r="988" spans="1:2" ht="15" customHeight="1" x14ac:dyDescent="0.25">
      <c r="A988">
        <v>240.12062072753906</v>
      </c>
      <c r="B988">
        <v>427.15829467773437</v>
      </c>
    </row>
    <row r="989" spans="1:2" ht="15" customHeight="1" x14ac:dyDescent="0.25">
      <c r="A989">
        <v>244.94998168945312</v>
      </c>
      <c r="B989">
        <v>337.20999145507812</v>
      </c>
    </row>
    <row r="990" spans="1:2" ht="15" customHeight="1" x14ac:dyDescent="0.25">
      <c r="A990">
        <v>244.86395263671875</v>
      </c>
      <c r="B990">
        <v>275.61636352539062</v>
      </c>
    </row>
    <row r="991" spans="1:2" ht="15" customHeight="1" x14ac:dyDescent="0.25">
      <c r="A991">
        <v>292.7183837890625</v>
      </c>
      <c r="B991">
        <v>224.83976745605469</v>
      </c>
    </row>
    <row r="992" spans="1:2" ht="15" customHeight="1" x14ac:dyDescent="0.25">
      <c r="A992">
        <v>440.01275634765625</v>
      </c>
      <c r="B992">
        <v>210.99624633789062</v>
      </c>
    </row>
    <row r="993" spans="1:2" ht="15" customHeight="1" x14ac:dyDescent="0.25">
      <c r="A993">
        <v>469.51589965820312</v>
      </c>
      <c r="B993">
        <v>205.89314270019531</v>
      </c>
    </row>
    <row r="994" spans="1:2" ht="15" customHeight="1" x14ac:dyDescent="0.25">
      <c r="A994">
        <v>375.00634765625</v>
      </c>
      <c r="B994">
        <v>199.61968994140625</v>
      </c>
    </row>
    <row r="995" spans="1:2" ht="15" customHeight="1" x14ac:dyDescent="0.25">
      <c r="A995">
        <v>312.93991088867187</v>
      </c>
      <c r="B995">
        <v>210.46208190917969</v>
      </c>
    </row>
    <row r="996" spans="1:2" ht="15" customHeight="1" x14ac:dyDescent="0.25">
      <c r="A996">
        <v>257.291748046875</v>
      </c>
      <c r="B996">
        <v>203.10765075683594</v>
      </c>
    </row>
    <row r="997" spans="1:2" ht="15" customHeight="1" x14ac:dyDescent="0.25">
      <c r="A997">
        <v>249.42001342773437</v>
      </c>
      <c r="B997">
        <v>216.48660278320312</v>
      </c>
    </row>
    <row r="998" spans="1:2" ht="15" customHeight="1" x14ac:dyDescent="0.25">
      <c r="A998">
        <v>241.86322021484375</v>
      </c>
      <c r="B998">
        <v>236.34678649902344</v>
      </c>
    </row>
    <row r="999" spans="1:2" ht="15" customHeight="1" x14ac:dyDescent="0.25">
      <c r="A999">
        <v>243.12168884277344</v>
      </c>
      <c r="B999">
        <v>336.74862670898437</v>
      </c>
    </row>
    <row r="1000" spans="1:2" ht="15" customHeight="1" x14ac:dyDescent="0.25">
      <c r="A1000">
        <v>253.51298522949219</v>
      </c>
      <c r="B1000">
        <v>339.47665405273437</v>
      </c>
    </row>
    <row r="1001" spans="1:2" ht="15" customHeight="1" x14ac:dyDescent="0.25">
      <c r="A1001">
        <v>244.03103637695312</v>
      </c>
      <c r="B1001">
        <v>330.339599609375</v>
      </c>
    </row>
    <row r="1002" spans="1:2" ht="15" customHeight="1" x14ac:dyDescent="0.25">
      <c r="A1002">
        <v>256.23910522460937</v>
      </c>
      <c r="B1002">
        <v>248.6986083984375</v>
      </c>
    </row>
    <row r="1003" spans="1:2" ht="15" customHeight="1" x14ac:dyDescent="0.25">
      <c r="A1003">
        <v>289.01791381835937</v>
      </c>
      <c r="B1003">
        <v>198.09693908691406</v>
      </c>
    </row>
    <row r="1004" spans="1:2" ht="15" customHeight="1" x14ac:dyDescent="0.25">
      <c r="A1004">
        <v>391.9476318359375</v>
      </c>
      <c r="B1004">
        <v>200.27137756347656</v>
      </c>
    </row>
    <row r="1005" spans="1:2" ht="15" customHeight="1" x14ac:dyDescent="0.25">
      <c r="A1005">
        <v>386.66244506835937</v>
      </c>
      <c r="B1005">
        <v>199.05087280273437</v>
      </c>
    </row>
    <row r="1006" spans="1:2" ht="15" customHeight="1" x14ac:dyDescent="0.25">
      <c r="A1006">
        <v>381.07464599609375</v>
      </c>
      <c r="B1006">
        <v>199.23664855957031</v>
      </c>
    </row>
    <row r="1007" spans="1:2" ht="15" customHeight="1" x14ac:dyDescent="0.25">
      <c r="A1007">
        <v>279.61117553710937</v>
      </c>
      <c r="B1007">
        <v>198.50677490234375</v>
      </c>
    </row>
    <row r="1008" spans="1:2" ht="15" customHeight="1" x14ac:dyDescent="0.25">
      <c r="A1008">
        <v>243.41249084472656</v>
      </c>
      <c r="B1008">
        <v>200.40007019042969</v>
      </c>
    </row>
    <row r="1009" spans="1:2" ht="15" customHeight="1" x14ac:dyDescent="0.25">
      <c r="A1009">
        <v>242.75035095214844</v>
      </c>
      <c r="B1009">
        <v>244.94976806640625</v>
      </c>
    </row>
    <row r="1010" spans="1:2" ht="15" customHeight="1" x14ac:dyDescent="0.25">
      <c r="A1010">
        <v>242.2734375</v>
      </c>
      <c r="B1010">
        <v>318.90020751953125</v>
      </c>
    </row>
    <row r="1011" spans="1:2" ht="15" customHeight="1" x14ac:dyDescent="0.25">
      <c r="A1011">
        <v>243.52394104003906</v>
      </c>
      <c r="B1011">
        <v>451.967529296875</v>
      </c>
    </row>
    <row r="1012" spans="1:2" ht="15" customHeight="1" x14ac:dyDescent="0.25">
      <c r="A1012">
        <v>243.78282165527344</v>
      </c>
      <c r="B1012">
        <v>519.889404296875</v>
      </c>
    </row>
    <row r="1013" spans="1:2" ht="15" customHeight="1" x14ac:dyDescent="0.25">
      <c r="A1013">
        <v>245.87167358398438</v>
      </c>
      <c r="B1013">
        <v>535.57342529296875</v>
      </c>
    </row>
    <row r="1014" spans="1:2" ht="15" customHeight="1" x14ac:dyDescent="0.25">
      <c r="A1014">
        <v>302.38101196289062</v>
      </c>
      <c r="B1014">
        <v>531.20831298828125</v>
      </c>
    </row>
    <row r="1015" spans="1:2" ht="15" customHeight="1" x14ac:dyDescent="0.25">
      <c r="A1015">
        <v>384.00283813476562</v>
      </c>
      <c r="B1015">
        <v>530.5616455078125</v>
      </c>
    </row>
    <row r="1016" spans="1:2" ht="15" customHeight="1" x14ac:dyDescent="0.25">
      <c r="A1016">
        <v>531.90484619140625</v>
      </c>
      <c r="B1016">
        <v>531.7344970703125</v>
      </c>
    </row>
    <row r="1017" spans="1:2" ht="15" customHeight="1" x14ac:dyDescent="0.25">
      <c r="A1017">
        <v>597.69085693359375</v>
      </c>
      <c r="B1017">
        <v>532.3701171875</v>
      </c>
    </row>
    <row r="1018" spans="1:2" ht="15" customHeight="1" x14ac:dyDescent="0.25">
      <c r="A1018">
        <v>618.89263916015625</v>
      </c>
      <c r="B1018">
        <v>527.36932373046875</v>
      </c>
    </row>
    <row r="1019" spans="1:2" ht="15" customHeight="1" x14ac:dyDescent="0.25">
      <c r="A1019">
        <v>612.40966796875</v>
      </c>
      <c r="B1019">
        <v>447.09796142578125</v>
      </c>
    </row>
    <row r="1020" spans="1:2" ht="15" customHeight="1" x14ac:dyDescent="0.25">
      <c r="A1020">
        <v>612.39984130859375</v>
      </c>
      <c r="B1020">
        <v>372.767822265625</v>
      </c>
    </row>
    <row r="1021" spans="1:2" ht="15" customHeight="1" x14ac:dyDescent="0.25">
      <c r="A1021">
        <v>611.90533447265625</v>
      </c>
      <c r="B1021">
        <v>421.76876831054687</v>
      </c>
    </row>
    <row r="1022" spans="1:2" ht="15" customHeight="1" x14ac:dyDescent="0.25">
      <c r="A1022">
        <v>612.54010009765625</v>
      </c>
      <c r="B1022">
        <v>515.4486083984375</v>
      </c>
    </row>
    <row r="1023" spans="1:2" ht="15" customHeight="1" x14ac:dyDescent="0.25">
      <c r="A1023">
        <v>607.19061279296875</v>
      </c>
      <c r="B1023">
        <v>534.88592529296875</v>
      </c>
    </row>
    <row r="1024" spans="1:2" ht="15" customHeight="1" x14ac:dyDescent="0.25">
      <c r="A1024">
        <v>507.04986572265625</v>
      </c>
      <c r="B1024">
        <v>533.63067626953125</v>
      </c>
    </row>
    <row r="1025" spans="1:2" ht="15" customHeight="1" x14ac:dyDescent="0.25">
      <c r="A1025">
        <v>431.22943115234375</v>
      </c>
      <c r="B1025">
        <v>534.427490234375</v>
      </c>
    </row>
    <row r="1026" spans="1:2" ht="15" customHeight="1" x14ac:dyDescent="0.25">
      <c r="A1026">
        <v>502.28350830078125</v>
      </c>
      <c r="B1026">
        <v>527.1939697265625</v>
      </c>
    </row>
    <row r="1027" spans="1:2" ht="15" customHeight="1" x14ac:dyDescent="0.25">
      <c r="A1027">
        <v>609.32989501953125</v>
      </c>
      <c r="B1027">
        <v>478.86685180664062</v>
      </c>
    </row>
    <row r="1028" spans="1:2" ht="15" customHeight="1" x14ac:dyDescent="0.25">
      <c r="A1028">
        <v>624.89434814453125</v>
      </c>
      <c r="B1028">
        <v>376.9215087890625</v>
      </c>
    </row>
    <row r="1029" spans="1:2" ht="15" customHeight="1" x14ac:dyDescent="0.25">
      <c r="A1029">
        <v>616.5291748046875</v>
      </c>
      <c r="B1029">
        <v>299.72125244140625</v>
      </c>
    </row>
    <row r="1030" spans="1:2" ht="15" customHeight="1" x14ac:dyDescent="0.25">
      <c r="A1030">
        <v>611.7086181640625</v>
      </c>
      <c r="B1030">
        <v>266.82855224609375</v>
      </c>
    </row>
    <row r="1031" spans="1:2" ht="15" customHeight="1" x14ac:dyDescent="0.25">
      <c r="A1031">
        <v>595.36541748046875</v>
      </c>
      <c r="B1031">
        <v>269.2056884765625</v>
      </c>
    </row>
    <row r="1032" spans="1:2" ht="15" customHeight="1" x14ac:dyDescent="0.25">
      <c r="A1032">
        <v>527.24066162109375</v>
      </c>
      <c r="B1032">
        <v>283.68630981445312</v>
      </c>
    </row>
    <row r="1033" spans="1:2" ht="15" customHeight="1" x14ac:dyDescent="0.25">
      <c r="A1033">
        <v>410.71719360351562</v>
      </c>
      <c r="B1033">
        <v>337.14334106445312</v>
      </c>
    </row>
    <row r="1034" spans="1:2" ht="15" customHeight="1" x14ac:dyDescent="0.25">
      <c r="A1034">
        <v>327.002197265625</v>
      </c>
      <c r="B1034">
        <v>394.90457153320312</v>
      </c>
    </row>
    <row r="1035" spans="1:2" ht="15" customHeight="1" x14ac:dyDescent="0.25">
      <c r="A1035">
        <v>299.49063110351562</v>
      </c>
      <c r="B1035">
        <v>503.84271240234375</v>
      </c>
    </row>
    <row r="1036" spans="1:2" ht="15" customHeight="1" x14ac:dyDescent="0.25">
      <c r="A1036">
        <v>296.51806640625</v>
      </c>
      <c r="B1036">
        <v>524.6240234375</v>
      </c>
    </row>
    <row r="1037" spans="1:2" ht="15" customHeight="1" x14ac:dyDescent="0.25">
      <c r="A1037">
        <v>316.31387329101562</v>
      </c>
      <c r="B1037">
        <v>516.39410400390625</v>
      </c>
    </row>
    <row r="1038" spans="1:2" ht="15" customHeight="1" x14ac:dyDescent="0.25">
      <c r="A1038">
        <v>375.83255004882812</v>
      </c>
      <c r="B1038">
        <v>518.85992431640625</v>
      </c>
    </row>
    <row r="1039" spans="1:2" ht="15" customHeight="1" x14ac:dyDescent="0.25">
      <c r="A1039">
        <v>432.9044189453125</v>
      </c>
      <c r="B1039">
        <v>514.7403564453125</v>
      </c>
    </row>
    <row r="1040" spans="1:2" ht="15" customHeight="1" x14ac:dyDescent="0.25">
      <c r="A1040">
        <v>551.02838134765625</v>
      </c>
      <c r="B1040">
        <v>490.478271484375</v>
      </c>
    </row>
    <row r="1041" spans="1:2" ht="15" customHeight="1" x14ac:dyDescent="0.25">
      <c r="A1041">
        <v>562.57025146484375</v>
      </c>
      <c r="B1041">
        <v>384.34375</v>
      </c>
    </row>
    <row r="1042" spans="1:2" ht="15" customHeight="1" x14ac:dyDescent="0.25">
      <c r="A1042">
        <v>559.4962158203125</v>
      </c>
      <c r="B1042">
        <v>297.05429077148437</v>
      </c>
    </row>
    <row r="1043" spans="1:2" ht="15" customHeight="1" x14ac:dyDescent="0.25">
      <c r="A1043">
        <v>560.11663818359375</v>
      </c>
      <c r="B1043">
        <v>313.82876586914062</v>
      </c>
    </row>
    <row r="1044" spans="1:2" ht="15" customHeight="1" x14ac:dyDescent="0.25">
      <c r="A1044">
        <v>559.6495361328125</v>
      </c>
      <c r="B1044">
        <v>329.73529052734375</v>
      </c>
    </row>
    <row r="1045" spans="1:2" ht="15" customHeight="1" x14ac:dyDescent="0.25">
      <c r="A1045">
        <v>525.64263916015625</v>
      </c>
      <c r="B1045">
        <v>336.27053833007812</v>
      </c>
    </row>
    <row r="1046" spans="1:2" ht="15" customHeight="1" x14ac:dyDescent="0.25">
      <c r="A1046">
        <v>400.49380493164062</v>
      </c>
      <c r="B1046">
        <v>325.89617919921875</v>
      </c>
    </row>
    <row r="1047" spans="1:2" ht="15" customHeight="1" x14ac:dyDescent="0.25">
      <c r="A1047">
        <v>321.48904418945312</v>
      </c>
      <c r="B1047">
        <v>272.52471923828125</v>
      </c>
    </row>
    <row r="1048" spans="1:2" ht="15" customHeight="1" x14ac:dyDescent="0.25">
      <c r="A1048">
        <v>341.48931884765625</v>
      </c>
      <c r="B1048">
        <v>248.04244995117187</v>
      </c>
    </row>
    <row r="1049" spans="1:2" ht="15" customHeight="1" x14ac:dyDescent="0.25">
      <c r="A1049">
        <v>360.06964111328125</v>
      </c>
      <c r="B1049">
        <v>146.82247924804687</v>
      </c>
    </row>
    <row r="1050" spans="1:2" ht="15" customHeight="1" x14ac:dyDescent="0.25">
      <c r="A1050">
        <v>364.7186279296875</v>
      </c>
      <c r="B1050">
        <v>45.222122192382813</v>
      </c>
    </row>
    <row r="1051" spans="1:2" ht="15" customHeight="1" x14ac:dyDescent="0.25">
      <c r="A1051">
        <v>346.02117919921875</v>
      </c>
      <c r="B1051">
        <v>4.6097744256258011E-2</v>
      </c>
    </row>
    <row r="1052" spans="1:2" ht="15" customHeight="1" x14ac:dyDescent="0.25">
      <c r="A1052">
        <v>290.78298950195313</v>
      </c>
      <c r="B1052">
        <v>4.6095874160528183E-2</v>
      </c>
    </row>
    <row r="1053" spans="1:2" ht="15" customHeight="1" x14ac:dyDescent="0.25">
      <c r="A1053">
        <v>245.24749755859375</v>
      </c>
      <c r="B1053">
        <v>5.1093373447656631E-2</v>
      </c>
    </row>
    <row r="1054" spans="1:2" ht="15" customHeight="1" x14ac:dyDescent="0.25">
      <c r="A1054">
        <v>116.48213958740234</v>
      </c>
      <c r="B1054">
        <v>5.5397793650627136E-2</v>
      </c>
    </row>
    <row r="1055" spans="1:2" ht="15" customHeight="1" x14ac:dyDescent="0.25">
      <c r="A1055">
        <v>34.251556396484375</v>
      </c>
      <c r="B1055">
        <v>4.6327114105224609E-2</v>
      </c>
    </row>
    <row r="1056" spans="1:2" ht="15" customHeight="1" x14ac:dyDescent="0.25">
      <c r="A1056">
        <v>0</v>
      </c>
      <c r="B1056">
        <v>5.1107112318277359E-2</v>
      </c>
    </row>
    <row r="1057" spans="1:2" ht="15" customHeight="1" x14ac:dyDescent="0.25">
      <c r="A1057">
        <v>0</v>
      </c>
      <c r="B1057">
        <v>5.5627807974815369E-2</v>
      </c>
    </row>
    <row r="1058" spans="1:2" ht="15" customHeight="1" x14ac:dyDescent="0.25">
      <c r="A1058">
        <v>0</v>
      </c>
      <c r="B1058">
        <v>6.5159708261489868E-2</v>
      </c>
    </row>
    <row r="1059" spans="1:2" ht="15" customHeight="1" x14ac:dyDescent="0.25">
      <c r="A1059">
        <v>0</v>
      </c>
      <c r="B1059">
        <v>6.0401935130357742E-2</v>
      </c>
    </row>
    <row r="1060" spans="1:2" ht="15" customHeight="1" x14ac:dyDescent="0.25">
      <c r="A1060">
        <v>0</v>
      </c>
      <c r="B1060">
        <v>4.1329942643642426E-2</v>
      </c>
    </row>
    <row r="1061" spans="1:2" ht="15" customHeight="1" x14ac:dyDescent="0.25">
      <c r="A1061">
        <v>0</v>
      </c>
      <c r="B1061">
        <v>5.086168646812439E-2</v>
      </c>
    </row>
    <row r="1062" spans="1:2" ht="15" customHeight="1" x14ac:dyDescent="0.25">
      <c r="A1062">
        <v>0</v>
      </c>
      <c r="B1062">
        <v>5.0863731652498245E-2</v>
      </c>
    </row>
    <row r="1063" spans="1:2" ht="15" customHeight="1" x14ac:dyDescent="0.25">
      <c r="A1063">
        <v>0</v>
      </c>
      <c r="B1063">
        <v>5.0620384514331818E-2</v>
      </c>
    </row>
    <row r="1064" spans="1:2" ht="15" customHeight="1" x14ac:dyDescent="0.25">
      <c r="A1064">
        <v>0</v>
      </c>
      <c r="B1064">
        <v>4.6340156346559525E-2</v>
      </c>
    </row>
    <row r="1065" spans="1:2" ht="15" customHeight="1" x14ac:dyDescent="0.25">
      <c r="A1065">
        <v>0</v>
      </c>
      <c r="B1065">
        <v>6.4915470778942108E-2</v>
      </c>
    </row>
    <row r="1066" spans="1:2" ht="15" customHeight="1" x14ac:dyDescent="0.25">
      <c r="A1066">
        <v>0</v>
      </c>
      <c r="B1066">
        <v>4.634387418627739E-2</v>
      </c>
    </row>
    <row r="1067" spans="1:2" ht="15" customHeight="1" x14ac:dyDescent="0.25">
      <c r="A1067">
        <v>0</v>
      </c>
      <c r="B1067">
        <v>5.086139589548111E-2</v>
      </c>
    </row>
    <row r="1068" spans="1:2" ht="15" customHeight="1" x14ac:dyDescent="0.25">
      <c r="A1068">
        <v>0</v>
      </c>
      <c r="B1068">
        <v>4.1329942643642426E-2</v>
      </c>
    </row>
    <row r="1069" spans="1:2" ht="15" customHeight="1" x14ac:dyDescent="0.25">
      <c r="A1069">
        <v>0</v>
      </c>
      <c r="B1069">
        <v>4.6096436679363251E-2</v>
      </c>
    </row>
    <row r="1070" spans="1:2" ht="15" customHeight="1" x14ac:dyDescent="0.25">
      <c r="A1070">
        <v>0</v>
      </c>
      <c r="B1070">
        <v>5.0863999873399734E-2</v>
      </c>
    </row>
    <row r="1071" spans="1:2" ht="15" customHeight="1" x14ac:dyDescent="0.25">
      <c r="A1071">
        <v>0</v>
      </c>
      <c r="B1071">
        <v>5.0617687404155731E-2</v>
      </c>
    </row>
    <row r="1072" spans="1:2" ht="15" customHeight="1" x14ac:dyDescent="0.25">
      <c r="A1072">
        <v>0</v>
      </c>
      <c r="B1072">
        <v>4.1573882102966309E-2</v>
      </c>
    </row>
    <row r="1073" spans="1:2" ht="15" customHeight="1" x14ac:dyDescent="0.25">
      <c r="A1073">
        <v>1.0266286134719849</v>
      </c>
      <c r="B1073">
        <v>5.5384188890457153E-2</v>
      </c>
    </row>
    <row r="1074" spans="1:2" ht="15" customHeight="1" x14ac:dyDescent="0.25">
      <c r="A1074">
        <v>0</v>
      </c>
      <c r="B1074">
        <v>5.0862345844507217E-2</v>
      </c>
    </row>
    <row r="1075" spans="1:2" ht="15" customHeight="1" x14ac:dyDescent="0.25">
      <c r="A1075">
        <v>0</v>
      </c>
      <c r="B1075">
        <v>5.1108065992593765E-2</v>
      </c>
    </row>
    <row r="1076" spans="1:2" ht="15" customHeight="1" x14ac:dyDescent="0.25">
      <c r="A1076">
        <v>0</v>
      </c>
      <c r="B1076">
        <v>4.1329942643642426E-2</v>
      </c>
    </row>
    <row r="1077" spans="1:2" ht="15" customHeight="1" x14ac:dyDescent="0.25">
      <c r="A1077">
        <v>0</v>
      </c>
      <c r="B1077">
        <v>6.0394607484340668E-2</v>
      </c>
    </row>
    <row r="1078" spans="1:2" ht="15" customHeight="1" x14ac:dyDescent="0.25">
      <c r="A1078">
        <v>0</v>
      </c>
      <c r="B1078">
        <v>5.5628556758165359E-2</v>
      </c>
    </row>
    <row r="1079" spans="1:2" ht="15" customHeight="1" x14ac:dyDescent="0.25">
      <c r="A1079">
        <v>0</v>
      </c>
      <c r="B1079">
        <v>5.086212232708931E-2</v>
      </c>
    </row>
    <row r="1080" spans="1:2" ht="15" customHeight="1" x14ac:dyDescent="0.25">
      <c r="A1080">
        <v>0</v>
      </c>
      <c r="B1080">
        <v>6.5162055194377899E-2</v>
      </c>
    </row>
    <row r="1081" spans="1:2" ht="15" customHeight="1" x14ac:dyDescent="0.25">
      <c r="A1081">
        <v>0</v>
      </c>
      <c r="B1081">
        <v>5.4909300059080124E-2</v>
      </c>
    </row>
    <row r="1082" spans="1:2" ht="15" customHeight="1" x14ac:dyDescent="0.25">
      <c r="A1082">
        <v>0</v>
      </c>
      <c r="B1082">
        <v>5.1585394889116287E-2</v>
      </c>
    </row>
    <row r="1083" spans="1:2" ht="15" customHeight="1" x14ac:dyDescent="0.25">
      <c r="A1083">
        <v>0</v>
      </c>
      <c r="B1083">
        <v>5.014028400182724E-2</v>
      </c>
    </row>
    <row r="1084" spans="1:2" ht="15" customHeight="1" x14ac:dyDescent="0.25">
      <c r="A1084">
        <v>0</v>
      </c>
      <c r="B1084">
        <v>5.6351073086261749E-2</v>
      </c>
    </row>
    <row r="1085" spans="1:2" ht="15" customHeight="1" x14ac:dyDescent="0.25">
      <c r="A1085">
        <v>0</v>
      </c>
      <c r="B1085">
        <v>6.0397390276193619E-2</v>
      </c>
    </row>
    <row r="1086" spans="1:2" ht="15" customHeight="1" x14ac:dyDescent="0.25">
      <c r="A1086">
        <v>0</v>
      </c>
      <c r="B1086">
        <v>4.6096187084913254E-2</v>
      </c>
    </row>
    <row r="1087" spans="1:2" ht="15" customHeight="1" x14ac:dyDescent="0.25">
      <c r="A1087">
        <v>0</v>
      </c>
      <c r="B1087">
        <v>5.9675335884094238E-2</v>
      </c>
    </row>
    <row r="1088" spans="1:2" ht="15" customHeight="1" x14ac:dyDescent="0.25">
      <c r="A1088">
        <v>0</v>
      </c>
      <c r="B1088">
        <v>6.1115000396966934E-2</v>
      </c>
    </row>
    <row r="1089" spans="1:2" ht="15" customHeight="1" x14ac:dyDescent="0.25">
      <c r="A1089">
        <v>0</v>
      </c>
      <c r="B1089">
        <v>6.039312481880188E-2</v>
      </c>
    </row>
    <row r="1090" spans="1:2" ht="15" customHeight="1" x14ac:dyDescent="0.25">
      <c r="A1090">
        <v>0</v>
      </c>
      <c r="B1090">
        <v>6.0394730418920517E-2</v>
      </c>
    </row>
    <row r="1091" spans="1:2" ht="15" customHeight="1" x14ac:dyDescent="0.25">
      <c r="A1091">
        <v>0</v>
      </c>
      <c r="B1091">
        <v>5.9674054384231567E-2</v>
      </c>
    </row>
    <row r="1092" spans="1:2" ht="15" customHeight="1" x14ac:dyDescent="0.25">
      <c r="A1092">
        <v>0</v>
      </c>
      <c r="B1092">
        <v>5.0862900912761688E-2</v>
      </c>
    </row>
    <row r="1093" spans="1:2" ht="15" customHeight="1" x14ac:dyDescent="0.25">
      <c r="A1093">
        <v>0</v>
      </c>
      <c r="B1093">
        <v>6.5883107483386993E-2</v>
      </c>
    </row>
    <row r="1094" spans="1:2" ht="15" customHeight="1" x14ac:dyDescent="0.25">
      <c r="A1094">
        <v>0</v>
      </c>
      <c r="B1094">
        <v>6.0392476618289948E-2</v>
      </c>
    </row>
    <row r="1095" spans="1:2" ht="15" customHeight="1" x14ac:dyDescent="0.25">
      <c r="A1095">
        <v>0</v>
      </c>
      <c r="B1095">
        <v>5.9674359858036041E-2</v>
      </c>
    </row>
    <row r="1096" spans="1:2" ht="15" customHeight="1" x14ac:dyDescent="0.25">
      <c r="A1096">
        <v>0</v>
      </c>
      <c r="B1096">
        <v>6.5160945057868958E-2</v>
      </c>
    </row>
    <row r="1097" spans="1:2" ht="15" customHeight="1" x14ac:dyDescent="0.25">
      <c r="A1097">
        <v>0</v>
      </c>
      <c r="B1097">
        <v>5.6828618049621582E-2</v>
      </c>
    </row>
    <row r="1098" spans="1:2" ht="15" customHeight="1" x14ac:dyDescent="0.25">
      <c r="A1098">
        <v>0</v>
      </c>
      <c r="B1098">
        <v>5.0861809402704239E-2</v>
      </c>
    </row>
    <row r="1099" spans="1:2" ht="15" customHeight="1" x14ac:dyDescent="0.25">
      <c r="A1099">
        <v>0</v>
      </c>
      <c r="B1099">
        <v>6.3962340354919434E-2</v>
      </c>
    </row>
    <row r="1100" spans="1:2" ht="15" customHeight="1" x14ac:dyDescent="0.25">
      <c r="A1100">
        <v>0</v>
      </c>
      <c r="B1100">
        <v>6.0394275933504105E-2</v>
      </c>
    </row>
    <row r="1101" spans="1:2" ht="15" customHeight="1" x14ac:dyDescent="0.25">
      <c r="A1101">
        <v>0</v>
      </c>
      <c r="B1101">
        <v>4.7293610870838165E-2</v>
      </c>
    </row>
    <row r="1102" spans="1:2" ht="15" customHeight="1" x14ac:dyDescent="0.25">
      <c r="A1102">
        <v>0</v>
      </c>
      <c r="B1102">
        <v>5.3952362388372421E-2</v>
      </c>
    </row>
    <row r="1103" spans="1:2" ht="15" customHeight="1" x14ac:dyDescent="0.25">
      <c r="A1103">
        <v>0</v>
      </c>
      <c r="B1103">
        <v>5.086173489689827E-2</v>
      </c>
    </row>
    <row r="1104" spans="1:2" ht="15" customHeight="1" x14ac:dyDescent="0.25">
      <c r="A1104">
        <v>0</v>
      </c>
      <c r="B1104">
        <v>4.3004680424928665E-2</v>
      </c>
    </row>
    <row r="1105" spans="1:2" ht="15" customHeight="1" x14ac:dyDescent="0.25">
      <c r="A1105">
        <v>0</v>
      </c>
      <c r="B1105">
        <v>4.9188695847988129E-2</v>
      </c>
    </row>
    <row r="1106" spans="1:2" ht="15" customHeight="1" x14ac:dyDescent="0.25">
      <c r="A1106">
        <v>0</v>
      </c>
      <c r="B1106">
        <v>4.7770228236913681E-2</v>
      </c>
    </row>
    <row r="1107" spans="1:2" ht="15" customHeight="1" x14ac:dyDescent="0.25">
      <c r="A1107">
        <v>0</v>
      </c>
      <c r="B1107">
        <v>5.0863545387983322E-2</v>
      </c>
    </row>
    <row r="1108" spans="1:2" ht="15" customHeight="1" x14ac:dyDescent="0.25">
      <c r="A1108">
        <v>0</v>
      </c>
      <c r="B1108">
        <v>4.6095319092273712E-2</v>
      </c>
    </row>
    <row r="1109" spans="1:2" ht="15" customHeight="1" x14ac:dyDescent="0.25">
      <c r="A1109">
        <v>0</v>
      </c>
      <c r="B1109">
        <v>5.3956456482410431E-2</v>
      </c>
    </row>
    <row r="1110" spans="1:2" ht="15" customHeight="1" x14ac:dyDescent="0.25">
      <c r="A1110">
        <v>0</v>
      </c>
      <c r="B1110">
        <v>5.2540544420480728E-2</v>
      </c>
    </row>
    <row r="1111" spans="1:2" ht="15" customHeight="1" x14ac:dyDescent="0.25">
      <c r="A1111">
        <v>0</v>
      </c>
      <c r="B1111">
        <v>5.5625766515731812E-2</v>
      </c>
    </row>
    <row r="1112" spans="1:2" ht="15" customHeight="1" x14ac:dyDescent="0.25">
      <c r="A1112">
        <v>0</v>
      </c>
      <c r="B1112">
        <v>6.0392469167709351E-2</v>
      </c>
    </row>
    <row r="1113" spans="1:2" ht="15" customHeight="1" x14ac:dyDescent="0.25">
      <c r="A1113">
        <v>0</v>
      </c>
      <c r="B1113">
        <v>5.5626813322305679E-2</v>
      </c>
    </row>
    <row r="1114" spans="1:2" ht="15" customHeight="1" x14ac:dyDescent="0.25">
      <c r="A1114">
        <v>0</v>
      </c>
      <c r="B1114">
        <v>5.3477637469768524E-2</v>
      </c>
    </row>
    <row r="1115" spans="1:2" ht="15" customHeight="1" x14ac:dyDescent="0.25">
      <c r="A1115">
        <v>0</v>
      </c>
      <c r="B1115">
        <v>5.5627595633268356E-2</v>
      </c>
    </row>
    <row r="1116" spans="1:2" ht="15" customHeight="1" x14ac:dyDescent="0.25">
      <c r="A1116">
        <v>0</v>
      </c>
      <c r="B1116">
        <v>5.7300832122564316E-2</v>
      </c>
    </row>
    <row r="1117" spans="1:2" ht="15" customHeight="1" x14ac:dyDescent="0.25">
      <c r="A1117">
        <v>0</v>
      </c>
      <c r="B1117">
        <v>5.8719988912343979E-2</v>
      </c>
    </row>
    <row r="1118" spans="1:2" ht="15" customHeight="1" x14ac:dyDescent="0.25">
      <c r="A1118">
        <v>0</v>
      </c>
      <c r="B1118">
        <v>5.730447918176651E-2</v>
      </c>
    </row>
    <row r="1119" spans="1:2" ht="15" customHeight="1" x14ac:dyDescent="0.25">
      <c r="A1119">
        <v>0</v>
      </c>
      <c r="B1119">
        <v>5.991806834936142E-2</v>
      </c>
    </row>
    <row r="1120" spans="1:2" ht="15" customHeight="1" x14ac:dyDescent="0.25">
      <c r="A1120">
        <v>0</v>
      </c>
      <c r="B1120">
        <v>5.086212232708931E-2</v>
      </c>
    </row>
    <row r="1121" spans="1:2" ht="15" customHeight="1" x14ac:dyDescent="0.25">
      <c r="A1121">
        <v>0</v>
      </c>
      <c r="B1121">
        <v>5.5627677589654922E-2</v>
      </c>
    </row>
    <row r="1122" spans="1:2" ht="15" customHeight="1" x14ac:dyDescent="0.25">
      <c r="A1122">
        <v>0</v>
      </c>
      <c r="B1122">
        <v>4.6097304672002792E-2</v>
      </c>
    </row>
    <row r="1123" spans="1:2" ht="15" customHeight="1" x14ac:dyDescent="0.25">
      <c r="A1123">
        <v>0</v>
      </c>
      <c r="B1123">
        <v>4.6095632016658783E-2</v>
      </c>
    </row>
    <row r="1124" spans="1:2" ht="15" customHeight="1" x14ac:dyDescent="0.25">
      <c r="A1124">
        <v>0</v>
      </c>
      <c r="B1124">
        <v>5.8243624866008759E-2</v>
      </c>
    </row>
    <row r="1125" spans="1:2" ht="15" customHeight="1" x14ac:dyDescent="0.25">
      <c r="A1125">
        <v>0</v>
      </c>
      <c r="B1125">
        <v>5.0863154232501984E-2</v>
      </c>
    </row>
    <row r="1126" spans="1:2" ht="15" customHeight="1" x14ac:dyDescent="0.25">
      <c r="A1126">
        <v>0</v>
      </c>
      <c r="B1126">
        <v>5.3014803677797318E-2</v>
      </c>
    </row>
    <row r="1127" spans="1:2" ht="15" customHeight="1" x14ac:dyDescent="0.25">
      <c r="A1127">
        <v>0</v>
      </c>
      <c r="B1127">
        <v>5.0863549113273621E-2</v>
      </c>
    </row>
    <row r="1128" spans="1:2" ht="15" customHeight="1" x14ac:dyDescent="0.25">
      <c r="A1128">
        <v>0</v>
      </c>
      <c r="B1128">
        <v>5.8243520557880402E-2</v>
      </c>
    </row>
    <row r="1129" spans="1:2" ht="15" customHeight="1" x14ac:dyDescent="0.25">
      <c r="A1129">
        <v>0</v>
      </c>
      <c r="B1129">
        <v>5.3014572709798813E-2</v>
      </c>
    </row>
    <row r="1130" spans="1:2" ht="15" customHeight="1" x14ac:dyDescent="0.25">
      <c r="A1130">
        <v>0</v>
      </c>
      <c r="B1130">
        <v>6.3010334968566895E-2</v>
      </c>
    </row>
    <row r="1131" spans="1:2" ht="15" customHeight="1" x14ac:dyDescent="0.25">
      <c r="A1131">
        <v>0</v>
      </c>
      <c r="B1131">
        <v>5.3016200661659241E-2</v>
      </c>
    </row>
    <row r="1132" spans="1:2" ht="15" customHeight="1" x14ac:dyDescent="0.25">
      <c r="A1132">
        <v>0</v>
      </c>
      <c r="B1132">
        <v>5.0862058997154236E-2</v>
      </c>
    </row>
    <row r="1133" spans="1:2" ht="15" customHeight="1" x14ac:dyDescent="0.25">
      <c r="A1133">
        <v>0</v>
      </c>
      <c r="B1133">
        <v>4.6095073223114014E-2</v>
      </c>
    </row>
    <row r="1134" spans="1:2" ht="15" customHeight="1" x14ac:dyDescent="0.25">
      <c r="A1134">
        <v>0</v>
      </c>
      <c r="B1134">
        <v>4.3945226818323135E-2</v>
      </c>
    </row>
    <row r="1135" spans="1:2" ht="15" customHeight="1" x14ac:dyDescent="0.25">
      <c r="A1135">
        <v>0</v>
      </c>
      <c r="B1135">
        <v>6.2545441091060638E-2</v>
      </c>
    </row>
    <row r="1136" spans="1:2" ht="15" customHeight="1" x14ac:dyDescent="0.25">
      <c r="A1136">
        <v>0</v>
      </c>
      <c r="B1136">
        <v>5.8245711028575897E-2</v>
      </c>
    </row>
    <row r="1137" spans="1:2" ht="15" customHeight="1" x14ac:dyDescent="0.25">
      <c r="A1137">
        <v>0</v>
      </c>
      <c r="B1137">
        <v>6.0395948588848114E-2</v>
      </c>
    </row>
    <row r="1138" spans="1:2" ht="15" customHeight="1" x14ac:dyDescent="0.25">
      <c r="A1138">
        <v>0</v>
      </c>
      <c r="B1138">
        <v>4.8245362937450409E-2</v>
      </c>
    </row>
    <row r="1139" spans="1:2" ht="15" customHeight="1" x14ac:dyDescent="0.25">
      <c r="A1139">
        <v>0</v>
      </c>
      <c r="B1139">
        <v>5.5627837777137756E-2</v>
      </c>
    </row>
    <row r="1140" spans="1:2" ht="15" customHeight="1" x14ac:dyDescent="0.25">
      <c r="A1140">
        <v>0</v>
      </c>
      <c r="B1140">
        <v>5.5626757442951202E-2</v>
      </c>
    </row>
    <row r="1141" spans="1:2" ht="15" customHeight="1" x14ac:dyDescent="0.25">
      <c r="A1141">
        <v>0</v>
      </c>
      <c r="B1141">
        <v>5.3001720458269119E-2</v>
      </c>
    </row>
    <row r="1142" spans="1:2" ht="15" customHeight="1" x14ac:dyDescent="0.25">
      <c r="A1142">
        <v>0</v>
      </c>
      <c r="B1142">
        <v>6.0392722487449646E-2</v>
      </c>
    </row>
    <row r="1143" spans="1:2" ht="15" customHeight="1" x14ac:dyDescent="0.25">
      <c r="A1143">
        <v>0</v>
      </c>
      <c r="B1143">
        <v>5.8257393538951874E-2</v>
      </c>
    </row>
    <row r="1144" spans="1:2" ht="15" customHeight="1" x14ac:dyDescent="0.25">
      <c r="A1144">
        <v>0</v>
      </c>
      <c r="B1144">
        <v>4.6095691621303558E-2</v>
      </c>
    </row>
    <row r="1145" spans="1:2" ht="15" customHeight="1" x14ac:dyDescent="0.25">
      <c r="A1145">
        <v>0</v>
      </c>
      <c r="B1145">
        <v>6.5161474049091339E-2</v>
      </c>
    </row>
    <row r="1146" spans="1:2" ht="15" customHeight="1" x14ac:dyDescent="0.25">
      <c r="A1146">
        <v>0</v>
      </c>
      <c r="B1146">
        <v>6.0398969799280167E-2</v>
      </c>
    </row>
    <row r="1147" spans="1:2" ht="15" customHeight="1" x14ac:dyDescent="0.25">
      <c r="A1147">
        <v>0</v>
      </c>
      <c r="B1147">
        <v>5.0863545387983322E-2</v>
      </c>
    </row>
    <row r="1148" spans="1:2" ht="15" customHeight="1" x14ac:dyDescent="0.25">
      <c r="A1148">
        <v>0</v>
      </c>
      <c r="B1148">
        <v>5.0862580537796021E-2</v>
      </c>
    </row>
    <row r="1149" spans="1:2" ht="15" customHeight="1" x14ac:dyDescent="0.25">
      <c r="A1149">
        <v>0</v>
      </c>
      <c r="B1149">
        <v>5.7288281619548798E-2</v>
      </c>
    </row>
    <row r="1150" spans="1:2" ht="15" customHeight="1" x14ac:dyDescent="0.25">
      <c r="A1150">
        <v>0</v>
      </c>
      <c r="B1150">
        <v>5.8732450008392334E-2</v>
      </c>
    </row>
    <row r="1151" spans="1:2" ht="15" customHeight="1" x14ac:dyDescent="0.25">
      <c r="A1151">
        <v>0</v>
      </c>
      <c r="B1151">
        <v>6.0395229607820511E-2</v>
      </c>
    </row>
    <row r="1152" spans="1:2" ht="15" customHeight="1" x14ac:dyDescent="0.25">
      <c r="A1152">
        <v>0</v>
      </c>
      <c r="B1152">
        <v>6.2057372182607651E-2</v>
      </c>
    </row>
    <row r="1153" spans="1:2" ht="15" customHeight="1" x14ac:dyDescent="0.25">
      <c r="A1153">
        <v>0</v>
      </c>
      <c r="B1153">
        <v>5.5629272013902664E-2</v>
      </c>
    </row>
    <row r="1154" spans="1:2" ht="15" customHeight="1" x14ac:dyDescent="0.25">
      <c r="A1154">
        <v>0</v>
      </c>
      <c r="B1154">
        <v>6.5161943435668945E-2</v>
      </c>
    </row>
    <row r="1155" spans="1:2" ht="15" customHeight="1" x14ac:dyDescent="0.25">
      <c r="A1155">
        <v>0</v>
      </c>
      <c r="B1155">
        <v>4.9200776964426041E-2</v>
      </c>
    </row>
    <row r="1156" spans="1:2" ht="15" customHeight="1" x14ac:dyDescent="0.25">
      <c r="A1156">
        <v>0</v>
      </c>
      <c r="B1156">
        <v>4.6095628291368484E-2</v>
      </c>
    </row>
    <row r="1157" spans="1:2" ht="15" customHeight="1" x14ac:dyDescent="0.25">
      <c r="A1157">
        <v>0</v>
      </c>
      <c r="B1157">
        <v>5.5630620568990707E-2</v>
      </c>
    </row>
    <row r="1158" spans="1:2" ht="15" customHeight="1" x14ac:dyDescent="0.25">
      <c r="A1158">
        <v>0</v>
      </c>
      <c r="B1158">
        <v>4.6096369624137878E-2</v>
      </c>
    </row>
    <row r="1159" spans="1:2" ht="15" customHeight="1" x14ac:dyDescent="0.25">
      <c r="A1159">
        <v>0</v>
      </c>
      <c r="B1159">
        <v>5.0859954208135605E-2</v>
      </c>
    </row>
    <row r="1160" spans="1:2" ht="15" customHeight="1" x14ac:dyDescent="0.25">
      <c r="A1160">
        <v>0</v>
      </c>
      <c r="B1160">
        <v>4.7757506370544434E-2</v>
      </c>
    </row>
    <row r="1161" spans="1:2" ht="15" customHeight="1" x14ac:dyDescent="0.25">
      <c r="A1161">
        <v>0</v>
      </c>
      <c r="B1161">
        <v>6.992688775062561E-2</v>
      </c>
    </row>
    <row r="1162" spans="1:2" ht="15" customHeight="1" x14ac:dyDescent="0.25">
      <c r="A1162">
        <v>0</v>
      </c>
      <c r="B1162">
        <v>4.9202501773834229E-2</v>
      </c>
    </row>
    <row r="1163" spans="1:2" ht="15" customHeight="1" x14ac:dyDescent="0.25">
      <c r="A1163">
        <v>0</v>
      </c>
      <c r="B1163">
        <v>4.7756377607584E-2</v>
      </c>
    </row>
    <row r="1164" spans="1:2" ht="15" customHeight="1" x14ac:dyDescent="0.25">
      <c r="A1164">
        <v>0</v>
      </c>
      <c r="B1164">
        <v>5.7291064411401749E-2</v>
      </c>
    </row>
    <row r="1165" spans="1:2" ht="15" customHeight="1" x14ac:dyDescent="0.25">
      <c r="A1165">
        <v>0</v>
      </c>
      <c r="B1165">
        <v>6.3499428331851959E-2</v>
      </c>
    </row>
    <row r="1166" spans="1:2" ht="15" customHeight="1" x14ac:dyDescent="0.25">
      <c r="A1166">
        <v>0</v>
      </c>
      <c r="B1166">
        <v>5.8732550591230392E-2</v>
      </c>
    </row>
    <row r="1167" spans="1:2" ht="15" customHeight="1" x14ac:dyDescent="0.25">
      <c r="A1167">
        <v>0</v>
      </c>
      <c r="B1167">
        <v>4.7758914530277252E-2</v>
      </c>
    </row>
    <row r="1168" spans="1:2" ht="15" customHeight="1" x14ac:dyDescent="0.25">
      <c r="A1168">
        <v>0</v>
      </c>
      <c r="B1168">
        <v>5.3964771330356598E-2</v>
      </c>
    </row>
    <row r="1169" spans="1:2" ht="15" customHeight="1" x14ac:dyDescent="0.25">
      <c r="A1169">
        <v>0</v>
      </c>
      <c r="B1169">
        <v>5.5626321583986282E-2</v>
      </c>
    </row>
    <row r="1170" spans="1:2" ht="15" customHeight="1" x14ac:dyDescent="0.25">
      <c r="A1170">
        <v>0</v>
      </c>
      <c r="B1170">
        <v>4.6095691621303558E-2</v>
      </c>
    </row>
    <row r="1171" spans="1:2" ht="15" customHeight="1" x14ac:dyDescent="0.25">
      <c r="A1171">
        <v>0</v>
      </c>
      <c r="B1171">
        <v>4.6095877885818481E-2</v>
      </c>
    </row>
    <row r="1172" spans="1:2" ht="15" customHeight="1" x14ac:dyDescent="0.25">
      <c r="A1172">
        <v>0</v>
      </c>
      <c r="B1172">
        <v>5.086299404501915E-2</v>
      </c>
    </row>
    <row r="1173" spans="1:2" ht="15" customHeight="1" x14ac:dyDescent="0.25">
      <c r="A1173">
        <v>0</v>
      </c>
      <c r="B1173">
        <v>5.0862178206443787E-2</v>
      </c>
    </row>
    <row r="1174" spans="1:2" ht="15" customHeight="1" x14ac:dyDescent="0.25">
      <c r="A1174">
        <v>0</v>
      </c>
      <c r="B1174">
        <v>4.728354886174202E-2</v>
      </c>
    </row>
    <row r="1175" spans="1:2" ht="15" customHeight="1" x14ac:dyDescent="0.25">
      <c r="A1175">
        <v>0</v>
      </c>
      <c r="B1175">
        <v>5.991927906870842E-2</v>
      </c>
    </row>
    <row r="1176" spans="1:2" ht="15" customHeight="1" x14ac:dyDescent="0.25">
      <c r="A1176">
        <v>0</v>
      </c>
      <c r="B1176">
        <v>5.5630680173635483E-2</v>
      </c>
    </row>
    <row r="1177" spans="1:2" ht="15" customHeight="1" x14ac:dyDescent="0.25">
      <c r="A1177">
        <v>0</v>
      </c>
      <c r="B1177">
        <v>5.9685900807380676E-2</v>
      </c>
    </row>
    <row r="1178" spans="1:2" ht="15" customHeight="1" x14ac:dyDescent="0.25">
      <c r="A1178">
        <v>0</v>
      </c>
      <c r="B1178">
        <v>4.6804230660200119E-2</v>
      </c>
    </row>
    <row r="1179" spans="1:2" ht="15" customHeight="1" x14ac:dyDescent="0.25">
      <c r="A1179">
        <v>0</v>
      </c>
      <c r="B1179">
        <v>6.5160579979419708E-2</v>
      </c>
    </row>
    <row r="1180" spans="1:2" ht="15" customHeight="1" x14ac:dyDescent="0.25">
      <c r="A1180">
        <v>0</v>
      </c>
      <c r="B1180">
        <v>5.4919112473726273E-2</v>
      </c>
    </row>
    <row r="1181" spans="1:2" ht="15" customHeight="1" x14ac:dyDescent="0.25">
      <c r="A1181">
        <v>0</v>
      </c>
      <c r="B1181">
        <v>5.0861001014709473E-2</v>
      </c>
    </row>
    <row r="1182" spans="1:2" ht="15" customHeight="1" x14ac:dyDescent="0.25">
      <c r="A1182">
        <v>0</v>
      </c>
      <c r="B1182">
        <v>4.1329942643642426E-2</v>
      </c>
    </row>
    <row r="1183" spans="1:2" ht="15" customHeight="1" x14ac:dyDescent="0.25">
      <c r="A1183">
        <v>0</v>
      </c>
      <c r="B1183">
        <v>4.680478572845459E-2</v>
      </c>
    </row>
    <row r="1184" spans="1:2" ht="15" customHeight="1" x14ac:dyDescent="0.25">
      <c r="A1184">
        <v>0</v>
      </c>
      <c r="B1184">
        <v>5.9684775769710541E-2</v>
      </c>
    </row>
    <row r="1185" spans="1:2" ht="15" customHeight="1" x14ac:dyDescent="0.25">
      <c r="A1185">
        <v>0</v>
      </c>
      <c r="B1185">
        <v>5.5628448724746704E-2</v>
      </c>
    </row>
    <row r="1186" spans="1:2" ht="15" customHeight="1" x14ac:dyDescent="0.25">
      <c r="A1186">
        <v>0</v>
      </c>
      <c r="B1186">
        <v>4.2038820683956146E-2</v>
      </c>
    </row>
    <row r="1187" spans="1:2" ht="15" customHeight="1" x14ac:dyDescent="0.25">
      <c r="A1187">
        <v>0</v>
      </c>
      <c r="B1187">
        <v>5.4919734597206116E-2</v>
      </c>
    </row>
    <row r="1188" spans="1:2" ht="15" customHeight="1" x14ac:dyDescent="0.25">
      <c r="A1188">
        <v>0</v>
      </c>
      <c r="B1188">
        <v>6.0626771301031113E-2</v>
      </c>
    </row>
    <row r="1189" spans="1:2" ht="15" customHeight="1" x14ac:dyDescent="0.25">
      <c r="A1189">
        <v>0</v>
      </c>
      <c r="B1189">
        <v>5.0862286239862442E-2</v>
      </c>
    </row>
    <row r="1190" spans="1:2" ht="15" customHeight="1" x14ac:dyDescent="0.25">
      <c r="A1190">
        <v>0</v>
      </c>
      <c r="B1190">
        <v>6.4451679587364197E-2</v>
      </c>
    </row>
    <row r="1191" spans="1:2" ht="15" customHeight="1" x14ac:dyDescent="0.25">
      <c r="A1191">
        <v>0</v>
      </c>
      <c r="B1191">
        <v>5.1572795957326889E-2</v>
      </c>
    </row>
    <row r="1192" spans="1:2" ht="15" customHeight="1" x14ac:dyDescent="0.25">
      <c r="A1192">
        <v>0</v>
      </c>
      <c r="B1192">
        <v>5.9684682637453079E-2</v>
      </c>
    </row>
    <row r="1193" spans="1:2" ht="15" customHeight="1" x14ac:dyDescent="0.25">
      <c r="A1193">
        <v>0</v>
      </c>
      <c r="B1193">
        <v>5.1325656473636627E-2</v>
      </c>
    </row>
    <row r="1194" spans="1:2" ht="15" customHeight="1" x14ac:dyDescent="0.25">
      <c r="A1194">
        <v>0</v>
      </c>
      <c r="B1194">
        <v>6.9462783634662628E-2</v>
      </c>
    </row>
    <row r="1195" spans="1:2" ht="15" customHeight="1" x14ac:dyDescent="0.25">
      <c r="A1195">
        <v>0</v>
      </c>
      <c r="B1195">
        <v>6.0394439846277237E-2</v>
      </c>
    </row>
    <row r="1196" spans="1:2" ht="15" customHeight="1" x14ac:dyDescent="0.25">
      <c r="A1196">
        <v>0</v>
      </c>
      <c r="B1196">
        <v>4.6326186507940292E-2</v>
      </c>
    </row>
    <row r="1197" spans="1:2" ht="15" customHeight="1" x14ac:dyDescent="0.25">
      <c r="A1197">
        <v>0</v>
      </c>
      <c r="B1197">
        <v>6.5161928534507751E-2</v>
      </c>
    </row>
    <row r="1198" spans="1:2" ht="15" customHeight="1" x14ac:dyDescent="0.25">
      <c r="A1198">
        <v>0</v>
      </c>
      <c r="B1198">
        <v>5.0627809017896652E-2</v>
      </c>
    </row>
    <row r="1199" spans="1:2" ht="15" customHeight="1" x14ac:dyDescent="0.25">
      <c r="A1199">
        <v>0</v>
      </c>
      <c r="B1199">
        <v>4.6328246593475342E-2</v>
      </c>
    </row>
    <row r="1200" spans="1:2" ht="15" customHeight="1" x14ac:dyDescent="0.25">
      <c r="A1200">
        <v>0</v>
      </c>
      <c r="B1200">
        <v>4.5862924307584763E-2</v>
      </c>
    </row>
    <row r="1201" spans="1:2" ht="15" customHeight="1" x14ac:dyDescent="0.25">
      <c r="A1201">
        <v>0</v>
      </c>
      <c r="B1201">
        <v>5.5628340691328049E-2</v>
      </c>
    </row>
    <row r="1202" spans="1:2" ht="15" customHeight="1" x14ac:dyDescent="0.25">
      <c r="A1202">
        <v>0</v>
      </c>
      <c r="B1202">
        <v>5.5863369256258011E-2</v>
      </c>
    </row>
    <row r="1203" spans="1:2" ht="15" customHeight="1" x14ac:dyDescent="0.25">
      <c r="A1203">
        <v>0</v>
      </c>
      <c r="B1203">
        <v>5.5150311440229416E-2</v>
      </c>
    </row>
    <row r="1204" spans="1:2" ht="15" customHeight="1" x14ac:dyDescent="0.25">
      <c r="A1204">
        <v>0</v>
      </c>
      <c r="B1204">
        <v>4.6339798718690872E-2</v>
      </c>
    </row>
    <row r="1205" spans="1:2" ht="15" customHeight="1" x14ac:dyDescent="0.25">
      <c r="A1205">
        <v>0</v>
      </c>
      <c r="B1205">
        <v>4.1329942643642426E-2</v>
      </c>
    </row>
    <row r="1206" spans="1:2" ht="15" customHeight="1" x14ac:dyDescent="0.25">
      <c r="A1206">
        <v>0</v>
      </c>
      <c r="B1206">
        <v>5.5383630096912384E-2</v>
      </c>
    </row>
    <row r="1207" spans="1:2" ht="15" customHeight="1" x14ac:dyDescent="0.25">
      <c r="A1207">
        <v>0</v>
      </c>
      <c r="B1207">
        <v>6.0394708067178726E-2</v>
      </c>
    </row>
    <row r="1208" spans="1:2" ht="15" customHeight="1" x14ac:dyDescent="0.25">
      <c r="A1208">
        <v>0</v>
      </c>
      <c r="B1208">
        <v>6.0395766049623489E-2</v>
      </c>
    </row>
    <row r="1209" spans="1:2" ht="15" customHeight="1" x14ac:dyDescent="0.25">
      <c r="A1209">
        <v>0</v>
      </c>
      <c r="B1209">
        <v>5.1108520478010178E-2</v>
      </c>
    </row>
    <row r="1210" spans="1:2" ht="15" customHeight="1" x14ac:dyDescent="0.25">
      <c r="A1210">
        <v>0</v>
      </c>
      <c r="B1210">
        <v>5.5382713675498962E-2</v>
      </c>
    </row>
    <row r="1211" spans="1:2" ht="15" customHeight="1" x14ac:dyDescent="0.25">
      <c r="A1211">
        <v>0</v>
      </c>
      <c r="B1211">
        <v>6.5161757171154022E-2</v>
      </c>
    </row>
    <row r="1212" spans="1:2" ht="15" customHeight="1" x14ac:dyDescent="0.25">
      <c r="A1212">
        <v>0</v>
      </c>
      <c r="B1212">
        <v>6.0393426567316055E-2</v>
      </c>
    </row>
    <row r="1213" spans="1:2" ht="15" customHeight="1" x14ac:dyDescent="0.25">
      <c r="A1213">
        <v>0</v>
      </c>
      <c r="B1213">
        <v>5.4629724472761154E-2</v>
      </c>
    </row>
    <row r="1214" spans="1:2" ht="15" customHeight="1" x14ac:dyDescent="0.25">
      <c r="A1214">
        <v>0</v>
      </c>
      <c r="B1214">
        <v>5.9011287987232208E-2</v>
      </c>
    </row>
    <row r="1215" spans="1:2" ht="15" customHeight="1" x14ac:dyDescent="0.25">
      <c r="A1215">
        <v>0</v>
      </c>
      <c r="B1215">
        <v>6.5162330865859985E-2</v>
      </c>
    </row>
    <row r="1216" spans="1:2" ht="15" customHeight="1" x14ac:dyDescent="0.25">
      <c r="A1216">
        <v>0</v>
      </c>
      <c r="B1216">
        <v>5.086078867316246E-2</v>
      </c>
    </row>
    <row r="1217" spans="1:2" ht="15" customHeight="1" x14ac:dyDescent="0.25">
      <c r="A1217">
        <v>0</v>
      </c>
      <c r="B1217">
        <v>5.5629830807447433E-2</v>
      </c>
    </row>
    <row r="1218" spans="1:2" ht="15" customHeight="1" x14ac:dyDescent="0.25">
      <c r="A1218">
        <v>0</v>
      </c>
      <c r="B1218">
        <v>5.1108609884977341E-2</v>
      </c>
    </row>
    <row r="1219" spans="1:2" ht="15" customHeight="1" x14ac:dyDescent="0.25">
      <c r="A1219">
        <v>0</v>
      </c>
      <c r="B1219">
        <v>5.5628180503845215E-2</v>
      </c>
    </row>
    <row r="1220" spans="1:2" ht="15" customHeight="1" x14ac:dyDescent="0.25">
      <c r="A1220">
        <v>0</v>
      </c>
      <c r="B1220">
        <v>4.5850798487663269E-2</v>
      </c>
    </row>
    <row r="1221" spans="1:2" ht="15" customHeight="1" x14ac:dyDescent="0.25">
      <c r="A1221">
        <v>0</v>
      </c>
      <c r="B1221">
        <v>5.1105737686157227E-2</v>
      </c>
    </row>
    <row r="1222" spans="1:2" ht="15" customHeight="1" x14ac:dyDescent="0.25">
      <c r="A1222">
        <v>0</v>
      </c>
      <c r="B1222">
        <v>4.6095013618469238E-2</v>
      </c>
    </row>
    <row r="1223" spans="1:2" ht="15" customHeight="1" x14ac:dyDescent="0.25">
      <c r="A1223">
        <v>0</v>
      </c>
      <c r="B1223">
        <v>5.0862614065408707E-2</v>
      </c>
    </row>
    <row r="1224" spans="1:2" ht="15" customHeight="1" x14ac:dyDescent="0.25">
      <c r="A1224">
        <v>0</v>
      </c>
      <c r="B1224">
        <v>5.0862118601799011E-2</v>
      </c>
    </row>
    <row r="1225" spans="1:2" ht="15" customHeight="1" x14ac:dyDescent="0.25">
      <c r="A1225">
        <v>0</v>
      </c>
      <c r="B1225">
        <v>5.0141800194978714E-2</v>
      </c>
    </row>
    <row r="1226" spans="1:2" ht="15" customHeight="1" x14ac:dyDescent="0.25">
      <c r="A1226">
        <v>0</v>
      </c>
      <c r="B1226">
        <v>6.992688775062561E-2</v>
      </c>
    </row>
    <row r="1227" spans="1:2" ht="15" customHeight="1" x14ac:dyDescent="0.25">
      <c r="A1227">
        <v>0</v>
      </c>
      <c r="B1227">
        <v>6.0394957661628723E-2</v>
      </c>
    </row>
    <row r="1228" spans="1:2" ht="15" customHeight="1" x14ac:dyDescent="0.25">
      <c r="A1228">
        <v>0</v>
      </c>
      <c r="B1228">
        <v>5.6348986923694611E-2</v>
      </c>
    </row>
    <row r="1229" spans="1:2" ht="15" customHeight="1" x14ac:dyDescent="0.25">
      <c r="A1229">
        <v>0</v>
      </c>
      <c r="B1229">
        <v>5.9673070907592773E-2</v>
      </c>
    </row>
    <row r="1230" spans="1:2" ht="15" customHeight="1" x14ac:dyDescent="0.25">
      <c r="A1230">
        <v>0</v>
      </c>
      <c r="B1230">
        <v>4.6816170215606689E-2</v>
      </c>
    </row>
    <row r="1231" spans="1:2" ht="15" customHeight="1" x14ac:dyDescent="0.25">
      <c r="A1231">
        <v>0</v>
      </c>
      <c r="B1231">
        <v>5.0862804055213928E-2</v>
      </c>
    </row>
    <row r="1232" spans="1:2" ht="15" customHeight="1" x14ac:dyDescent="0.25">
      <c r="A1232">
        <v>0</v>
      </c>
      <c r="B1232">
        <v>4.6093642711639404E-2</v>
      </c>
    </row>
    <row r="1233" spans="1:2" ht="15" customHeight="1" x14ac:dyDescent="0.25">
      <c r="A1233">
        <v>0</v>
      </c>
      <c r="B1233">
        <v>5.014115571975708E-2</v>
      </c>
    </row>
    <row r="1234" spans="1:2" ht="15" customHeight="1" x14ac:dyDescent="0.25">
      <c r="A1234">
        <v>0</v>
      </c>
      <c r="B1234">
        <v>5.0863899290561676E-2</v>
      </c>
    </row>
    <row r="1235" spans="1:2" ht="15" customHeight="1" x14ac:dyDescent="0.25">
      <c r="A1235">
        <v>0</v>
      </c>
      <c r="B1235">
        <v>4.2051870375871658E-2</v>
      </c>
    </row>
    <row r="1236" spans="1:2" ht="15" customHeight="1" x14ac:dyDescent="0.25">
      <c r="A1236">
        <v>0</v>
      </c>
      <c r="B1236">
        <v>4.6095196157693863E-2</v>
      </c>
    </row>
    <row r="1237" spans="1:2" ht="15" customHeight="1" x14ac:dyDescent="0.25">
      <c r="A1237">
        <v>0</v>
      </c>
      <c r="B1237">
        <v>5.0861936062574387E-2</v>
      </c>
    </row>
    <row r="1238" spans="1:2" ht="15" customHeight="1" x14ac:dyDescent="0.25">
      <c r="A1238">
        <v>0</v>
      </c>
      <c r="B1238">
        <v>5.0860386341810226E-2</v>
      </c>
    </row>
    <row r="1239" spans="1:2" ht="15" customHeight="1" x14ac:dyDescent="0.25">
      <c r="A1239">
        <v>0</v>
      </c>
      <c r="B1239">
        <v>5.4906662553548813E-2</v>
      </c>
    </row>
    <row r="1240" spans="1:2" ht="15" customHeight="1" x14ac:dyDescent="0.25">
      <c r="A1240">
        <v>0</v>
      </c>
      <c r="B1240">
        <v>5.1584731787443161E-2</v>
      </c>
    </row>
    <row r="1241" spans="1:2" ht="15" customHeight="1" x14ac:dyDescent="0.25">
      <c r="A1241">
        <v>0</v>
      </c>
      <c r="B1241">
        <v>5.0140980631113052E-2</v>
      </c>
    </row>
    <row r="1242" spans="1:2" ht="15" customHeight="1" x14ac:dyDescent="0.25">
      <c r="A1242">
        <v>0</v>
      </c>
      <c r="B1242">
        <v>6.1119060963392258E-2</v>
      </c>
    </row>
    <row r="1243" spans="1:2" ht="15" customHeight="1" x14ac:dyDescent="0.25">
      <c r="A1243">
        <v>0</v>
      </c>
      <c r="B1243">
        <v>5.4905686527490616E-2</v>
      </c>
    </row>
    <row r="1244" spans="1:2" ht="15" customHeight="1" x14ac:dyDescent="0.25">
      <c r="A1244">
        <v>0</v>
      </c>
      <c r="B1244">
        <v>5.0860732793807983E-2</v>
      </c>
    </row>
    <row r="1245" spans="1:2" ht="15" customHeight="1" x14ac:dyDescent="0.25">
      <c r="A1245">
        <v>0</v>
      </c>
      <c r="B1245">
        <v>6.0395326465368271E-2</v>
      </c>
    </row>
    <row r="1246" spans="1:2" ht="15" customHeight="1" x14ac:dyDescent="0.25">
      <c r="A1246">
        <v>0</v>
      </c>
      <c r="B1246">
        <v>6.5160147845745087E-2</v>
      </c>
    </row>
    <row r="1247" spans="1:2" ht="15" customHeight="1" x14ac:dyDescent="0.25">
      <c r="A1247">
        <v>0</v>
      </c>
      <c r="B1247">
        <v>5.1581904292106628E-2</v>
      </c>
    </row>
    <row r="1248" spans="1:2" ht="15" customHeight="1" x14ac:dyDescent="0.25">
      <c r="A1248">
        <v>0</v>
      </c>
      <c r="B1248">
        <v>5.0862368196249008E-2</v>
      </c>
    </row>
    <row r="1249" spans="1:2" ht="15" customHeight="1" x14ac:dyDescent="0.25">
      <c r="A1249">
        <v>0</v>
      </c>
      <c r="B1249">
        <v>7.3497369885444641E-2</v>
      </c>
    </row>
    <row r="1250" spans="1:2" ht="15" customHeight="1" x14ac:dyDescent="0.25">
      <c r="A1250">
        <v>0</v>
      </c>
      <c r="B1250">
        <v>6.992688775062561E-2</v>
      </c>
    </row>
    <row r="1251" spans="1:2" ht="15" customHeight="1" x14ac:dyDescent="0.25">
      <c r="A1251">
        <v>0</v>
      </c>
      <c r="B1251">
        <v>6.0394894331693649E-2</v>
      </c>
    </row>
    <row r="1252" spans="1:2" ht="15" customHeight="1" x14ac:dyDescent="0.25">
      <c r="A1252">
        <v>0</v>
      </c>
      <c r="B1252">
        <v>6.1594638973474503E-2</v>
      </c>
    </row>
    <row r="1253" spans="1:2" ht="15" customHeight="1" x14ac:dyDescent="0.25">
      <c r="A1253">
        <v>0</v>
      </c>
      <c r="B1253">
        <v>6.3963599503040314E-2</v>
      </c>
    </row>
    <row r="1254" spans="1:2" ht="15" customHeight="1" x14ac:dyDescent="0.25">
      <c r="A1254">
        <v>0</v>
      </c>
      <c r="B1254">
        <v>6.5406873822212219E-2</v>
      </c>
    </row>
    <row r="1255" spans="1:2" ht="15" customHeight="1" x14ac:dyDescent="0.25">
      <c r="A1255">
        <v>0</v>
      </c>
      <c r="B1255">
        <v>5.0863049924373627E-2</v>
      </c>
    </row>
    <row r="1256" spans="1:2" ht="15" customHeight="1" x14ac:dyDescent="0.25">
      <c r="A1256">
        <v>0</v>
      </c>
      <c r="B1256">
        <v>5.5628679692745209E-2</v>
      </c>
    </row>
    <row r="1257" spans="1:2" ht="15" customHeight="1" x14ac:dyDescent="0.25">
      <c r="A1257">
        <v>0</v>
      </c>
      <c r="B1257">
        <v>5.9197790920734406E-2</v>
      </c>
    </row>
    <row r="1258" spans="1:2" ht="15" customHeight="1" x14ac:dyDescent="0.25">
      <c r="A1258">
        <v>0</v>
      </c>
      <c r="B1258">
        <v>5.562920868396759E-2</v>
      </c>
    </row>
    <row r="1259" spans="1:2" ht="15" customHeight="1" x14ac:dyDescent="0.25">
      <c r="A1259">
        <v>0</v>
      </c>
      <c r="B1259">
        <v>5.2058115601539612E-2</v>
      </c>
    </row>
    <row r="1260" spans="1:2" ht="15" customHeight="1" x14ac:dyDescent="0.25">
      <c r="A1260">
        <v>0</v>
      </c>
      <c r="B1260">
        <v>6.7532837390899658E-2</v>
      </c>
    </row>
    <row r="1261" spans="1:2" ht="15" customHeight="1" x14ac:dyDescent="0.25">
      <c r="A1261">
        <v>0</v>
      </c>
      <c r="B1261">
        <v>6.1591960489749908E-2</v>
      </c>
    </row>
    <row r="1262" spans="1:2" ht="15" customHeight="1" x14ac:dyDescent="0.25">
      <c r="A1262">
        <v>0</v>
      </c>
      <c r="B1262">
        <v>6.0394898056983948E-2</v>
      </c>
    </row>
    <row r="1263" spans="1:2" ht="15" customHeight="1" x14ac:dyDescent="0.25">
      <c r="A1263">
        <v>0</v>
      </c>
      <c r="B1263">
        <v>5.6825079023838043E-2</v>
      </c>
    </row>
    <row r="1264" spans="1:2" ht="15" customHeight="1" x14ac:dyDescent="0.25">
      <c r="A1264">
        <v>0</v>
      </c>
      <c r="B1264">
        <v>4.9665406346321106E-2</v>
      </c>
    </row>
    <row r="1265" spans="1:2" ht="15" customHeight="1" x14ac:dyDescent="0.25">
      <c r="A1265">
        <v>0</v>
      </c>
      <c r="B1265">
        <v>6.992688775062561E-2</v>
      </c>
    </row>
    <row r="1266" spans="1:2" ht="15" customHeight="1" x14ac:dyDescent="0.25">
      <c r="A1266">
        <v>0</v>
      </c>
      <c r="B1266">
        <v>5.20595982670784E-2</v>
      </c>
    </row>
    <row r="1267" spans="1:2" ht="15" customHeight="1" x14ac:dyDescent="0.25">
      <c r="A1267">
        <v>0</v>
      </c>
      <c r="B1267">
        <v>7.2302691638469696E-2</v>
      </c>
    </row>
    <row r="1268" spans="1:2" ht="15" customHeight="1" x14ac:dyDescent="0.25">
      <c r="A1268">
        <v>0</v>
      </c>
      <c r="B1268">
        <v>5.8019623160362244E-2</v>
      </c>
    </row>
    <row r="1269" spans="1:2" ht="15" customHeight="1" x14ac:dyDescent="0.25">
      <c r="A1269">
        <v>0</v>
      </c>
      <c r="B1269">
        <v>5.5625330656766891E-2</v>
      </c>
    </row>
    <row r="1270" spans="1:2" ht="15" customHeight="1" x14ac:dyDescent="0.25">
      <c r="A1270">
        <v>0</v>
      </c>
      <c r="B1270">
        <v>5.8722272515296936E-2</v>
      </c>
    </row>
    <row r="1271" spans="1:2" ht="15" customHeight="1" x14ac:dyDescent="0.25">
      <c r="A1271">
        <v>0</v>
      </c>
      <c r="B1271">
        <v>6.6357977688312531E-2</v>
      </c>
    </row>
    <row r="1272" spans="1:2" ht="15" customHeight="1" x14ac:dyDescent="0.25">
      <c r="A1272">
        <v>0</v>
      </c>
      <c r="B1272">
        <v>5.4903145879507065E-2</v>
      </c>
    </row>
    <row r="1273" spans="1:2" ht="15" customHeight="1" x14ac:dyDescent="0.25">
      <c r="A1273">
        <v>0</v>
      </c>
      <c r="B1273">
        <v>5.0382208079099655E-2</v>
      </c>
    </row>
    <row r="1274" spans="1:2" ht="15" customHeight="1" x14ac:dyDescent="0.25">
      <c r="A1274">
        <v>0</v>
      </c>
      <c r="B1274">
        <v>4.7771420329809189E-2</v>
      </c>
    </row>
    <row r="1275" spans="1:2" ht="15" customHeight="1" x14ac:dyDescent="0.25">
      <c r="A1275">
        <v>0</v>
      </c>
      <c r="B1275">
        <v>5.0860635936260223E-2</v>
      </c>
    </row>
    <row r="1276" spans="1:2" ht="15" customHeight="1" x14ac:dyDescent="0.25">
      <c r="A1276">
        <v>0</v>
      </c>
      <c r="B1276">
        <v>5.0861384719610214E-2</v>
      </c>
    </row>
    <row r="1277" spans="1:2" ht="15" customHeight="1" x14ac:dyDescent="0.25">
      <c r="A1277">
        <v>0</v>
      </c>
      <c r="B1277">
        <v>5.0862513482570648E-2</v>
      </c>
    </row>
    <row r="1278" spans="1:2" ht="15" customHeight="1" x14ac:dyDescent="0.25">
      <c r="A1278">
        <v>0</v>
      </c>
      <c r="B1278">
        <v>5.7048704475164413E-2</v>
      </c>
    </row>
    <row r="1279" spans="1:2" ht="15" customHeight="1" x14ac:dyDescent="0.25">
      <c r="A1279">
        <v>0</v>
      </c>
      <c r="B1279">
        <v>7.3284663259983063E-2</v>
      </c>
    </row>
    <row r="1280" spans="1:2" ht="15" customHeight="1" x14ac:dyDescent="0.25">
      <c r="A1280">
        <v>0</v>
      </c>
      <c r="B1280">
        <v>4.9187134951353073E-2</v>
      </c>
    </row>
    <row r="1281" spans="1:2" ht="15" customHeight="1" x14ac:dyDescent="0.25">
      <c r="A1281">
        <v>0</v>
      </c>
      <c r="B1281">
        <v>4.7770682722330093E-2</v>
      </c>
    </row>
    <row r="1282" spans="1:2" ht="15" customHeight="1" x14ac:dyDescent="0.25">
      <c r="A1282">
        <v>0</v>
      </c>
      <c r="B1282">
        <v>5.5633161216974258E-2</v>
      </c>
    </row>
    <row r="1283" spans="1:2" ht="15" customHeight="1" x14ac:dyDescent="0.25">
      <c r="A1283">
        <v>0</v>
      </c>
      <c r="B1283">
        <v>5.8724526315927505E-2</v>
      </c>
    </row>
    <row r="1284" spans="1:2" ht="15" customHeight="1" x14ac:dyDescent="0.25">
      <c r="A1284">
        <v>0</v>
      </c>
      <c r="B1284">
        <v>5.5625364184379578E-2</v>
      </c>
    </row>
    <row r="1285" spans="1:2" ht="15" customHeight="1" x14ac:dyDescent="0.25">
      <c r="A1285">
        <v>0</v>
      </c>
      <c r="B1285">
        <v>5.7779140770435333E-2</v>
      </c>
    </row>
    <row r="1286" spans="1:2" ht="15" customHeight="1" x14ac:dyDescent="0.25">
      <c r="A1286">
        <v>0</v>
      </c>
      <c r="B1286">
        <v>6.7773893475532532E-2</v>
      </c>
    </row>
    <row r="1287" spans="1:2" ht="15" customHeight="1" x14ac:dyDescent="0.25">
      <c r="A1287">
        <v>0</v>
      </c>
      <c r="B1287">
        <v>6.7315906286239624E-2</v>
      </c>
    </row>
    <row r="1288" spans="1:2" ht="15" customHeight="1" x14ac:dyDescent="0.25">
      <c r="A1288">
        <v>0</v>
      </c>
      <c r="B1288">
        <v>5.3476881235837936E-2</v>
      </c>
    </row>
    <row r="1289" spans="1:2" ht="15" customHeight="1" x14ac:dyDescent="0.25">
      <c r="A1289">
        <v>0</v>
      </c>
      <c r="B1289">
        <v>6.5161816775798798E-2</v>
      </c>
    </row>
    <row r="1290" spans="1:2" ht="15" customHeight="1" x14ac:dyDescent="0.25">
      <c r="A1290">
        <v>0</v>
      </c>
      <c r="B1290">
        <v>6.516767293214798E-2</v>
      </c>
    </row>
    <row r="1291" spans="1:2" ht="15" customHeight="1" x14ac:dyDescent="0.25">
      <c r="A1291">
        <v>0</v>
      </c>
      <c r="B1291">
        <v>6.2544658780097961E-2</v>
      </c>
    </row>
    <row r="1292" spans="1:2" ht="15" customHeight="1" x14ac:dyDescent="0.25">
      <c r="A1292">
        <v>0</v>
      </c>
      <c r="B1292">
        <v>6.0392193496227264E-2</v>
      </c>
    </row>
    <row r="1293" spans="1:2" ht="15" customHeight="1" x14ac:dyDescent="0.25">
      <c r="A1293">
        <v>0</v>
      </c>
      <c r="B1293">
        <v>5.3479727357625961E-2</v>
      </c>
    </row>
    <row r="1294" spans="1:2" ht="15" customHeight="1" x14ac:dyDescent="0.25">
      <c r="A1294">
        <v>0</v>
      </c>
      <c r="B1294">
        <v>6.7316271364688873E-2</v>
      </c>
    </row>
    <row r="1295" spans="1:2" ht="15" customHeight="1" x14ac:dyDescent="0.25">
      <c r="A1295">
        <v>0</v>
      </c>
      <c r="B1295">
        <v>6.2532797455787659E-2</v>
      </c>
    </row>
    <row r="1296" spans="1:2" ht="15" customHeight="1" x14ac:dyDescent="0.25">
      <c r="A1296">
        <v>0</v>
      </c>
      <c r="B1296">
        <v>6.9927282631397247E-2</v>
      </c>
    </row>
    <row r="1297" spans="1:2" ht="15" customHeight="1" x14ac:dyDescent="0.25">
      <c r="A1297">
        <v>0</v>
      </c>
      <c r="B1297">
        <v>5.9917233884334564E-2</v>
      </c>
    </row>
    <row r="1298" spans="1:2" ht="15" customHeight="1" x14ac:dyDescent="0.25">
      <c r="A1298">
        <v>0</v>
      </c>
      <c r="B1298">
        <v>5.3015429526567459E-2</v>
      </c>
    </row>
    <row r="1299" spans="1:2" ht="15" customHeight="1" x14ac:dyDescent="0.25">
      <c r="A1299">
        <v>0</v>
      </c>
      <c r="B1299">
        <v>7.2543352842330933E-2</v>
      </c>
    </row>
    <row r="1300" spans="1:2" ht="15" customHeight="1" x14ac:dyDescent="0.25">
      <c r="A1300">
        <v>0</v>
      </c>
      <c r="B1300">
        <v>5.8254051953554153E-2</v>
      </c>
    </row>
    <row r="1301" spans="1:2" ht="15" customHeight="1" x14ac:dyDescent="0.25">
      <c r="A1301">
        <v>0</v>
      </c>
      <c r="B1301">
        <v>5.300535261631012E-2</v>
      </c>
    </row>
    <row r="1302" spans="1:2" ht="15" customHeight="1" x14ac:dyDescent="0.25">
      <c r="A1302">
        <v>0</v>
      </c>
      <c r="B1302">
        <v>5.3013049066066742E-2</v>
      </c>
    </row>
    <row r="1303" spans="1:2" ht="15" customHeight="1" x14ac:dyDescent="0.25">
      <c r="A1303">
        <v>0</v>
      </c>
      <c r="B1303">
        <v>5.0862893462181091E-2</v>
      </c>
    </row>
    <row r="1304" spans="1:2" ht="15" customHeight="1" x14ac:dyDescent="0.25">
      <c r="A1304">
        <v>0</v>
      </c>
      <c r="B1304">
        <v>4.6094946563243866E-2</v>
      </c>
    </row>
    <row r="1305" spans="1:2" ht="15" customHeight="1" x14ac:dyDescent="0.25">
      <c r="A1305">
        <v>0</v>
      </c>
      <c r="B1305">
        <v>5.0385948270559311E-2</v>
      </c>
    </row>
    <row r="1306" spans="1:2" ht="15" customHeight="1" x14ac:dyDescent="0.25">
      <c r="A1306">
        <v>0</v>
      </c>
      <c r="B1306">
        <v>4.3946158140897751E-2</v>
      </c>
    </row>
    <row r="1307" spans="1:2" ht="15" customHeight="1" x14ac:dyDescent="0.25">
      <c r="A1307">
        <v>0</v>
      </c>
      <c r="B1307">
        <v>4.3481338769197464E-2</v>
      </c>
    </row>
    <row r="1308" spans="1:2" ht="15" customHeight="1" x14ac:dyDescent="0.25">
      <c r="A1308">
        <v>0</v>
      </c>
      <c r="B1308">
        <v>4.6095941215753555E-2</v>
      </c>
    </row>
    <row r="1309" spans="1:2" ht="15" customHeight="1" x14ac:dyDescent="0.25">
      <c r="A1309">
        <v>0</v>
      </c>
      <c r="B1309">
        <v>6.7775510251522064E-2</v>
      </c>
    </row>
    <row r="1310" spans="1:2" ht="15" customHeight="1" x14ac:dyDescent="0.25">
      <c r="A1310">
        <v>0</v>
      </c>
      <c r="B1310">
        <v>6.5160639584064484E-2</v>
      </c>
    </row>
    <row r="1311" spans="1:2" ht="15" customHeight="1" x14ac:dyDescent="0.25">
      <c r="A1311">
        <v>0</v>
      </c>
      <c r="B1311">
        <v>5.7304058223962784E-2</v>
      </c>
    </row>
    <row r="1312" spans="1:2" ht="15" customHeight="1" x14ac:dyDescent="0.25">
      <c r="A1312">
        <v>0</v>
      </c>
      <c r="B1312">
        <v>5.1338665187358856E-2</v>
      </c>
    </row>
    <row r="1313" spans="1:2" ht="15" customHeight="1" x14ac:dyDescent="0.25">
      <c r="A1313">
        <v>0</v>
      </c>
      <c r="B1313">
        <v>5.7766500860452652E-2</v>
      </c>
    </row>
    <row r="1314" spans="1:2" ht="15" customHeight="1" x14ac:dyDescent="0.25">
      <c r="A1314">
        <v>0</v>
      </c>
      <c r="B1314">
        <v>6.2542334198951721E-2</v>
      </c>
    </row>
    <row r="1315" spans="1:2" ht="15" customHeight="1" x14ac:dyDescent="0.25">
      <c r="A1315">
        <v>0</v>
      </c>
      <c r="B1315">
        <v>4.3944880366325378E-2</v>
      </c>
    </row>
    <row r="1316" spans="1:2" ht="15" customHeight="1" x14ac:dyDescent="0.25">
      <c r="A1316">
        <v>0</v>
      </c>
      <c r="B1316">
        <v>6.3021160662174225E-2</v>
      </c>
    </row>
    <row r="1317" spans="1:2" ht="15" customHeight="1" x14ac:dyDescent="0.25">
      <c r="A1317">
        <v>0</v>
      </c>
      <c r="B1317">
        <v>5.5630162358283997E-2</v>
      </c>
    </row>
    <row r="1318" spans="1:2" ht="15" customHeight="1" x14ac:dyDescent="0.25">
      <c r="A1318">
        <v>0</v>
      </c>
      <c r="B1318">
        <v>5.5628426373004913E-2</v>
      </c>
    </row>
    <row r="1319" spans="1:2" ht="15" customHeight="1" x14ac:dyDescent="0.25">
      <c r="A1319">
        <v>0</v>
      </c>
      <c r="B1319">
        <v>5.7769376784563065E-2</v>
      </c>
    </row>
    <row r="1320" spans="1:2" ht="15" customHeight="1" x14ac:dyDescent="0.25">
      <c r="A1320">
        <v>0</v>
      </c>
      <c r="B1320">
        <v>5.2048027515411377E-2</v>
      </c>
    </row>
    <row r="1321" spans="1:2" ht="15" customHeight="1" x14ac:dyDescent="0.25">
      <c r="A1321">
        <v>0</v>
      </c>
      <c r="B1321">
        <v>6.1835315078496933E-2</v>
      </c>
    </row>
    <row r="1322" spans="1:2" ht="15" customHeight="1" x14ac:dyDescent="0.25">
      <c r="A1322">
        <v>0</v>
      </c>
      <c r="B1322">
        <v>6.0394793748855591E-2</v>
      </c>
    </row>
    <row r="1323" spans="1:2" ht="15" customHeight="1" x14ac:dyDescent="0.25">
      <c r="A1323">
        <v>0</v>
      </c>
      <c r="B1323">
        <v>6.0395106673240662E-2</v>
      </c>
    </row>
    <row r="1324" spans="1:2" ht="15" customHeight="1" x14ac:dyDescent="0.25">
      <c r="A1324">
        <v>0</v>
      </c>
      <c r="B1324">
        <v>5.2525665611028671E-2</v>
      </c>
    </row>
    <row r="1325" spans="1:2" ht="15" customHeight="1" x14ac:dyDescent="0.25">
      <c r="A1325">
        <v>0</v>
      </c>
      <c r="B1325">
        <v>5.3965318948030472E-2</v>
      </c>
    </row>
    <row r="1326" spans="1:2" ht="15" customHeight="1" x14ac:dyDescent="0.25">
      <c r="A1326">
        <v>0</v>
      </c>
      <c r="B1326">
        <v>5.5628616362810135E-2</v>
      </c>
    </row>
    <row r="1327" spans="1:2" ht="15" customHeight="1" x14ac:dyDescent="0.25">
      <c r="A1327">
        <v>0</v>
      </c>
      <c r="B1327">
        <v>5.2526082843542099E-2</v>
      </c>
    </row>
    <row r="1328" spans="1:2" ht="15" customHeight="1" x14ac:dyDescent="0.25">
      <c r="A1328">
        <v>0</v>
      </c>
      <c r="B1328">
        <v>5.5631496012210846E-2</v>
      </c>
    </row>
    <row r="1329" spans="1:2" ht="15" customHeight="1" x14ac:dyDescent="0.25">
      <c r="A1329">
        <v>0</v>
      </c>
      <c r="B1329">
        <v>6.349809467792511E-2</v>
      </c>
    </row>
    <row r="1330" spans="1:2" ht="15" customHeight="1" x14ac:dyDescent="0.25">
      <c r="A1330">
        <v>0</v>
      </c>
      <c r="B1330">
        <v>5.610550194978714E-2</v>
      </c>
    </row>
    <row r="1331" spans="1:2" ht="15" customHeight="1" x14ac:dyDescent="0.25">
      <c r="A1331">
        <v>0</v>
      </c>
      <c r="B1331">
        <v>5.0863280892372131E-2</v>
      </c>
    </row>
    <row r="1332" spans="1:2" ht="15" customHeight="1" x14ac:dyDescent="0.25">
      <c r="A1332">
        <v>0</v>
      </c>
      <c r="B1332">
        <v>5.0861440598964691E-2</v>
      </c>
    </row>
    <row r="1333" spans="1:2" ht="15" customHeight="1" x14ac:dyDescent="0.25">
      <c r="A1333">
        <v>0</v>
      </c>
      <c r="B1333">
        <v>5.5629480630159378E-2</v>
      </c>
    </row>
    <row r="1334" spans="1:2" ht="15" customHeight="1" x14ac:dyDescent="0.25">
      <c r="A1334">
        <v>0</v>
      </c>
      <c r="B1334">
        <v>5.5626902729272842E-2</v>
      </c>
    </row>
    <row r="1335" spans="1:2" ht="15" customHeight="1" x14ac:dyDescent="0.25">
      <c r="A1335">
        <v>0</v>
      </c>
      <c r="B1335">
        <v>5.0861995667219162E-2</v>
      </c>
    </row>
    <row r="1336" spans="1:2" ht="15" customHeight="1" x14ac:dyDescent="0.25">
      <c r="A1336">
        <v>0</v>
      </c>
      <c r="B1336">
        <v>4.1329942643642426E-2</v>
      </c>
    </row>
    <row r="1337" spans="1:2" ht="15" customHeight="1" x14ac:dyDescent="0.25">
      <c r="A1337">
        <v>0</v>
      </c>
      <c r="B1337">
        <v>4.6096738427877426E-2</v>
      </c>
    </row>
    <row r="1338" spans="1:2" ht="15" customHeight="1" x14ac:dyDescent="0.25">
      <c r="A1338">
        <v>0</v>
      </c>
      <c r="B1338">
        <v>5.6813869625329971E-2</v>
      </c>
    </row>
    <row r="1339" spans="1:2" ht="15" customHeight="1" x14ac:dyDescent="0.25">
      <c r="A1339">
        <v>0</v>
      </c>
      <c r="B1339">
        <v>6.0396939516067505E-2</v>
      </c>
    </row>
    <row r="1340" spans="1:2" ht="15" customHeight="1" x14ac:dyDescent="0.25">
      <c r="A1340">
        <v>0</v>
      </c>
      <c r="B1340">
        <v>5.4442185908555984E-2</v>
      </c>
    </row>
    <row r="1341" spans="1:2" ht="15" customHeight="1" x14ac:dyDescent="0.25">
      <c r="A1341">
        <v>0</v>
      </c>
      <c r="B1341">
        <v>5.2048001438379288E-2</v>
      </c>
    </row>
    <row r="1342" spans="1:2" ht="15" customHeight="1" x14ac:dyDescent="0.25">
      <c r="A1342">
        <v>0</v>
      </c>
      <c r="B1342">
        <v>5.085831880569458E-2</v>
      </c>
    </row>
    <row r="1343" spans="1:2" ht="15" customHeight="1" x14ac:dyDescent="0.25">
      <c r="A1343">
        <v>0</v>
      </c>
      <c r="B1343">
        <v>4.6095356345176697E-2</v>
      </c>
    </row>
    <row r="1344" spans="1:2" ht="15" customHeight="1" x14ac:dyDescent="0.25">
      <c r="A1344">
        <v>0</v>
      </c>
      <c r="B1344">
        <v>5.0859984010457993E-2</v>
      </c>
    </row>
    <row r="1345" spans="1:2" ht="15" customHeight="1" x14ac:dyDescent="0.25">
      <c r="A1345">
        <v>0</v>
      </c>
      <c r="B1345">
        <v>7.4693165719509125E-2</v>
      </c>
    </row>
    <row r="1346" spans="1:2" ht="15" customHeight="1" x14ac:dyDescent="0.25">
      <c r="A1346">
        <v>0</v>
      </c>
      <c r="B1346">
        <v>5.4440729320049286E-2</v>
      </c>
    </row>
    <row r="1347" spans="1:2" ht="15" customHeight="1" x14ac:dyDescent="0.25">
      <c r="A1347">
        <v>0</v>
      </c>
      <c r="B1347">
        <v>4.7281108796596527E-2</v>
      </c>
    </row>
    <row r="1348" spans="1:2" ht="15" customHeight="1" x14ac:dyDescent="0.25">
      <c r="A1348">
        <v>0</v>
      </c>
      <c r="B1348">
        <v>5.9209935367107391E-2</v>
      </c>
    </row>
    <row r="1349" spans="1:2" ht="15" customHeight="1" x14ac:dyDescent="0.25">
      <c r="A1349">
        <v>0</v>
      </c>
      <c r="B1349">
        <v>5.0862275063991547E-2</v>
      </c>
    </row>
    <row r="1350" spans="1:2" ht="15" customHeight="1" x14ac:dyDescent="0.25">
      <c r="A1350">
        <v>0</v>
      </c>
      <c r="B1350">
        <v>6.0394421219825745E-2</v>
      </c>
    </row>
    <row r="1351" spans="1:2" ht="15" customHeight="1" x14ac:dyDescent="0.25">
      <c r="A1351">
        <v>0</v>
      </c>
      <c r="B1351">
        <v>6.1579454690217972E-2</v>
      </c>
    </row>
    <row r="1352" spans="1:2" ht="15" customHeight="1" x14ac:dyDescent="0.25">
      <c r="A1352">
        <v>0</v>
      </c>
      <c r="B1352">
        <v>7.1116864681243896E-2</v>
      </c>
    </row>
    <row r="1353" spans="1:2" ht="15" customHeight="1" x14ac:dyDescent="0.25">
      <c r="A1353">
        <v>0</v>
      </c>
      <c r="B1353">
        <v>7.2324030101299286E-2</v>
      </c>
    </row>
    <row r="1354" spans="1:2" ht="15" customHeight="1" x14ac:dyDescent="0.25">
      <c r="A1354">
        <v>0</v>
      </c>
      <c r="B1354">
        <v>6.0395166277885437E-2</v>
      </c>
    </row>
    <row r="1355" spans="1:2" ht="15" customHeight="1" x14ac:dyDescent="0.25">
      <c r="A1355">
        <v>0</v>
      </c>
      <c r="B1355">
        <v>5.563083291053772E-2</v>
      </c>
    </row>
    <row r="1356" spans="1:2" ht="15" customHeight="1" x14ac:dyDescent="0.25">
      <c r="A1356">
        <v>0</v>
      </c>
      <c r="B1356">
        <v>6.0396775603294373E-2</v>
      </c>
    </row>
    <row r="1357" spans="1:2" ht="15" customHeight="1" x14ac:dyDescent="0.25">
      <c r="A1357">
        <v>0</v>
      </c>
      <c r="B1357">
        <v>6.0395356267690659E-2</v>
      </c>
    </row>
    <row r="1358" spans="1:2" ht="15" customHeight="1" x14ac:dyDescent="0.25">
      <c r="A1358">
        <v>0</v>
      </c>
      <c r="B1358">
        <v>5.0384771078824997E-2</v>
      </c>
    </row>
    <row r="1359" spans="1:2" ht="15" customHeight="1" x14ac:dyDescent="0.25">
      <c r="A1359">
        <v>0</v>
      </c>
      <c r="B1359">
        <v>5.6100446730852127E-2</v>
      </c>
    </row>
    <row r="1360" spans="1:2" ht="15" customHeight="1" x14ac:dyDescent="0.25">
      <c r="A1360">
        <v>0</v>
      </c>
      <c r="B1360">
        <v>4.6097427606582642E-2</v>
      </c>
    </row>
    <row r="1361" spans="1:2" ht="15" customHeight="1" x14ac:dyDescent="0.25">
      <c r="A1361">
        <v>0</v>
      </c>
      <c r="B1361">
        <v>6.0393493622541428E-2</v>
      </c>
    </row>
    <row r="1362" spans="1:2" ht="15" customHeight="1" x14ac:dyDescent="0.25">
      <c r="A1362">
        <v>0</v>
      </c>
      <c r="B1362">
        <v>4.6328864991664886E-2</v>
      </c>
    </row>
    <row r="1363" spans="1:2" ht="15" customHeight="1" x14ac:dyDescent="0.25">
      <c r="A1363">
        <v>0</v>
      </c>
      <c r="B1363">
        <v>4.9678649753332138E-2</v>
      </c>
    </row>
    <row r="1364" spans="1:2" ht="15" customHeight="1" x14ac:dyDescent="0.25">
      <c r="A1364">
        <v>0</v>
      </c>
      <c r="B1364">
        <v>6.5160609781742096E-2</v>
      </c>
    </row>
    <row r="1365" spans="1:2" ht="15" customHeight="1" x14ac:dyDescent="0.25">
      <c r="A1365">
        <v>0</v>
      </c>
      <c r="B1365">
        <v>6.2057290226221085E-2</v>
      </c>
    </row>
    <row r="1366" spans="1:2" ht="15" customHeight="1" x14ac:dyDescent="0.25">
      <c r="A1366">
        <v>0</v>
      </c>
      <c r="B1366">
        <v>5.0154030323028564E-2</v>
      </c>
    </row>
    <row r="1367" spans="1:2" ht="15" customHeight="1" x14ac:dyDescent="0.25">
      <c r="A1367">
        <v>0</v>
      </c>
      <c r="B1367">
        <v>4.6094391494989395E-2</v>
      </c>
    </row>
    <row r="1368" spans="1:2" ht="15" customHeight="1" x14ac:dyDescent="0.25">
      <c r="A1368">
        <v>0</v>
      </c>
      <c r="B1368">
        <v>5.5626872926950455E-2</v>
      </c>
    </row>
    <row r="1369" spans="1:2" ht="15" customHeight="1" x14ac:dyDescent="0.25">
      <c r="A1369">
        <v>0</v>
      </c>
      <c r="B1369">
        <v>5.1572304219007492E-2</v>
      </c>
    </row>
    <row r="1370" spans="1:2" ht="15" customHeight="1" x14ac:dyDescent="0.25">
      <c r="A1370">
        <v>0</v>
      </c>
      <c r="B1370">
        <v>5.9685349464416504E-2</v>
      </c>
    </row>
    <row r="1371" spans="1:2" ht="15" customHeight="1" x14ac:dyDescent="0.25">
      <c r="A1371">
        <v>0</v>
      </c>
      <c r="B1371">
        <v>5.0860822200775146E-2</v>
      </c>
    </row>
    <row r="1372" spans="1:2" ht="15" customHeight="1" x14ac:dyDescent="0.25">
      <c r="A1372">
        <v>0</v>
      </c>
      <c r="B1372">
        <v>6.0394611209630966E-2</v>
      </c>
    </row>
    <row r="1373" spans="1:2" ht="15" customHeight="1" x14ac:dyDescent="0.25">
      <c r="A1373">
        <v>0</v>
      </c>
      <c r="B1373">
        <v>4.1329942643642426E-2</v>
      </c>
    </row>
    <row r="1374" spans="1:2" ht="15" customHeight="1" x14ac:dyDescent="0.25">
      <c r="A1374">
        <v>0</v>
      </c>
      <c r="B1374">
        <v>4.6805251389741898E-2</v>
      </c>
    </row>
    <row r="1375" spans="1:2" ht="15" customHeight="1" x14ac:dyDescent="0.25">
      <c r="A1375">
        <v>0</v>
      </c>
      <c r="B1375">
        <v>5.9685602784156799E-2</v>
      </c>
    </row>
    <row r="1376" spans="1:2" ht="15" customHeight="1" x14ac:dyDescent="0.25">
      <c r="A1376">
        <v>0</v>
      </c>
      <c r="B1376">
        <v>5.1573015749454498E-2</v>
      </c>
    </row>
    <row r="1377" spans="1:2" ht="15" customHeight="1" x14ac:dyDescent="0.25">
      <c r="A1377">
        <v>0</v>
      </c>
      <c r="B1377">
        <v>5.9681858867406845E-2</v>
      </c>
    </row>
    <row r="1378" spans="1:2" ht="15" customHeight="1" x14ac:dyDescent="0.25">
      <c r="A1378">
        <v>0</v>
      </c>
      <c r="B1378">
        <v>4.6803869307041168E-2</v>
      </c>
    </row>
    <row r="1379" spans="1:2" ht="15" customHeight="1" x14ac:dyDescent="0.25">
      <c r="A1379">
        <v>0</v>
      </c>
      <c r="B1379">
        <v>5.9687238186597824E-2</v>
      </c>
    </row>
    <row r="1380" spans="1:2" ht="15" customHeight="1" x14ac:dyDescent="0.25">
      <c r="A1380">
        <v>0</v>
      </c>
      <c r="B1380">
        <v>4.6804871410131454E-2</v>
      </c>
    </row>
    <row r="1381" spans="1:2" ht="15" customHeight="1" x14ac:dyDescent="0.25">
      <c r="A1381">
        <v>0</v>
      </c>
      <c r="B1381">
        <v>6.0392599552869797E-2</v>
      </c>
    </row>
    <row r="1382" spans="1:2" ht="15" customHeight="1" x14ac:dyDescent="0.25">
      <c r="A1382">
        <v>0</v>
      </c>
      <c r="B1382">
        <v>6.0394156724214554E-2</v>
      </c>
    </row>
    <row r="1383" spans="1:2" ht="15" customHeight="1" x14ac:dyDescent="0.25">
      <c r="A1383">
        <v>0</v>
      </c>
      <c r="B1383">
        <v>5.4918121546506882E-2</v>
      </c>
    </row>
    <row r="1384" spans="1:2" ht="15" customHeight="1" x14ac:dyDescent="0.25">
      <c r="A1384">
        <v>0</v>
      </c>
      <c r="B1384">
        <v>6.0393005609512329E-2</v>
      </c>
    </row>
    <row r="1385" spans="1:2" ht="15" customHeight="1" x14ac:dyDescent="0.25">
      <c r="A1385">
        <v>0</v>
      </c>
      <c r="B1385">
        <v>6.1108283698558807E-2</v>
      </c>
    </row>
    <row r="1386" spans="1:2" ht="15" customHeight="1" x14ac:dyDescent="0.25">
      <c r="A1386">
        <v>0</v>
      </c>
      <c r="B1386">
        <v>5.9684410691261292E-2</v>
      </c>
    </row>
    <row r="1387" spans="1:2" ht="15" customHeight="1" x14ac:dyDescent="0.25">
      <c r="A1387">
        <v>0</v>
      </c>
      <c r="B1387">
        <v>5.5627498775720596E-2</v>
      </c>
    </row>
    <row r="1388" spans="1:2" ht="15" customHeight="1" x14ac:dyDescent="0.25">
      <c r="A1388">
        <v>0</v>
      </c>
      <c r="B1388">
        <v>5.633830651640892E-2</v>
      </c>
    </row>
    <row r="1389" spans="1:2" ht="15" customHeight="1" x14ac:dyDescent="0.25">
      <c r="A1389">
        <v>0</v>
      </c>
      <c r="B1389">
        <v>5.5395588278770447E-2</v>
      </c>
    </row>
    <row r="1390" spans="1:2" ht="15" customHeight="1" x14ac:dyDescent="0.25">
      <c r="A1390">
        <v>0</v>
      </c>
      <c r="B1390">
        <v>4.6328537166118622E-2</v>
      </c>
    </row>
    <row r="1391" spans="1:2" ht="15" customHeight="1" x14ac:dyDescent="0.25">
      <c r="A1391">
        <v>0</v>
      </c>
      <c r="B1391">
        <v>5.5627256631851196E-2</v>
      </c>
    </row>
    <row r="1392" spans="1:2" ht="15" customHeight="1" x14ac:dyDescent="0.25">
      <c r="A1392">
        <v>0</v>
      </c>
      <c r="B1392">
        <v>5.063316598534584E-2</v>
      </c>
    </row>
    <row r="1393" spans="1:2" ht="15" customHeight="1" x14ac:dyDescent="0.25">
      <c r="A1393">
        <v>0</v>
      </c>
      <c r="B1393">
        <v>4.6094518154859543E-2</v>
      </c>
    </row>
    <row r="1394" spans="1:2" ht="15" customHeight="1" x14ac:dyDescent="0.25">
      <c r="A1394">
        <v>0</v>
      </c>
      <c r="B1394">
        <v>5.086156353354454E-2</v>
      </c>
    </row>
    <row r="1395" spans="1:2" ht="15" customHeight="1" x14ac:dyDescent="0.25">
      <c r="A1395">
        <v>0</v>
      </c>
      <c r="B1395">
        <v>5.1095891743898392E-2</v>
      </c>
    </row>
    <row r="1396" spans="1:2" ht="15" customHeight="1" x14ac:dyDescent="0.25">
      <c r="A1396">
        <v>0</v>
      </c>
      <c r="B1396">
        <v>5.5862400680780411E-2</v>
      </c>
    </row>
    <row r="1397" spans="1:2" ht="15" customHeight="1" x14ac:dyDescent="0.25">
      <c r="A1397">
        <v>0</v>
      </c>
      <c r="B1397">
        <v>6.0164481401443481E-2</v>
      </c>
    </row>
    <row r="1398" spans="1:2" ht="15" customHeight="1" x14ac:dyDescent="0.25">
      <c r="A1398">
        <v>0</v>
      </c>
      <c r="B1398">
        <v>6.0161028057336807E-2</v>
      </c>
    </row>
    <row r="1399" spans="1:2" ht="15" customHeight="1" x14ac:dyDescent="0.25">
      <c r="A1399">
        <v>0</v>
      </c>
      <c r="B1399">
        <v>4.6329911798238754E-2</v>
      </c>
    </row>
    <row r="1400" spans="1:2" ht="15" customHeight="1" x14ac:dyDescent="0.25">
      <c r="A1400">
        <v>0</v>
      </c>
      <c r="B1400">
        <v>6.0160864144563675E-2</v>
      </c>
    </row>
    <row r="1401" spans="1:2" ht="15" customHeight="1" x14ac:dyDescent="0.25">
      <c r="A1401">
        <v>0</v>
      </c>
      <c r="B1401">
        <v>6.0627657920122147E-2</v>
      </c>
    </row>
    <row r="1402" spans="1:2" ht="15" customHeight="1" x14ac:dyDescent="0.25">
      <c r="A1402">
        <v>0</v>
      </c>
      <c r="B1402">
        <v>4.6096809208393097E-2</v>
      </c>
    </row>
    <row r="1403" spans="1:2" ht="15" customHeight="1" x14ac:dyDescent="0.25">
      <c r="A1403">
        <v>0</v>
      </c>
      <c r="B1403">
        <v>5.9916649013757706E-2</v>
      </c>
    </row>
    <row r="1404" spans="1:2" ht="15" customHeight="1" x14ac:dyDescent="0.25">
      <c r="A1404">
        <v>0</v>
      </c>
      <c r="B1404">
        <v>5.5626481771469116E-2</v>
      </c>
    </row>
    <row r="1405" spans="1:2" ht="15" customHeight="1" x14ac:dyDescent="0.25">
      <c r="A1405">
        <v>0</v>
      </c>
      <c r="B1405">
        <v>5.1108289510011673E-2</v>
      </c>
    </row>
    <row r="1406" spans="1:2" ht="15" customHeight="1" x14ac:dyDescent="0.25">
      <c r="A1406">
        <v>0</v>
      </c>
      <c r="B1406">
        <v>6.4918093383312225E-2</v>
      </c>
    </row>
    <row r="1407" spans="1:2" ht="15" customHeight="1" x14ac:dyDescent="0.25">
      <c r="A1407">
        <v>0</v>
      </c>
      <c r="B1407">
        <v>5.110647901892662E-2</v>
      </c>
    </row>
    <row r="1408" spans="1:2" ht="15" customHeight="1" x14ac:dyDescent="0.25">
      <c r="A1408">
        <v>0</v>
      </c>
      <c r="B1408">
        <v>4.6095073223114014E-2</v>
      </c>
    </row>
    <row r="1409" spans="1:2" ht="15" customHeight="1" x14ac:dyDescent="0.25">
      <c r="A1409">
        <v>0</v>
      </c>
      <c r="B1409">
        <v>5.0866853445768356E-2</v>
      </c>
    </row>
    <row r="1410" spans="1:2" ht="15" customHeight="1" x14ac:dyDescent="0.25">
      <c r="A1410">
        <v>0</v>
      </c>
      <c r="B1410">
        <v>5.0617415457963943E-2</v>
      </c>
    </row>
    <row r="1411" spans="1:2" ht="15" customHeight="1" x14ac:dyDescent="0.25">
      <c r="A1411">
        <v>0</v>
      </c>
      <c r="B1411">
        <v>5.5872395634651184E-2</v>
      </c>
    </row>
    <row r="1412" spans="1:2" ht="15" customHeight="1" x14ac:dyDescent="0.25">
      <c r="A1412">
        <v>0</v>
      </c>
      <c r="B1412">
        <v>5.0618108361959457E-2</v>
      </c>
    </row>
    <row r="1413" spans="1:2" ht="15" customHeight="1" x14ac:dyDescent="0.25">
      <c r="A1413">
        <v>0</v>
      </c>
      <c r="B1413">
        <v>6.5163157880306244E-2</v>
      </c>
    </row>
    <row r="1414" spans="1:2" ht="15" customHeight="1" x14ac:dyDescent="0.25">
      <c r="A1414">
        <v>0</v>
      </c>
      <c r="B1414">
        <v>5.1107272505760193E-2</v>
      </c>
    </row>
    <row r="1415" spans="1:2" ht="15" customHeight="1" x14ac:dyDescent="0.25">
      <c r="A1415">
        <v>0</v>
      </c>
      <c r="B1415">
        <v>6.0149218887090683E-2</v>
      </c>
    </row>
    <row r="1416" spans="1:2" ht="15" customHeight="1" x14ac:dyDescent="0.25">
      <c r="A1416">
        <v>0</v>
      </c>
      <c r="B1416">
        <v>4.6338725835084915E-2</v>
      </c>
    </row>
    <row r="1417" spans="1:2" ht="15" customHeight="1" x14ac:dyDescent="0.25">
      <c r="A1417">
        <v>0</v>
      </c>
      <c r="B1417">
        <v>5.0863176584243774E-2</v>
      </c>
    </row>
    <row r="1418" spans="1:2" ht="15" customHeight="1" x14ac:dyDescent="0.25">
      <c r="A1418">
        <v>0</v>
      </c>
      <c r="B1418">
        <v>4.6095754951238632E-2</v>
      </c>
    </row>
    <row r="1419" spans="1:2" ht="15" customHeight="1" x14ac:dyDescent="0.25">
      <c r="A1419">
        <v>0</v>
      </c>
      <c r="B1419">
        <v>6.0150481760501862E-2</v>
      </c>
    </row>
    <row r="1420" spans="1:2" ht="15" customHeight="1" x14ac:dyDescent="0.25">
      <c r="A1420">
        <v>0</v>
      </c>
      <c r="B1420">
        <v>5.5630136281251907E-2</v>
      </c>
    </row>
    <row r="1421" spans="1:2" ht="15" customHeight="1" x14ac:dyDescent="0.25">
      <c r="A1421">
        <v>0</v>
      </c>
      <c r="B1421">
        <v>5.9920519590377808E-2</v>
      </c>
    </row>
    <row r="1422" spans="1:2" ht="15" customHeight="1" x14ac:dyDescent="0.25">
      <c r="A1422">
        <v>0</v>
      </c>
      <c r="B1422">
        <v>6.1117831617593765E-2</v>
      </c>
    </row>
    <row r="1423" spans="1:2" ht="15" customHeight="1" x14ac:dyDescent="0.25">
      <c r="A1423">
        <v>0</v>
      </c>
      <c r="B1423">
        <v>4.6334549784660339E-2</v>
      </c>
    </row>
    <row r="1424" spans="1:2" ht="15" customHeight="1" x14ac:dyDescent="0.25">
      <c r="A1424">
        <v>0</v>
      </c>
      <c r="B1424">
        <v>4.6096064150333405E-2</v>
      </c>
    </row>
    <row r="1425" spans="1:2" ht="15" customHeight="1" x14ac:dyDescent="0.25">
      <c r="A1425">
        <v>0</v>
      </c>
      <c r="B1425">
        <v>5.4906152188777924E-2</v>
      </c>
    </row>
    <row r="1426" spans="1:2" ht="15" customHeight="1" x14ac:dyDescent="0.25">
      <c r="A1426">
        <v>0</v>
      </c>
      <c r="B1426">
        <v>5.6350082159042358E-2</v>
      </c>
    </row>
    <row r="1427" spans="1:2" ht="15" customHeight="1" x14ac:dyDescent="0.25">
      <c r="A1427">
        <v>0</v>
      </c>
      <c r="B1427">
        <v>5.5625271052122116E-2</v>
      </c>
    </row>
    <row r="1428" spans="1:2" ht="15" customHeight="1" x14ac:dyDescent="0.25">
      <c r="A1428">
        <v>0</v>
      </c>
      <c r="B1428">
        <v>4.5374885201454163E-2</v>
      </c>
    </row>
    <row r="1429" spans="1:2" ht="15" customHeight="1" x14ac:dyDescent="0.25">
      <c r="A1429">
        <v>0</v>
      </c>
      <c r="B1429">
        <v>4.6817734837532043E-2</v>
      </c>
    </row>
    <row r="1430" spans="1:2" ht="15" customHeight="1" x14ac:dyDescent="0.25">
      <c r="A1430">
        <v>0</v>
      </c>
      <c r="B1430">
        <v>4.6095449477434158E-2</v>
      </c>
    </row>
    <row r="1431" spans="1:2" ht="15" customHeight="1" x14ac:dyDescent="0.25">
      <c r="A1431">
        <v>0</v>
      </c>
      <c r="B1431">
        <v>4.6093832701444626E-2</v>
      </c>
    </row>
    <row r="1432" spans="1:2" ht="15" customHeight="1" x14ac:dyDescent="0.25">
      <c r="A1432">
        <v>0</v>
      </c>
      <c r="B1432">
        <v>6.0398966073989868E-2</v>
      </c>
    </row>
    <row r="1433" spans="1:2" ht="15" customHeight="1" x14ac:dyDescent="0.25">
      <c r="A1433">
        <v>0</v>
      </c>
      <c r="B1433">
        <v>6.0397423803806305E-2</v>
      </c>
    </row>
    <row r="1434" spans="1:2" ht="15" customHeight="1" x14ac:dyDescent="0.25">
      <c r="A1434">
        <v>0</v>
      </c>
      <c r="B1434">
        <v>5.4911427199840546E-2</v>
      </c>
    </row>
    <row r="1435" spans="1:2" ht="15" customHeight="1" x14ac:dyDescent="0.25">
      <c r="A1435">
        <v>0</v>
      </c>
      <c r="B1435">
        <v>4.681767150759697E-2</v>
      </c>
    </row>
    <row r="1436" spans="1:2" ht="15" customHeight="1" x14ac:dyDescent="0.25">
      <c r="A1436">
        <v>0</v>
      </c>
      <c r="B1436">
        <v>5.9671003371477127E-2</v>
      </c>
    </row>
    <row r="1437" spans="1:2" ht="15" customHeight="1" x14ac:dyDescent="0.25">
      <c r="A1437">
        <v>0</v>
      </c>
      <c r="B1437">
        <v>5.1581576466560364E-2</v>
      </c>
    </row>
    <row r="1438" spans="1:2" ht="15" customHeight="1" x14ac:dyDescent="0.25">
      <c r="A1438">
        <v>0</v>
      </c>
      <c r="B1438">
        <v>6.0393434017896652E-2</v>
      </c>
    </row>
    <row r="1439" spans="1:2" ht="15" customHeight="1" x14ac:dyDescent="0.25">
      <c r="A1439">
        <v>0</v>
      </c>
      <c r="B1439">
        <v>5.9195809066295624E-2</v>
      </c>
    </row>
    <row r="1440" spans="1:2" ht="15" customHeight="1" x14ac:dyDescent="0.25">
      <c r="A1440">
        <v>0</v>
      </c>
      <c r="B1440">
        <v>5.2060339599847794E-2</v>
      </c>
    </row>
    <row r="1441" spans="1:2" ht="15" customHeight="1" x14ac:dyDescent="0.25">
      <c r="A1441">
        <v>0</v>
      </c>
      <c r="B1441">
        <v>4.9664940685033798E-2</v>
      </c>
    </row>
    <row r="1442" spans="1:2" ht="15" customHeight="1" x14ac:dyDescent="0.25">
      <c r="A1442">
        <v>0</v>
      </c>
      <c r="B1442">
        <v>5.2058495581150055E-2</v>
      </c>
    </row>
    <row r="1443" spans="1:2" ht="15" customHeight="1" x14ac:dyDescent="0.25">
      <c r="A1443">
        <v>0</v>
      </c>
      <c r="B1443">
        <v>5.0864227116107941E-2</v>
      </c>
    </row>
    <row r="1444" spans="1:2" ht="15" customHeight="1" x14ac:dyDescent="0.25">
      <c r="A1444">
        <v>0</v>
      </c>
      <c r="B1444">
        <v>7.3494888842105865E-2</v>
      </c>
    </row>
    <row r="1445" spans="1:2" ht="15" customHeight="1" x14ac:dyDescent="0.25">
      <c r="A1445">
        <v>0</v>
      </c>
      <c r="B1445">
        <v>5.2059073001146317E-2</v>
      </c>
    </row>
    <row r="1446" spans="1:2" ht="15" customHeight="1" x14ac:dyDescent="0.25">
      <c r="A1446">
        <v>0</v>
      </c>
      <c r="B1446">
        <v>4.9436513334512711E-2</v>
      </c>
    </row>
    <row r="1447" spans="1:2" ht="15" customHeight="1" x14ac:dyDescent="0.25">
      <c r="A1447">
        <v>0</v>
      </c>
      <c r="B1447">
        <v>5.563180148601532E-2</v>
      </c>
    </row>
    <row r="1448" spans="1:2" ht="15" customHeight="1" x14ac:dyDescent="0.25">
      <c r="A1448">
        <v>0</v>
      </c>
      <c r="B1448">
        <v>4.9664933234453201E-2</v>
      </c>
    </row>
    <row r="1449" spans="1:2" ht="15" customHeight="1" x14ac:dyDescent="0.25">
      <c r="A1449">
        <v>0</v>
      </c>
      <c r="B1449">
        <v>5.2059285342693329E-2</v>
      </c>
    </row>
    <row r="1450" spans="1:2" ht="15" customHeight="1" x14ac:dyDescent="0.25">
      <c r="A1450">
        <v>0</v>
      </c>
      <c r="B1450">
        <v>5.919647216796875E-2</v>
      </c>
    </row>
    <row r="1451" spans="1:2" ht="15" customHeight="1" x14ac:dyDescent="0.25">
      <c r="A1451">
        <v>0</v>
      </c>
      <c r="B1451">
        <v>5.2059970796108246E-2</v>
      </c>
    </row>
    <row r="1452" spans="1:2" ht="15" customHeight="1" x14ac:dyDescent="0.25">
      <c r="A1452">
        <v>0</v>
      </c>
      <c r="B1452">
        <v>5.4430969059467316E-2</v>
      </c>
    </row>
    <row r="1453" spans="1:2" ht="15" customHeight="1" x14ac:dyDescent="0.25">
      <c r="A1453">
        <v>0</v>
      </c>
      <c r="B1453">
        <v>6.9931007921695709E-2</v>
      </c>
    </row>
    <row r="1454" spans="1:2" ht="15" customHeight="1" x14ac:dyDescent="0.25">
      <c r="A1454">
        <v>0</v>
      </c>
      <c r="B1454">
        <v>5.6825656443834305E-2</v>
      </c>
    </row>
    <row r="1455" spans="1:2" ht="15" customHeight="1" x14ac:dyDescent="0.25">
      <c r="A1455">
        <v>0</v>
      </c>
      <c r="B1455">
        <v>4.6097416430711746E-2</v>
      </c>
    </row>
    <row r="1456" spans="1:2" ht="15" customHeight="1" x14ac:dyDescent="0.25">
      <c r="A1456">
        <v>0</v>
      </c>
      <c r="B1456">
        <v>5.0861403346061707E-2</v>
      </c>
    </row>
    <row r="1457" spans="1:2" ht="15" customHeight="1" x14ac:dyDescent="0.25">
      <c r="A1457">
        <v>0</v>
      </c>
      <c r="B1457">
        <v>5.4429396986961365E-2</v>
      </c>
    </row>
    <row r="1458" spans="1:2" ht="15" customHeight="1" x14ac:dyDescent="0.25">
      <c r="A1458">
        <v>0</v>
      </c>
      <c r="B1458">
        <v>6.039569154381752E-2</v>
      </c>
    </row>
    <row r="1459" spans="1:2" ht="15" customHeight="1" x14ac:dyDescent="0.25">
      <c r="A1459">
        <v>0</v>
      </c>
      <c r="B1459">
        <v>6.5160766243934631E-2</v>
      </c>
    </row>
    <row r="1460" spans="1:2" ht="15" customHeight="1" x14ac:dyDescent="0.25">
      <c r="A1460">
        <v>0</v>
      </c>
      <c r="B1460">
        <v>6.9925650954246521E-2</v>
      </c>
    </row>
    <row r="1461" spans="1:2" ht="15" customHeight="1" x14ac:dyDescent="0.25">
      <c r="A1461">
        <v>0</v>
      </c>
      <c r="B1461">
        <v>5.5627290159463882E-2</v>
      </c>
    </row>
    <row r="1462" spans="1:2" ht="15" customHeight="1" x14ac:dyDescent="0.25">
      <c r="A1462">
        <v>0</v>
      </c>
      <c r="B1462">
        <v>5.2060395479202271E-2</v>
      </c>
    </row>
    <row r="1463" spans="1:2" ht="15" customHeight="1" x14ac:dyDescent="0.25">
      <c r="A1463">
        <v>0</v>
      </c>
      <c r="B1463">
        <v>5.0860371440649033E-2</v>
      </c>
    </row>
    <row r="1464" spans="1:2" ht="15" customHeight="1" x14ac:dyDescent="0.25">
      <c r="A1464">
        <v>0</v>
      </c>
      <c r="B1464">
        <v>5.3954858332872391E-2</v>
      </c>
    </row>
    <row r="1465" spans="1:2" ht="15" customHeight="1" x14ac:dyDescent="0.25">
      <c r="A1465">
        <v>0</v>
      </c>
      <c r="B1465">
        <v>5.730476975440979E-2</v>
      </c>
    </row>
    <row r="1466" spans="1:2" ht="15" customHeight="1" x14ac:dyDescent="0.25">
      <c r="A1466">
        <v>0</v>
      </c>
      <c r="B1466">
        <v>5.562969297170639E-2</v>
      </c>
    </row>
    <row r="1467" spans="1:2" ht="15" customHeight="1" x14ac:dyDescent="0.25">
      <c r="A1467">
        <v>0</v>
      </c>
      <c r="B1467">
        <v>4.3944492936134338E-2</v>
      </c>
    </row>
    <row r="1468" spans="1:2" ht="15" customHeight="1" x14ac:dyDescent="0.25">
      <c r="A1468">
        <v>0</v>
      </c>
      <c r="B1468">
        <v>6.0395698994398117E-2</v>
      </c>
    </row>
    <row r="1469" spans="1:2" ht="15" customHeight="1" x14ac:dyDescent="0.25">
      <c r="A1469">
        <v>0</v>
      </c>
      <c r="B1469">
        <v>5.7835232466459274E-2</v>
      </c>
    </row>
    <row r="1470" spans="1:2" ht="15" customHeight="1" x14ac:dyDescent="0.25">
      <c r="A1470">
        <v>0</v>
      </c>
      <c r="B1470">
        <v>5.843299999833107E-2</v>
      </c>
    </row>
    <row r="1471" spans="1:2" ht="15" customHeight="1" x14ac:dyDescent="0.25">
      <c r="A1471">
        <v>0</v>
      </c>
      <c r="B1471">
        <v>4.871261864900589E-2</v>
      </c>
    </row>
    <row r="1472" spans="1:2" ht="15" customHeight="1" x14ac:dyDescent="0.25">
      <c r="A1472">
        <v>0</v>
      </c>
      <c r="B1472">
        <v>6.0394708067178726E-2</v>
      </c>
    </row>
    <row r="1473" spans="1:2" ht="15" customHeight="1" x14ac:dyDescent="0.25">
      <c r="A1473">
        <v>0</v>
      </c>
      <c r="B1473">
        <v>6.2547333538532257E-2</v>
      </c>
    </row>
    <row r="1474" spans="1:2" ht="15" customHeight="1" x14ac:dyDescent="0.25">
      <c r="A1474">
        <v>0</v>
      </c>
      <c r="B1474">
        <v>5.0860818475484848E-2</v>
      </c>
    </row>
    <row r="1475" spans="1:2" ht="15" customHeight="1" x14ac:dyDescent="0.25">
      <c r="A1475">
        <v>0</v>
      </c>
      <c r="B1475">
        <v>5.0862178206443787E-2</v>
      </c>
    </row>
    <row r="1476" spans="1:2" ht="15" customHeight="1" x14ac:dyDescent="0.25">
      <c r="A1476">
        <v>0</v>
      </c>
      <c r="B1476">
        <v>4.6094886958599091E-2</v>
      </c>
    </row>
    <row r="1477" spans="1:2" ht="15" customHeight="1" x14ac:dyDescent="0.25">
      <c r="A1477">
        <v>0</v>
      </c>
      <c r="B1477">
        <v>4.6095125377178192E-2</v>
      </c>
    </row>
    <row r="1478" spans="1:2" ht="15" customHeight="1" x14ac:dyDescent="0.25">
      <c r="A1478">
        <v>0</v>
      </c>
      <c r="B1478">
        <v>5.5629972368478775E-2</v>
      </c>
    </row>
    <row r="1479" spans="1:2" ht="15" customHeight="1" x14ac:dyDescent="0.25">
      <c r="A1479">
        <v>0</v>
      </c>
      <c r="B1479">
        <v>5.0859455019235611E-2</v>
      </c>
    </row>
    <row r="1480" spans="1:2" ht="15" customHeight="1" x14ac:dyDescent="0.25">
      <c r="A1480">
        <v>0</v>
      </c>
      <c r="B1480">
        <v>5.3475573658943176E-2</v>
      </c>
    </row>
    <row r="1481" spans="1:2" ht="15" customHeight="1" x14ac:dyDescent="0.25">
      <c r="A1481">
        <v>0</v>
      </c>
      <c r="B1481">
        <v>5.3014528006315231E-2</v>
      </c>
    </row>
    <row r="1482" spans="1:2" ht="15" customHeight="1" x14ac:dyDescent="0.25">
      <c r="A1482">
        <v>0</v>
      </c>
      <c r="B1482">
        <v>5.3476560860872269E-2</v>
      </c>
    </row>
    <row r="1483" spans="1:2" ht="15" customHeight="1" x14ac:dyDescent="0.25">
      <c r="A1483">
        <v>0</v>
      </c>
      <c r="B1483">
        <v>5.3012989461421967E-2</v>
      </c>
    </row>
    <row r="1484" spans="1:2" ht="15" customHeight="1" x14ac:dyDescent="0.25">
      <c r="A1484">
        <v>0</v>
      </c>
      <c r="B1484">
        <v>5.5627372115850449E-2</v>
      </c>
    </row>
    <row r="1485" spans="1:2" ht="15" customHeight="1" x14ac:dyDescent="0.25">
      <c r="A1485">
        <v>0</v>
      </c>
      <c r="B1485">
        <v>6.0392811894416809E-2</v>
      </c>
    </row>
    <row r="1486" spans="1:2" ht="15" customHeight="1" x14ac:dyDescent="0.25">
      <c r="A1486">
        <v>0</v>
      </c>
      <c r="B1486">
        <v>5.347888171672821E-2</v>
      </c>
    </row>
    <row r="1487" spans="1:2" ht="15" customHeight="1" x14ac:dyDescent="0.25">
      <c r="A1487">
        <v>0</v>
      </c>
      <c r="B1487">
        <v>5.7778913527727127E-2</v>
      </c>
    </row>
    <row r="1488" spans="1:2" ht="15" customHeight="1" x14ac:dyDescent="0.25">
      <c r="A1488">
        <v>0</v>
      </c>
      <c r="B1488">
        <v>5.3476408123970032E-2</v>
      </c>
    </row>
    <row r="1489" spans="1:2" ht="15" customHeight="1" x14ac:dyDescent="0.25">
      <c r="A1489">
        <v>0</v>
      </c>
      <c r="B1489">
        <v>5.5630818009376526E-2</v>
      </c>
    </row>
    <row r="1490" spans="1:2" ht="15" customHeight="1" x14ac:dyDescent="0.25">
      <c r="A1490">
        <v>0</v>
      </c>
      <c r="B1490">
        <v>5.562945082783699E-2</v>
      </c>
    </row>
    <row r="1491" spans="1:2" ht="15" customHeight="1" x14ac:dyDescent="0.25">
      <c r="A1491">
        <v>0</v>
      </c>
      <c r="B1491">
        <v>4.3481763452291489E-2</v>
      </c>
    </row>
    <row r="1492" spans="1:2" ht="15" customHeight="1" x14ac:dyDescent="0.25">
      <c r="A1492">
        <v>0</v>
      </c>
      <c r="B1492">
        <v>5.0862677395343781E-2</v>
      </c>
    </row>
    <row r="1493" spans="1:2" ht="15" customHeight="1" x14ac:dyDescent="0.25">
      <c r="A1493">
        <v>0</v>
      </c>
      <c r="B1493">
        <v>5.8247391134500504E-2</v>
      </c>
    </row>
    <row r="1494" spans="1:2" ht="15" customHeight="1" x14ac:dyDescent="0.25">
      <c r="A1494">
        <v>0</v>
      </c>
      <c r="B1494">
        <v>5.5626619607210159E-2</v>
      </c>
    </row>
    <row r="1495" spans="1:2" ht="15" customHeight="1" x14ac:dyDescent="0.25">
      <c r="A1495">
        <v>0</v>
      </c>
      <c r="B1495">
        <v>5.5628590285778046E-2</v>
      </c>
    </row>
    <row r="1496" spans="1:2" ht="15" customHeight="1" x14ac:dyDescent="0.25">
      <c r="A1496">
        <v>0</v>
      </c>
      <c r="B1496">
        <v>5.0861045718193054E-2</v>
      </c>
    </row>
    <row r="1497" spans="1:2" ht="15" customHeight="1" x14ac:dyDescent="0.25">
      <c r="A1497">
        <v>0</v>
      </c>
      <c r="B1497">
        <v>6.0392975807189941E-2</v>
      </c>
    </row>
    <row r="1498" spans="1:2" ht="15" customHeight="1" x14ac:dyDescent="0.25">
      <c r="A1498">
        <v>0</v>
      </c>
      <c r="B1498">
        <v>5.5628344416618347E-2</v>
      </c>
    </row>
    <row r="1499" spans="1:2" ht="15" customHeight="1" x14ac:dyDescent="0.25">
      <c r="A1499">
        <v>0</v>
      </c>
      <c r="B1499">
        <v>5.5151700973510742E-2</v>
      </c>
    </row>
    <row r="1500" spans="1:2" ht="15" customHeight="1" x14ac:dyDescent="0.25">
      <c r="A1500">
        <v>0</v>
      </c>
      <c r="B1500">
        <v>6.2544964253902435E-2</v>
      </c>
    </row>
    <row r="1501" spans="1:2" ht="15" customHeight="1" x14ac:dyDescent="0.25">
      <c r="A1501">
        <v>0</v>
      </c>
      <c r="B1501">
        <v>6.2532477080821991E-2</v>
      </c>
    </row>
    <row r="1502" spans="1:2" ht="15" customHeight="1" x14ac:dyDescent="0.25">
      <c r="A1502">
        <v>0</v>
      </c>
      <c r="B1502">
        <v>5.8255936950445175E-2</v>
      </c>
    </row>
    <row r="1503" spans="1:2" ht="15" customHeight="1" x14ac:dyDescent="0.25">
      <c r="A1503">
        <v>0</v>
      </c>
      <c r="B1503">
        <v>5.0861991941928864E-2</v>
      </c>
    </row>
    <row r="1504" spans="1:2" ht="15" customHeight="1" x14ac:dyDescent="0.25">
      <c r="A1504">
        <v>0</v>
      </c>
      <c r="B1504">
        <v>5.3004197776317596E-2</v>
      </c>
    </row>
    <row r="1505" spans="1:2" ht="15" customHeight="1" x14ac:dyDescent="0.25">
      <c r="A1505">
        <v>0</v>
      </c>
      <c r="B1505">
        <v>6.0393594205379486E-2</v>
      </c>
    </row>
    <row r="1506" spans="1:2" ht="15" customHeight="1" x14ac:dyDescent="0.25">
      <c r="A1506">
        <v>0</v>
      </c>
      <c r="B1506">
        <v>6.0393594205379486E-2</v>
      </c>
    </row>
    <row r="1507" spans="1:2" ht="15" customHeight="1" x14ac:dyDescent="0.25">
      <c r="A1507">
        <v>0</v>
      </c>
      <c r="B1507">
        <v>5.8256041258573532E-2</v>
      </c>
    </row>
    <row r="1508" spans="1:2" ht="15" customHeight="1" x14ac:dyDescent="0.25">
      <c r="A1508">
        <v>0</v>
      </c>
      <c r="B1508">
        <v>5.562848225235939E-2</v>
      </c>
    </row>
    <row r="1509" spans="1:2" ht="15" customHeight="1" x14ac:dyDescent="0.25">
      <c r="A1509">
        <v>0</v>
      </c>
      <c r="B1509">
        <v>5.5629786103963852E-2</v>
      </c>
    </row>
    <row r="1510" spans="1:2" ht="15" customHeight="1" x14ac:dyDescent="0.25">
      <c r="A1510">
        <v>0</v>
      </c>
      <c r="B1510">
        <v>5.3001336753368378E-2</v>
      </c>
    </row>
    <row r="1511" spans="1:2" ht="15" customHeight="1" x14ac:dyDescent="0.25">
      <c r="A1511">
        <v>0</v>
      </c>
      <c r="B1511">
        <v>5.562853068113327E-2</v>
      </c>
    </row>
    <row r="1512" spans="1:2" ht="15" customHeight="1" x14ac:dyDescent="0.25">
      <c r="A1512">
        <v>0</v>
      </c>
      <c r="B1512">
        <v>5.3495623171329498E-2</v>
      </c>
    </row>
    <row r="1513" spans="1:2" ht="15" customHeight="1" x14ac:dyDescent="0.25">
      <c r="A1513">
        <v>0</v>
      </c>
      <c r="B1513">
        <v>4.8232309520244598E-2</v>
      </c>
    </row>
    <row r="1514" spans="1:2" ht="15" customHeight="1" x14ac:dyDescent="0.25">
      <c r="A1514">
        <v>0</v>
      </c>
      <c r="B1514">
        <v>5.8254346251487732E-2</v>
      </c>
    </row>
    <row r="1515" spans="1:2" ht="15" customHeight="1" x14ac:dyDescent="0.25">
      <c r="A1515">
        <v>0</v>
      </c>
      <c r="B1515">
        <v>5.5627018213272095E-2</v>
      </c>
    </row>
    <row r="1516" spans="1:2" ht="15" customHeight="1" x14ac:dyDescent="0.25">
      <c r="A1516">
        <v>0</v>
      </c>
      <c r="B1516">
        <v>4.6097982674837112E-2</v>
      </c>
    </row>
    <row r="1517" spans="1:2" ht="15" customHeight="1" x14ac:dyDescent="0.25">
      <c r="A1517">
        <v>0</v>
      </c>
      <c r="B1517">
        <v>6.0392268002033234E-2</v>
      </c>
    </row>
    <row r="1518" spans="1:2" ht="15" customHeight="1" x14ac:dyDescent="0.25">
      <c r="A1518">
        <v>0</v>
      </c>
      <c r="B1518">
        <v>6.7302130162715912E-2</v>
      </c>
    </row>
    <row r="1519" spans="1:2" ht="15" customHeight="1" x14ac:dyDescent="0.25">
      <c r="A1519">
        <v>0</v>
      </c>
      <c r="B1519">
        <v>6.0393225401639938E-2</v>
      </c>
    </row>
    <row r="1520" spans="1:2" ht="15" customHeight="1" x14ac:dyDescent="0.25">
      <c r="A1520">
        <v>0</v>
      </c>
      <c r="B1520">
        <v>5.3491394966840744E-2</v>
      </c>
    </row>
    <row r="1521" spans="1:2" ht="15" customHeight="1" x14ac:dyDescent="0.25">
      <c r="A1521">
        <v>0</v>
      </c>
      <c r="B1521">
        <v>6.7299656569957733E-2</v>
      </c>
    </row>
    <row r="1522" spans="1:2" ht="15" customHeight="1" x14ac:dyDescent="0.25">
      <c r="A1522">
        <v>0</v>
      </c>
      <c r="B1522">
        <v>5.5626504123210907E-2</v>
      </c>
    </row>
    <row r="1523" spans="1:2" ht="15" customHeight="1" x14ac:dyDescent="0.25">
      <c r="A1523">
        <v>0</v>
      </c>
      <c r="B1523">
        <v>6.0395512729883194E-2</v>
      </c>
    </row>
    <row r="1524" spans="1:2" ht="15" customHeight="1" x14ac:dyDescent="0.25">
      <c r="A1524">
        <v>0</v>
      </c>
      <c r="B1524">
        <v>6.5158799290657043E-2</v>
      </c>
    </row>
    <row r="1525" spans="1:2" ht="15" customHeight="1" x14ac:dyDescent="0.25">
      <c r="A1525">
        <v>0</v>
      </c>
      <c r="B1525">
        <v>5.8257225900888443E-2</v>
      </c>
    </row>
    <row r="1526" spans="1:2" ht="15" customHeight="1" x14ac:dyDescent="0.25">
      <c r="A1526">
        <v>0</v>
      </c>
      <c r="B1526">
        <v>5.0862014293670654E-2</v>
      </c>
    </row>
    <row r="1527" spans="1:2" ht="15" customHeight="1" x14ac:dyDescent="0.25">
      <c r="A1527">
        <v>0</v>
      </c>
      <c r="B1527">
        <v>5.0862368196249008E-2</v>
      </c>
    </row>
    <row r="1528" spans="1:2" ht="15" customHeight="1" x14ac:dyDescent="0.25">
      <c r="A1528">
        <v>0</v>
      </c>
      <c r="B1528">
        <v>4.8237025737762451E-2</v>
      </c>
    </row>
    <row r="1529" spans="1:2" ht="15" customHeight="1" x14ac:dyDescent="0.25">
      <c r="A1529">
        <v>0</v>
      </c>
      <c r="B1529">
        <v>5.5626913905143738E-2</v>
      </c>
    </row>
    <row r="1530" spans="1:2" ht="15" customHeight="1" x14ac:dyDescent="0.25">
      <c r="A1530">
        <v>0</v>
      </c>
      <c r="B1530">
        <v>6.0390681028366089E-2</v>
      </c>
    </row>
    <row r="1531" spans="1:2" ht="15" customHeight="1" x14ac:dyDescent="0.25">
      <c r="A1531">
        <v>0</v>
      </c>
      <c r="B1531">
        <v>6.7787706851959229E-2</v>
      </c>
    </row>
    <row r="1532" spans="1:2" ht="15" customHeight="1" x14ac:dyDescent="0.25">
      <c r="A1532">
        <v>0</v>
      </c>
      <c r="B1532">
        <v>6.2533728778362274E-2</v>
      </c>
    </row>
    <row r="1533" spans="1:2" ht="15" customHeight="1" x14ac:dyDescent="0.25">
      <c r="A1533">
        <v>0</v>
      </c>
      <c r="B1533">
        <v>5.5628720670938492E-2</v>
      </c>
    </row>
    <row r="1534" spans="1:2" ht="15" customHeight="1" x14ac:dyDescent="0.25">
      <c r="A1534">
        <v>0</v>
      </c>
      <c r="B1534">
        <v>6.0394648462533951E-2</v>
      </c>
    </row>
    <row r="1535" spans="1:2" ht="15" customHeight="1" x14ac:dyDescent="0.25">
      <c r="A1535">
        <v>0</v>
      </c>
      <c r="B1535">
        <v>6.3021287322044373E-2</v>
      </c>
    </row>
    <row r="1536" spans="1:2" ht="15" customHeight="1" x14ac:dyDescent="0.25">
      <c r="A1536">
        <v>0</v>
      </c>
      <c r="B1536">
        <v>6.25324547290802E-2</v>
      </c>
    </row>
    <row r="1537" spans="1:2" ht="15" customHeight="1" x14ac:dyDescent="0.25">
      <c r="A1537">
        <v>0</v>
      </c>
      <c r="B1537">
        <v>7.2557829320430756E-2</v>
      </c>
    </row>
    <row r="1538" spans="1:2" ht="15" customHeight="1" x14ac:dyDescent="0.25">
      <c r="A1538">
        <v>0</v>
      </c>
      <c r="B1538">
        <v>4.6096056699752808E-2</v>
      </c>
    </row>
    <row r="1539" spans="1:2" ht="15" customHeight="1" x14ac:dyDescent="0.25">
      <c r="A1539">
        <v>0</v>
      </c>
      <c r="B1539">
        <v>4.1329942643642426E-2</v>
      </c>
    </row>
    <row r="1540" spans="1:2" ht="15" customHeight="1" x14ac:dyDescent="0.25">
      <c r="A1540">
        <v>0</v>
      </c>
      <c r="B1540">
        <v>4.6095028519630432E-2</v>
      </c>
    </row>
    <row r="1541" spans="1:2" ht="15" customHeight="1" x14ac:dyDescent="0.25">
      <c r="A1541">
        <v>0</v>
      </c>
      <c r="B1541">
        <v>5.5628303438425064E-2</v>
      </c>
    </row>
    <row r="1542" spans="1:2" ht="15" customHeight="1" x14ac:dyDescent="0.25">
      <c r="A1542">
        <v>0</v>
      </c>
      <c r="B1542">
        <v>5.5628549307584763E-2</v>
      </c>
    </row>
    <row r="1543" spans="1:2" ht="15" customHeight="1" x14ac:dyDescent="0.25">
      <c r="A1543">
        <v>0</v>
      </c>
      <c r="B1543">
        <v>5.9918515384197235E-2</v>
      </c>
    </row>
    <row r="1544" spans="1:2" ht="15" customHeight="1" x14ac:dyDescent="0.25">
      <c r="A1544">
        <v>0</v>
      </c>
      <c r="B1544">
        <v>5.300208181142807E-2</v>
      </c>
    </row>
    <row r="1545" spans="1:2" ht="15" customHeight="1" x14ac:dyDescent="0.25">
      <c r="A1545">
        <v>0</v>
      </c>
      <c r="B1545">
        <v>6.3497103750705719E-2</v>
      </c>
    </row>
    <row r="1546" spans="1:2" ht="15" customHeight="1" x14ac:dyDescent="0.25">
      <c r="A1546">
        <v>0</v>
      </c>
      <c r="B1546">
        <v>5.8951493352651596E-2</v>
      </c>
    </row>
    <row r="1547" spans="1:2" ht="15" customHeight="1" x14ac:dyDescent="0.25">
      <c r="A1547">
        <v>0</v>
      </c>
      <c r="B1547">
        <v>5.7072531431913376E-2</v>
      </c>
    </row>
    <row r="1548" spans="1:2" ht="15" customHeight="1" x14ac:dyDescent="0.25">
      <c r="A1548">
        <v>0</v>
      </c>
      <c r="B1548">
        <v>5.4187815636396408E-2</v>
      </c>
    </row>
    <row r="1549" spans="1:2" ht="15" customHeight="1" x14ac:dyDescent="0.25">
      <c r="A1549">
        <v>0</v>
      </c>
      <c r="B1549">
        <v>5.230410024523735E-2</v>
      </c>
    </row>
    <row r="1550" spans="1:2" ht="15" customHeight="1" x14ac:dyDescent="0.25">
      <c r="A1550">
        <v>0</v>
      </c>
      <c r="B1550">
        <v>4.6097174286842346E-2</v>
      </c>
    </row>
    <row r="1551" spans="1:2" ht="15" customHeight="1" x14ac:dyDescent="0.25">
      <c r="A1551">
        <v>0</v>
      </c>
      <c r="B1551">
        <v>5.08621446788311E-2</v>
      </c>
    </row>
    <row r="1552" spans="1:2" ht="15" customHeight="1" x14ac:dyDescent="0.25">
      <c r="A1552">
        <v>0</v>
      </c>
      <c r="B1552">
        <v>6.2058534473180771E-2</v>
      </c>
    </row>
    <row r="1553" spans="1:2" ht="15" customHeight="1" x14ac:dyDescent="0.25">
      <c r="A1553">
        <v>0</v>
      </c>
      <c r="B1553">
        <v>5.8730386197566986E-2</v>
      </c>
    </row>
    <row r="1554" spans="1:2" ht="15" customHeight="1" x14ac:dyDescent="0.25">
      <c r="A1554">
        <v>0</v>
      </c>
      <c r="B1554">
        <v>5.5634520947933197E-2</v>
      </c>
    </row>
    <row r="1555" spans="1:2" ht="15" customHeight="1" x14ac:dyDescent="0.25">
      <c r="A1555">
        <v>0</v>
      </c>
      <c r="B1555">
        <v>4.1329942643642426E-2</v>
      </c>
    </row>
    <row r="1556" spans="1:2" ht="15" customHeight="1" x14ac:dyDescent="0.25">
      <c r="A1556">
        <v>0</v>
      </c>
      <c r="B1556">
        <v>5.7291459292173386E-2</v>
      </c>
    </row>
    <row r="1557" spans="1:2" ht="15" customHeight="1" x14ac:dyDescent="0.25">
      <c r="A1557">
        <v>0</v>
      </c>
      <c r="B1557">
        <v>4.919886589050293E-2</v>
      </c>
    </row>
    <row r="1558" spans="1:2" ht="15" customHeight="1" x14ac:dyDescent="0.25">
      <c r="A1558">
        <v>0</v>
      </c>
      <c r="B1558">
        <v>6.2056101858615875E-2</v>
      </c>
    </row>
    <row r="1559" spans="1:2" ht="15" customHeight="1" x14ac:dyDescent="0.25">
      <c r="A1559">
        <v>0</v>
      </c>
      <c r="B1559">
        <v>5.8733671903610229E-2</v>
      </c>
    </row>
    <row r="1560" spans="1:2" ht="15" customHeight="1" x14ac:dyDescent="0.25">
      <c r="A1560">
        <v>0</v>
      </c>
      <c r="B1560">
        <v>5.7291209697723389E-2</v>
      </c>
    </row>
    <row r="1561" spans="1:2" ht="15" customHeight="1" x14ac:dyDescent="0.25">
      <c r="A1561">
        <v>0</v>
      </c>
      <c r="B1561">
        <v>5.8733720332384109E-2</v>
      </c>
    </row>
    <row r="1562" spans="1:2" ht="15" customHeight="1" x14ac:dyDescent="0.25">
      <c r="A1562">
        <v>0</v>
      </c>
      <c r="B1562">
        <v>5.0864651799201965E-2</v>
      </c>
    </row>
    <row r="1563" spans="1:2" ht="15" customHeight="1" x14ac:dyDescent="0.25">
      <c r="A1563">
        <v>0</v>
      </c>
      <c r="B1563">
        <v>4.609457403421402E-2</v>
      </c>
    </row>
    <row r="1564" spans="1:2" ht="15" customHeight="1" x14ac:dyDescent="0.25">
      <c r="A1564">
        <v>0</v>
      </c>
      <c r="B1564">
        <v>5.2524685859680176E-2</v>
      </c>
    </row>
    <row r="1565" spans="1:2" ht="15" customHeight="1" x14ac:dyDescent="0.25">
      <c r="A1565">
        <v>0</v>
      </c>
      <c r="B1565">
        <v>5.5630575865507126E-2</v>
      </c>
    </row>
    <row r="1566" spans="1:2" ht="15" customHeight="1" x14ac:dyDescent="0.25">
      <c r="A1566">
        <v>0</v>
      </c>
      <c r="B1566">
        <v>5.8731436729431152E-2</v>
      </c>
    </row>
    <row r="1567" spans="1:2" ht="15" customHeight="1" x14ac:dyDescent="0.25">
      <c r="A1567">
        <v>0</v>
      </c>
      <c r="B1567">
        <v>5.7292498648166656E-2</v>
      </c>
    </row>
    <row r="1568" spans="1:2" ht="15" customHeight="1" x14ac:dyDescent="0.25">
      <c r="A1568">
        <v>0</v>
      </c>
      <c r="B1568">
        <v>5.396512895822525E-2</v>
      </c>
    </row>
    <row r="1569" spans="1:2" ht="15" customHeight="1" x14ac:dyDescent="0.25">
      <c r="A1569">
        <v>0</v>
      </c>
      <c r="B1569">
        <v>5.0861872732639313E-2</v>
      </c>
    </row>
    <row r="1570" spans="1:2" ht="15" customHeight="1" x14ac:dyDescent="0.25">
      <c r="A1570">
        <v>0</v>
      </c>
      <c r="B1570">
        <v>5.6581892073154449E-2</v>
      </c>
    </row>
    <row r="1571" spans="1:2" ht="15" customHeight="1" x14ac:dyDescent="0.25">
      <c r="A1571">
        <v>0</v>
      </c>
      <c r="B1571">
        <v>5.5628765374422073E-2</v>
      </c>
    </row>
    <row r="1572" spans="1:2" ht="15" customHeight="1" x14ac:dyDescent="0.25">
      <c r="A1572">
        <v>0</v>
      </c>
      <c r="B1572">
        <v>4.1329942643642426E-2</v>
      </c>
    </row>
    <row r="1573" spans="1:2" ht="15" customHeight="1" x14ac:dyDescent="0.25">
      <c r="A1573">
        <v>0</v>
      </c>
      <c r="B1573">
        <v>4.7279924154281616E-2</v>
      </c>
    </row>
    <row r="1574" spans="1:2" ht="15" customHeight="1" x14ac:dyDescent="0.25">
      <c r="A1574">
        <v>0</v>
      </c>
      <c r="B1574">
        <v>5.9211045503616333E-2</v>
      </c>
    </row>
    <row r="1575" spans="1:2" ht="15" customHeight="1" x14ac:dyDescent="0.25">
      <c r="A1575">
        <v>0</v>
      </c>
      <c r="B1575">
        <v>5.5626377463340759E-2</v>
      </c>
    </row>
    <row r="1576" spans="1:2" ht="15" customHeight="1" x14ac:dyDescent="0.25">
      <c r="A1576">
        <v>0</v>
      </c>
      <c r="B1576">
        <v>5.2047684788703918E-2</v>
      </c>
    </row>
    <row r="1577" spans="1:2" ht="15" customHeight="1" x14ac:dyDescent="0.25">
      <c r="A1577">
        <v>0</v>
      </c>
      <c r="B1577">
        <v>5.4441981017589569E-2</v>
      </c>
    </row>
    <row r="1578" spans="1:2" ht="15" customHeight="1" x14ac:dyDescent="0.25">
      <c r="A1578">
        <v>0</v>
      </c>
      <c r="B1578">
        <v>6.5162107348442078E-2</v>
      </c>
    </row>
    <row r="1579" spans="1:2" ht="15" customHeight="1" x14ac:dyDescent="0.25">
      <c r="A1579">
        <v>0</v>
      </c>
      <c r="B1579">
        <v>5.0860818475484848E-2</v>
      </c>
    </row>
    <row r="1580" spans="1:2" ht="15" customHeight="1" x14ac:dyDescent="0.25">
      <c r="A1580">
        <v>0</v>
      </c>
      <c r="B1580">
        <v>6.5162479877471924E-2</v>
      </c>
    </row>
    <row r="1581" spans="1:2" ht="15" customHeight="1" x14ac:dyDescent="0.25">
      <c r="A1581">
        <v>0</v>
      </c>
      <c r="B1581">
        <v>5.5628728121519089E-2</v>
      </c>
    </row>
    <row r="1582" spans="1:2" ht="15" customHeight="1" x14ac:dyDescent="0.25">
      <c r="A1582">
        <v>0</v>
      </c>
      <c r="B1582">
        <v>6.1579674482345581E-2</v>
      </c>
    </row>
    <row r="1583" spans="1:2" ht="15" customHeight="1" x14ac:dyDescent="0.25">
      <c r="A1583">
        <v>0</v>
      </c>
      <c r="B1583">
        <v>4.4910561293363571E-2</v>
      </c>
    </row>
    <row r="1584" spans="1:2" ht="15" customHeight="1" x14ac:dyDescent="0.25">
      <c r="A1584">
        <v>0</v>
      </c>
      <c r="B1584">
        <v>6.5160974860191345E-2</v>
      </c>
    </row>
    <row r="1585" spans="1:2" ht="15" customHeight="1" x14ac:dyDescent="0.25">
      <c r="A1585">
        <v>0</v>
      </c>
      <c r="B1585">
        <v>5.5628187954425812E-2</v>
      </c>
    </row>
    <row r="1586" spans="1:2" ht="15" customHeight="1" x14ac:dyDescent="0.25">
      <c r="A1586">
        <v>0</v>
      </c>
      <c r="B1586">
        <v>5.2047803997993469E-2</v>
      </c>
    </row>
    <row r="1587" spans="1:2" ht="15" customHeight="1" x14ac:dyDescent="0.25">
      <c r="A1587">
        <v>0</v>
      </c>
      <c r="B1587">
        <v>5.873088538646698E-2</v>
      </c>
    </row>
    <row r="1588" spans="1:2" ht="15" customHeight="1" x14ac:dyDescent="0.25">
      <c r="A1588">
        <v>0</v>
      </c>
      <c r="B1588">
        <v>4.632941260933876E-2</v>
      </c>
    </row>
    <row r="1589" spans="1:2" ht="15" customHeight="1" x14ac:dyDescent="0.25">
      <c r="A1589">
        <v>0</v>
      </c>
      <c r="B1589">
        <v>6.5160080790519714E-2</v>
      </c>
    </row>
    <row r="1590" spans="1:2" ht="15" customHeight="1" x14ac:dyDescent="0.25">
      <c r="A1590">
        <v>0</v>
      </c>
      <c r="B1590">
        <v>6.4451500773429871E-2</v>
      </c>
    </row>
    <row r="1591" spans="1:2" ht="15" customHeight="1" x14ac:dyDescent="0.25">
      <c r="A1591">
        <v>0</v>
      </c>
      <c r="B1591">
        <v>5.0861936062574387E-2</v>
      </c>
    </row>
    <row r="1592" spans="1:2" ht="15" customHeight="1" x14ac:dyDescent="0.25">
      <c r="A1592">
        <v>0</v>
      </c>
      <c r="B1592">
        <v>5.1572971045970917E-2</v>
      </c>
    </row>
    <row r="1593" spans="1:2" ht="15" customHeight="1" x14ac:dyDescent="0.25">
      <c r="A1593">
        <v>0</v>
      </c>
      <c r="B1593">
        <v>5.969015508890152E-2</v>
      </c>
    </row>
    <row r="1594" spans="1:2" ht="15" customHeight="1" x14ac:dyDescent="0.25">
      <c r="A1594">
        <v>0</v>
      </c>
      <c r="B1594">
        <v>4.6097613871097565E-2</v>
      </c>
    </row>
    <row r="1595" spans="1:2" ht="15" customHeight="1" x14ac:dyDescent="0.25">
      <c r="A1595">
        <v>0</v>
      </c>
      <c r="B1595">
        <v>4.6097490936517715E-2</v>
      </c>
    </row>
    <row r="1596" spans="1:2" ht="15" customHeight="1" x14ac:dyDescent="0.25">
      <c r="A1596">
        <v>0</v>
      </c>
      <c r="B1596">
        <v>5.1569670438766479E-2</v>
      </c>
    </row>
    <row r="1597" spans="1:2" ht="15" customHeight="1" x14ac:dyDescent="0.25">
      <c r="A1597">
        <v>0</v>
      </c>
      <c r="B1597">
        <v>7.4695952236652374E-2</v>
      </c>
    </row>
    <row r="1598" spans="1:2" ht="15" customHeight="1" x14ac:dyDescent="0.25">
      <c r="A1598">
        <v>0</v>
      </c>
      <c r="B1598">
        <v>5.9690419584512711E-2</v>
      </c>
    </row>
    <row r="1599" spans="1:2" ht="15" customHeight="1" x14ac:dyDescent="0.25">
      <c r="A1599">
        <v>0</v>
      </c>
      <c r="B1599">
        <v>5.086199939250946E-2</v>
      </c>
    </row>
    <row r="1600" spans="1:2" ht="15" customHeight="1" x14ac:dyDescent="0.25">
      <c r="A1600">
        <v>0</v>
      </c>
      <c r="B1600">
        <v>6.5162405371665955E-2</v>
      </c>
    </row>
    <row r="1601" spans="1:2" ht="15" customHeight="1" x14ac:dyDescent="0.25">
      <c r="A1601">
        <v>0</v>
      </c>
      <c r="B1601">
        <v>5.1572810858488083E-2</v>
      </c>
    </row>
    <row r="1602" spans="1:2" ht="15" customHeight="1" x14ac:dyDescent="0.25">
      <c r="A1602">
        <v>0</v>
      </c>
      <c r="B1602">
        <v>5.086265504360199E-2</v>
      </c>
    </row>
    <row r="1603" spans="1:2" ht="15" customHeight="1" x14ac:dyDescent="0.25">
      <c r="A1603">
        <v>0</v>
      </c>
      <c r="B1603">
        <v>6.5158151090145111E-2</v>
      </c>
    </row>
    <row r="1604" spans="1:2" ht="15" customHeight="1" x14ac:dyDescent="0.25">
      <c r="A1604">
        <v>0</v>
      </c>
      <c r="B1604">
        <v>6.51589035987854E-2</v>
      </c>
    </row>
    <row r="1605" spans="1:2" ht="15" customHeight="1" x14ac:dyDescent="0.25">
      <c r="A1605">
        <v>0</v>
      </c>
      <c r="B1605">
        <v>5.4918814450502396E-2</v>
      </c>
    </row>
    <row r="1606" spans="1:2" ht="15" customHeight="1" x14ac:dyDescent="0.25">
      <c r="A1606">
        <v>0</v>
      </c>
      <c r="B1606">
        <v>4.6096619218587875E-2</v>
      </c>
    </row>
    <row r="1607" spans="1:2" ht="15" customHeight="1" x14ac:dyDescent="0.25">
      <c r="A1607">
        <v>0</v>
      </c>
      <c r="B1607">
        <v>5.0867725163698196E-2</v>
      </c>
    </row>
    <row r="1608" spans="1:2" ht="15" customHeight="1" x14ac:dyDescent="0.25">
      <c r="A1608">
        <v>0</v>
      </c>
      <c r="B1608">
        <v>5.1571223884820938E-2</v>
      </c>
    </row>
    <row r="1609" spans="1:2" ht="15" customHeight="1" x14ac:dyDescent="0.25">
      <c r="A1609">
        <v>0</v>
      </c>
      <c r="B1609">
        <v>5.5627599358558655E-2</v>
      </c>
    </row>
    <row r="1610" spans="1:2" ht="15" customHeight="1" x14ac:dyDescent="0.25">
      <c r="A1610">
        <v>0</v>
      </c>
      <c r="B1610">
        <v>5.5627722293138504E-2</v>
      </c>
    </row>
    <row r="1611" spans="1:2" ht="15" customHeight="1" x14ac:dyDescent="0.25">
      <c r="A1611">
        <v>0</v>
      </c>
      <c r="B1611">
        <v>5.4918084293603897E-2</v>
      </c>
    </row>
    <row r="1612" spans="1:2" ht="15" customHeight="1" x14ac:dyDescent="0.25">
      <c r="A1612">
        <v>0</v>
      </c>
      <c r="B1612">
        <v>5.0863634794950485E-2</v>
      </c>
    </row>
    <row r="1613" spans="1:2" ht="15" customHeight="1" x14ac:dyDescent="0.25">
      <c r="A1613">
        <v>0</v>
      </c>
      <c r="B1613">
        <v>5.6337561458349228E-2</v>
      </c>
    </row>
    <row r="1614" spans="1:2" ht="15" customHeight="1" x14ac:dyDescent="0.25">
      <c r="A1614">
        <v>0</v>
      </c>
      <c r="B1614">
        <v>5.0154469907283783E-2</v>
      </c>
    </row>
    <row r="1615" spans="1:2" ht="15" customHeight="1" x14ac:dyDescent="0.25">
      <c r="A1615">
        <v>0</v>
      </c>
      <c r="B1615">
        <v>5.0864063203334808E-2</v>
      </c>
    </row>
    <row r="1616" spans="1:2" ht="15" customHeight="1" x14ac:dyDescent="0.25">
      <c r="A1616">
        <v>0</v>
      </c>
      <c r="B1616">
        <v>5.0861317664384842E-2</v>
      </c>
    </row>
    <row r="1617" spans="1:2" ht="15" customHeight="1" x14ac:dyDescent="0.25">
      <c r="A1617">
        <v>0</v>
      </c>
      <c r="B1617">
        <v>5.5630054324865341E-2</v>
      </c>
    </row>
    <row r="1618" spans="1:2" ht="15" customHeight="1" x14ac:dyDescent="0.25">
      <c r="A1618">
        <v>0</v>
      </c>
      <c r="B1618">
        <v>5.0866827368736267E-2</v>
      </c>
    </row>
    <row r="1619" spans="1:2" ht="15" customHeight="1" x14ac:dyDescent="0.25">
      <c r="A1619">
        <v>0</v>
      </c>
      <c r="B1619">
        <v>4.6805389225482941E-2</v>
      </c>
    </row>
    <row r="1620" spans="1:2" ht="15" customHeight="1" x14ac:dyDescent="0.25">
      <c r="A1620">
        <v>0</v>
      </c>
      <c r="B1620">
        <v>5.0865069031715393E-2</v>
      </c>
    </row>
    <row r="1621" spans="1:2" ht="15" customHeight="1" x14ac:dyDescent="0.25">
      <c r="A1621">
        <v>0</v>
      </c>
      <c r="B1621">
        <v>4.6096276491880417E-2</v>
      </c>
    </row>
    <row r="1622" spans="1:2" ht="15" customHeight="1" x14ac:dyDescent="0.25">
      <c r="A1622">
        <v>0</v>
      </c>
      <c r="B1622">
        <v>5.9209674596786499E-2</v>
      </c>
    </row>
    <row r="1623" spans="1:2" ht="15" customHeight="1" x14ac:dyDescent="0.25">
      <c r="A1623">
        <v>0</v>
      </c>
      <c r="B1623">
        <v>6.1103347688913345E-2</v>
      </c>
    </row>
    <row r="1624" spans="1:2" ht="15" customHeight="1" x14ac:dyDescent="0.25">
      <c r="A1624">
        <v>0</v>
      </c>
      <c r="B1624">
        <v>6.9930687546730042E-2</v>
      </c>
    </row>
    <row r="1625" spans="1:2" ht="15" customHeight="1" x14ac:dyDescent="0.25">
      <c r="A1625">
        <v>0</v>
      </c>
      <c r="B1625">
        <v>5.5630449205636978E-2</v>
      </c>
    </row>
    <row r="1626" spans="1:2" ht="15" customHeight="1" x14ac:dyDescent="0.25">
      <c r="A1626">
        <v>0</v>
      </c>
      <c r="B1626">
        <v>5.5395107716321945E-2</v>
      </c>
    </row>
    <row r="1627" spans="1:2" ht="15" customHeight="1" x14ac:dyDescent="0.25">
      <c r="A1627">
        <v>0</v>
      </c>
      <c r="B1627">
        <v>5.0861064344644547E-2</v>
      </c>
    </row>
    <row r="1628" spans="1:2" ht="15" customHeight="1" x14ac:dyDescent="0.25">
      <c r="A1628">
        <v>0</v>
      </c>
      <c r="B1628">
        <v>6.5166018903255463E-2</v>
      </c>
    </row>
    <row r="1629" spans="1:2" ht="15" customHeight="1" x14ac:dyDescent="0.25">
      <c r="A1629">
        <v>0</v>
      </c>
      <c r="B1629">
        <v>4.609675332903862E-2</v>
      </c>
    </row>
    <row r="1630" spans="1:2" ht="15" customHeight="1" x14ac:dyDescent="0.25">
      <c r="A1630">
        <v>0</v>
      </c>
      <c r="B1630">
        <v>6.0396913439035416E-2</v>
      </c>
    </row>
    <row r="1631" spans="1:2" ht="15" customHeight="1" x14ac:dyDescent="0.25">
      <c r="A1631">
        <v>0</v>
      </c>
      <c r="B1631">
        <v>5.1094543188810349E-2</v>
      </c>
    </row>
    <row r="1632" spans="1:2" ht="15" customHeight="1" x14ac:dyDescent="0.25">
      <c r="A1632">
        <v>0</v>
      </c>
      <c r="B1632">
        <v>6.5391689538955688E-2</v>
      </c>
    </row>
    <row r="1633" spans="1:2" ht="15" customHeight="1" x14ac:dyDescent="0.25">
      <c r="A1633">
        <v>0</v>
      </c>
      <c r="B1633">
        <v>5.5167883634567261E-2</v>
      </c>
    </row>
    <row r="1634" spans="1:2" ht="15" customHeight="1" x14ac:dyDescent="0.25">
      <c r="A1634">
        <v>0</v>
      </c>
      <c r="B1634">
        <v>5.0864487886428833E-2</v>
      </c>
    </row>
    <row r="1635" spans="1:2" ht="15" customHeight="1" x14ac:dyDescent="0.25">
      <c r="A1635">
        <v>0</v>
      </c>
      <c r="B1635">
        <v>5.5628586560487747E-2</v>
      </c>
    </row>
    <row r="1636" spans="1:2" ht="15" customHeight="1" x14ac:dyDescent="0.25">
      <c r="A1636">
        <v>0</v>
      </c>
      <c r="B1636">
        <v>5.5626727640628815E-2</v>
      </c>
    </row>
    <row r="1637" spans="1:2" ht="15" customHeight="1" x14ac:dyDescent="0.25">
      <c r="A1637">
        <v>0</v>
      </c>
      <c r="B1637">
        <v>5.0861332565546036E-2</v>
      </c>
    </row>
    <row r="1638" spans="1:2" ht="15" customHeight="1" x14ac:dyDescent="0.25">
      <c r="A1638">
        <v>0</v>
      </c>
      <c r="B1638">
        <v>4.609544575214386E-2</v>
      </c>
    </row>
    <row r="1639" spans="1:2" ht="15" customHeight="1" x14ac:dyDescent="0.25">
      <c r="A1639">
        <v>0</v>
      </c>
      <c r="B1639">
        <v>5.1092933863401413E-2</v>
      </c>
    </row>
    <row r="1640" spans="1:2" ht="15" customHeight="1" x14ac:dyDescent="0.25">
      <c r="A1640">
        <v>0</v>
      </c>
      <c r="B1640">
        <v>5.0865713506937027E-2</v>
      </c>
    </row>
    <row r="1641" spans="1:2" ht="15" customHeight="1" x14ac:dyDescent="0.25">
      <c r="A1641">
        <v>0</v>
      </c>
      <c r="B1641">
        <v>5.5629279464483261E-2</v>
      </c>
    </row>
    <row r="1642" spans="1:2" ht="15" customHeight="1" x14ac:dyDescent="0.25">
      <c r="A1642">
        <v>0</v>
      </c>
      <c r="B1642">
        <v>5.0629749894142151E-2</v>
      </c>
    </row>
    <row r="1643" spans="1:2" ht="15" customHeight="1" x14ac:dyDescent="0.25">
      <c r="A1643">
        <v>0</v>
      </c>
      <c r="B1643">
        <v>5.6093595921993256E-2</v>
      </c>
    </row>
    <row r="1644" spans="1:2" ht="15" customHeight="1" x14ac:dyDescent="0.25">
      <c r="A1644">
        <v>0</v>
      </c>
      <c r="B1644">
        <v>6.0164771974086761E-2</v>
      </c>
    </row>
    <row r="1645" spans="1:2" ht="15" customHeight="1" x14ac:dyDescent="0.25">
      <c r="A1645">
        <v>0</v>
      </c>
      <c r="B1645">
        <v>4.5863907784223557E-2</v>
      </c>
    </row>
    <row r="1646" spans="1:2" ht="15" customHeight="1" x14ac:dyDescent="0.25">
      <c r="A1646">
        <v>0</v>
      </c>
      <c r="B1646">
        <v>5.0862930715084076E-2</v>
      </c>
    </row>
    <row r="1647" spans="1:2" ht="15" customHeight="1" x14ac:dyDescent="0.25">
      <c r="A1647">
        <v>0</v>
      </c>
      <c r="B1647">
        <v>5.0861064344644547E-2</v>
      </c>
    </row>
    <row r="1648" spans="1:2" ht="15" customHeight="1" x14ac:dyDescent="0.25">
      <c r="A1648">
        <v>0</v>
      </c>
      <c r="B1648">
        <v>4.6094328165054321E-2</v>
      </c>
    </row>
    <row r="1649" spans="1:2" ht="15" customHeight="1" x14ac:dyDescent="0.25">
      <c r="A1649">
        <v>0</v>
      </c>
      <c r="B1649">
        <v>5.1096383482217789E-2</v>
      </c>
    </row>
    <row r="1650" spans="1:2" ht="15" customHeight="1" x14ac:dyDescent="0.25">
      <c r="A1650">
        <v>0</v>
      </c>
      <c r="B1650">
        <v>6.4927950501441956E-2</v>
      </c>
    </row>
    <row r="1651" spans="1:2" ht="15" customHeight="1" x14ac:dyDescent="0.25">
      <c r="A1651">
        <v>0</v>
      </c>
      <c r="B1651">
        <v>4.632919654250145E-2</v>
      </c>
    </row>
    <row r="1652" spans="1:2" ht="15" customHeight="1" x14ac:dyDescent="0.25">
      <c r="A1652">
        <v>0</v>
      </c>
      <c r="B1652">
        <v>5.06308414041996E-2</v>
      </c>
    </row>
    <row r="1653" spans="1:2" ht="15" customHeight="1" x14ac:dyDescent="0.25">
      <c r="A1653">
        <v>0</v>
      </c>
      <c r="B1653">
        <v>5.0865009427070618E-2</v>
      </c>
    </row>
    <row r="1654" spans="1:2" ht="15" customHeight="1" x14ac:dyDescent="0.25">
      <c r="A1654">
        <v>0</v>
      </c>
      <c r="B1654">
        <v>5.5860873311758041E-2</v>
      </c>
    </row>
    <row r="1655" spans="1:2" ht="15" customHeight="1" x14ac:dyDescent="0.25">
      <c r="A1655">
        <v>0</v>
      </c>
      <c r="B1655">
        <v>5.0861082971096039E-2</v>
      </c>
    </row>
    <row r="1656" spans="1:2" ht="15" customHeight="1" x14ac:dyDescent="0.25">
      <c r="A1656">
        <v>0</v>
      </c>
      <c r="B1656">
        <v>5.086098238825798E-2</v>
      </c>
    </row>
    <row r="1657" spans="1:2" ht="15" customHeight="1" x14ac:dyDescent="0.25">
      <c r="A1657">
        <v>0</v>
      </c>
      <c r="B1657">
        <v>5.0631582736968994E-2</v>
      </c>
    </row>
    <row r="1658" spans="1:2" ht="15" customHeight="1" x14ac:dyDescent="0.25">
      <c r="A1658">
        <v>0</v>
      </c>
      <c r="B1658">
        <v>4.6096418052911758E-2</v>
      </c>
    </row>
    <row r="1659" spans="1:2" ht="15" customHeight="1" x14ac:dyDescent="0.25">
      <c r="A1659">
        <v>0</v>
      </c>
      <c r="B1659">
        <v>5.0862770527601242E-2</v>
      </c>
    </row>
    <row r="1660" spans="1:2" ht="15" customHeight="1" x14ac:dyDescent="0.25">
      <c r="A1660">
        <v>0</v>
      </c>
      <c r="B1660">
        <v>5.0861343741416931E-2</v>
      </c>
    </row>
    <row r="1661" spans="1:2" ht="15" customHeight="1" x14ac:dyDescent="0.25">
      <c r="A1661">
        <v>0</v>
      </c>
      <c r="B1661">
        <v>4.6096678823232651E-2</v>
      </c>
    </row>
    <row r="1662" spans="1:2" ht="15" customHeight="1" x14ac:dyDescent="0.25">
      <c r="A1662">
        <v>0</v>
      </c>
      <c r="B1662">
        <v>4.6095028519630432E-2</v>
      </c>
    </row>
    <row r="1663" spans="1:2" ht="15" customHeight="1" x14ac:dyDescent="0.25">
      <c r="A1663">
        <v>0</v>
      </c>
      <c r="B1663">
        <v>5.0864722579717636E-2</v>
      </c>
    </row>
    <row r="1664" spans="1:2" ht="15" customHeight="1" x14ac:dyDescent="0.25">
      <c r="A1664">
        <v>0</v>
      </c>
      <c r="B1664">
        <v>6.491609662771225E-2</v>
      </c>
    </row>
    <row r="1665" spans="1:2" ht="15" customHeight="1" x14ac:dyDescent="0.25">
      <c r="A1665">
        <v>0</v>
      </c>
      <c r="B1665">
        <v>5.5872753262519836E-2</v>
      </c>
    </row>
    <row r="1666" spans="1:2" ht="15" customHeight="1" x14ac:dyDescent="0.25">
      <c r="A1666">
        <v>0</v>
      </c>
      <c r="B1666">
        <v>5.5383812636137009E-2</v>
      </c>
    </row>
    <row r="1667" spans="1:2" ht="15" customHeight="1" x14ac:dyDescent="0.25">
      <c r="A1667">
        <v>0</v>
      </c>
      <c r="B1667">
        <v>5.5871669203042984E-2</v>
      </c>
    </row>
    <row r="1668" spans="1:2" ht="15" customHeight="1" x14ac:dyDescent="0.25">
      <c r="A1668">
        <v>0</v>
      </c>
      <c r="B1668">
        <v>5.5384356528520584E-2</v>
      </c>
    </row>
    <row r="1669" spans="1:2" ht="15" customHeight="1" x14ac:dyDescent="0.25">
      <c r="A1669">
        <v>0</v>
      </c>
      <c r="B1669">
        <v>6.5403692424297333E-2</v>
      </c>
    </row>
    <row r="1670" spans="1:2" ht="15" customHeight="1" x14ac:dyDescent="0.25">
      <c r="A1670">
        <v>0</v>
      </c>
      <c r="B1670">
        <v>4.1329942643642426E-2</v>
      </c>
    </row>
    <row r="1671" spans="1:2" ht="15" customHeight="1" x14ac:dyDescent="0.25">
      <c r="A1671">
        <v>0</v>
      </c>
      <c r="B1671">
        <v>5.5635690689086914E-2</v>
      </c>
    </row>
    <row r="1672" spans="1:2" ht="15" customHeight="1" x14ac:dyDescent="0.25">
      <c r="A1672">
        <v>0</v>
      </c>
      <c r="B1672">
        <v>4.6094633638858795E-2</v>
      </c>
    </row>
    <row r="1673" spans="1:2" ht="15" customHeight="1" x14ac:dyDescent="0.25">
      <c r="A1673">
        <v>0</v>
      </c>
      <c r="B1673">
        <v>6.0392439365386963E-2</v>
      </c>
    </row>
    <row r="1674" spans="1:2" ht="15" customHeight="1" x14ac:dyDescent="0.25">
      <c r="A1674">
        <v>0</v>
      </c>
      <c r="B1674">
        <v>6.0150004923343658E-2</v>
      </c>
    </row>
    <row r="1675" spans="1:2" ht="15" customHeight="1" x14ac:dyDescent="0.25">
      <c r="A1675">
        <v>0</v>
      </c>
      <c r="B1675">
        <v>5.0863154232501984E-2</v>
      </c>
    </row>
    <row r="1676" spans="1:2" ht="15" customHeight="1" x14ac:dyDescent="0.25">
      <c r="A1676">
        <v>0</v>
      </c>
      <c r="B1676">
        <v>6.992870569229126E-2</v>
      </c>
    </row>
    <row r="1677" spans="1:2" ht="15" customHeight="1" x14ac:dyDescent="0.25">
      <c r="A1677">
        <v>0</v>
      </c>
      <c r="B1677">
        <v>5.5873263627290726E-2</v>
      </c>
    </row>
    <row r="1678" spans="1:2" ht="15" customHeight="1" x14ac:dyDescent="0.25">
      <c r="A1678">
        <v>0</v>
      </c>
      <c r="B1678">
        <v>5.0861932337284088E-2</v>
      </c>
    </row>
    <row r="1679" spans="1:2" ht="15" customHeight="1" x14ac:dyDescent="0.25">
      <c r="A1679">
        <v>0</v>
      </c>
      <c r="B1679">
        <v>6.5160565078258514E-2</v>
      </c>
    </row>
    <row r="1680" spans="1:2" ht="15" customHeight="1" x14ac:dyDescent="0.25">
      <c r="A1680">
        <v>0</v>
      </c>
      <c r="B1680">
        <v>5.5141631513834E-2</v>
      </c>
    </row>
    <row r="1681" spans="1:2" ht="15" customHeight="1" x14ac:dyDescent="0.25">
      <c r="A1681">
        <v>0</v>
      </c>
      <c r="B1681">
        <v>6.0881417244672775E-2</v>
      </c>
    </row>
    <row r="1682" spans="1:2" ht="15" customHeight="1" x14ac:dyDescent="0.25">
      <c r="A1682">
        <v>0</v>
      </c>
      <c r="B1682">
        <v>4.60965596139431E-2</v>
      </c>
    </row>
    <row r="1683" spans="1:2" ht="15" customHeight="1" x14ac:dyDescent="0.25">
      <c r="A1683">
        <v>0</v>
      </c>
      <c r="B1683">
        <v>5.0865530967712402E-2</v>
      </c>
    </row>
    <row r="1684" spans="1:2" ht="15" customHeight="1" x14ac:dyDescent="0.25">
      <c r="A1684">
        <v>0</v>
      </c>
      <c r="B1684">
        <v>6.5163843333721161E-2</v>
      </c>
    </row>
    <row r="1685" spans="1:2" ht="15" customHeight="1" x14ac:dyDescent="0.25">
      <c r="A1685">
        <v>0</v>
      </c>
      <c r="B1685">
        <v>4.6096805483102798E-2</v>
      </c>
    </row>
    <row r="1686" spans="1:2" ht="15" customHeight="1" x14ac:dyDescent="0.25">
      <c r="A1686">
        <v>0</v>
      </c>
      <c r="B1686">
        <v>5.4905686527490616E-2</v>
      </c>
    </row>
    <row r="1687" spans="1:2" ht="15" customHeight="1" x14ac:dyDescent="0.25">
      <c r="A1687">
        <v>0</v>
      </c>
      <c r="B1687">
        <v>5.6349370628595352E-2</v>
      </c>
    </row>
    <row r="1688" spans="1:2" ht="15" customHeight="1" x14ac:dyDescent="0.25">
      <c r="A1688">
        <v>0</v>
      </c>
      <c r="B1688">
        <v>4.6571746468544006E-2</v>
      </c>
    </row>
    <row r="1689" spans="1:2" ht="15" customHeight="1" x14ac:dyDescent="0.25">
      <c r="A1689">
        <v>0</v>
      </c>
      <c r="B1689">
        <v>5.1094964146614075E-2</v>
      </c>
    </row>
    <row r="1690" spans="1:2" ht="15" customHeight="1" x14ac:dyDescent="0.25">
      <c r="A1690">
        <v>0</v>
      </c>
      <c r="B1690">
        <v>5.5873360484838486E-2</v>
      </c>
    </row>
    <row r="1691" spans="1:2" ht="15" customHeight="1" x14ac:dyDescent="0.25">
      <c r="A1691">
        <v>0</v>
      </c>
      <c r="B1691">
        <v>5.9674777090549469E-2</v>
      </c>
    </row>
    <row r="1692" spans="1:2" ht="15" customHeight="1" x14ac:dyDescent="0.25">
      <c r="A1692">
        <v>0</v>
      </c>
      <c r="B1692">
        <v>6.0397543013095856E-2</v>
      </c>
    </row>
    <row r="1693" spans="1:2" ht="15" customHeight="1" x14ac:dyDescent="0.25">
      <c r="A1693">
        <v>0</v>
      </c>
      <c r="B1693">
        <v>6.1120036989450455E-2</v>
      </c>
    </row>
    <row r="1694" spans="1:2" ht="15" customHeight="1" x14ac:dyDescent="0.25">
      <c r="A1694">
        <v>0</v>
      </c>
      <c r="B1694">
        <v>6.4438320696353912E-2</v>
      </c>
    </row>
    <row r="1695" spans="1:2" ht="15" customHeight="1" x14ac:dyDescent="0.25">
      <c r="A1695">
        <v>0</v>
      </c>
      <c r="B1695">
        <v>6.588185578584671E-2</v>
      </c>
    </row>
    <row r="1696" spans="1:2" ht="15" customHeight="1" x14ac:dyDescent="0.25">
      <c r="A1696">
        <v>0</v>
      </c>
      <c r="B1696">
        <v>6.4439266920089722E-2</v>
      </c>
    </row>
    <row r="1697" spans="1:2" ht="15" customHeight="1" x14ac:dyDescent="0.25">
      <c r="A1697">
        <v>0</v>
      </c>
      <c r="B1697">
        <v>5.6349329650402069E-2</v>
      </c>
    </row>
    <row r="1698" spans="1:2" ht="15" customHeight="1" x14ac:dyDescent="0.25">
      <c r="A1698">
        <v>0</v>
      </c>
      <c r="B1698">
        <v>6.0393307358026505E-2</v>
      </c>
    </row>
    <row r="1699" spans="1:2" ht="15" customHeight="1" x14ac:dyDescent="0.25">
      <c r="A1699">
        <v>0</v>
      </c>
      <c r="B1699">
        <v>4.6096127480268478E-2</v>
      </c>
    </row>
    <row r="1700" spans="1:2" ht="15" customHeight="1" x14ac:dyDescent="0.25">
      <c r="A1700">
        <v>3.6038123071193695E-2</v>
      </c>
      <c r="B1700">
        <v>5.0863355398178101E-2</v>
      </c>
    </row>
    <row r="1701" spans="1:2" ht="15" customHeight="1" x14ac:dyDescent="0.25">
      <c r="A1701">
        <v>0.11676919460296631</v>
      </c>
      <c r="B1701">
        <v>4.1329942643642426E-2</v>
      </c>
    </row>
    <row r="1702" spans="1:2" ht="15" customHeight="1" x14ac:dyDescent="0.25">
      <c r="A1702">
        <v>0.14904804527759552</v>
      </c>
      <c r="B1702">
        <v>4.6097856014966965E-2</v>
      </c>
    </row>
    <row r="1703" spans="1:2" ht="15" customHeight="1" x14ac:dyDescent="0.25">
      <c r="A1703">
        <v>0.14310441911220551</v>
      </c>
      <c r="B1703">
        <v>5.9674199670553207E-2</v>
      </c>
    </row>
    <row r="1704" spans="1:2" ht="15" customHeight="1" x14ac:dyDescent="0.25">
      <c r="A1704">
        <v>0.1417127251625061</v>
      </c>
      <c r="B1704">
        <v>5.5627532303333282E-2</v>
      </c>
    </row>
    <row r="1705" spans="1:2" ht="15" customHeight="1" x14ac:dyDescent="0.25">
      <c r="A1705">
        <v>0.13902583718299866</v>
      </c>
      <c r="B1705">
        <v>5.1585283130407333E-2</v>
      </c>
    </row>
    <row r="1706" spans="1:2" ht="15" customHeight="1" x14ac:dyDescent="0.25">
      <c r="A1706">
        <v>0.12042974680662155</v>
      </c>
      <c r="B1706">
        <v>4.5374713838100433E-2</v>
      </c>
    </row>
    <row r="1707" spans="1:2" ht="15" customHeight="1" x14ac:dyDescent="0.25">
      <c r="A1707">
        <v>0.13191241025924683</v>
      </c>
      <c r="B1707">
        <v>5.1583345979452133E-2</v>
      </c>
    </row>
    <row r="1708" spans="1:2" ht="15" customHeight="1" x14ac:dyDescent="0.25">
      <c r="A1708">
        <v>0.13590900599956512</v>
      </c>
      <c r="B1708">
        <v>6.4439989626407623E-2</v>
      </c>
    </row>
    <row r="1709" spans="1:2" ht="15" customHeight="1" x14ac:dyDescent="0.25">
      <c r="A1709">
        <v>0.13561992347240448</v>
      </c>
      <c r="B1709">
        <v>5.4912719875574112E-2</v>
      </c>
    </row>
    <row r="1710" spans="1:2" ht="15" customHeight="1" x14ac:dyDescent="0.25">
      <c r="A1710">
        <v>0.12639132142066956</v>
      </c>
      <c r="B1710">
        <v>6.1834666877985001E-2</v>
      </c>
    </row>
    <row r="1711" spans="1:2" ht="15" customHeight="1" x14ac:dyDescent="0.25">
      <c r="A1711">
        <v>0.12944617867469788</v>
      </c>
      <c r="B1711">
        <v>6.4439490437507629E-2</v>
      </c>
    </row>
    <row r="1712" spans="1:2" ht="15" customHeight="1" x14ac:dyDescent="0.25">
      <c r="A1712">
        <v>0.12329402565956116</v>
      </c>
      <c r="B1712">
        <v>6.1111845076084137E-2</v>
      </c>
    </row>
    <row r="1713" spans="1:2" ht="15" customHeight="1" x14ac:dyDescent="0.25">
      <c r="A1713">
        <v>0.12046460062265396</v>
      </c>
      <c r="B1713">
        <v>5.0386272370815277E-2</v>
      </c>
    </row>
    <row r="1714" spans="1:2" ht="15" customHeight="1" x14ac:dyDescent="0.25">
      <c r="A1714">
        <v>0.13191121816635132</v>
      </c>
      <c r="B1714">
        <v>5.0139769911766052E-2</v>
      </c>
    </row>
    <row r="1715" spans="1:2" ht="15" customHeight="1" x14ac:dyDescent="0.25">
      <c r="A1715">
        <v>0.16590557992458344</v>
      </c>
      <c r="B1715">
        <v>5.1588062196969986E-2</v>
      </c>
    </row>
    <row r="1716" spans="1:2" ht="15" customHeight="1" x14ac:dyDescent="0.25">
      <c r="A1716">
        <v>0.16728672385215759</v>
      </c>
      <c r="B1716">
        <v>6.4438775181770325E-2</v>
      </c>
    </row>
    <row r="1717" spans="1:2" ht="15" customHeight="1" x14ac:dyDescent="0.25">
      <c r="A1717">
        <v>0.14639195799827576</v>
      </c>
      <c r="B1717">
        <v>4.6817027032375336E-2</v>
      </c>
    </row>
    <row r="1718" spans="1:2" ht="15" customHeight="1" x14ac:dyDescent="0.25">
      <c r="A1718">
        <v>0.14346128702163696</v>
      </c>
      <c r="B1718">
        <v>5.0139475613832474E-2</v>
      </c>
    </row>
    <row r="1719" spans="1:2" ht="15" customHeight="1" x14ac:dyDescent="0.25">
      <c r="A1719">
        <v>0.10097040981054306</v>
      </c>
      <c r="B1719">
        <v>4.7293834388256073E-2</v>
      </c>
    </row>
    <row r="1720" spans="1:2" ht="15" customHeight="1" x14ac:dyDescent="0.25">
      <c r="A1720">
        <v>4.3280176818370819E-2</v>
      </c>
      <c r="B1720">
        <v>5.0142537802457809E-2</v>
      </c>
    </row>
    <row r="1721" spans="1:2" ht="15" customHeight="1" x14ac:dyDescent="0.25">
      <c r="A1721">
        <v>4.0231239050626755E-2</v>
      </c>
      <c r="B1721">
        <v>5.6827660650014877E-2</v>
      </c>
    </row>
    <row r="1722" spans="1:2" ht="15" customHeight="1" x14ac:dyDescent="0.25">
      <c r="A1722">
        <v>3.8268405944108963E-2</v>
      </c>
      <c r="B1722">
        <v>5.4430611431598663E-2</v>
      </c>
    </row>
    <row r="1723" spans="1:2" ht="15" customHeight="1" x14ac:dyDescent="0.25">
      <c r="A1723">
        <v>4.5651048421859741E-2</v>
      </c>
      <c r="B1723">
        <v>5.2061855792999268E-2</v>
      </c>
    </row>
    <row r="1724" spans="1:2" ht="15" customHeight="1" x14ac:dyDescent="0.25">
      <c r="A1724">
        <v>5.1171410828828812E-2</v>
      </c>
      <c r="B1724">
        <v>4.6099856495857239E-2</v>
      </c>
    </row>
    <row r="1725" spans="1:2" ht="15" customHeight="1" x14ac:dyDescent="0.25">
      <c r="A1725">
        <v>4.1331585496664047E-2</v>
      </c>
      <c r="B1725">
        <v>4.9662753939628601E-2</v>
      </c>
    </row>
    <row r="1726" spans="1:2" ht="15" customHeight="1" x14ac:dyDescent="0.25">
      <c r="A1726">
        <v>4.5993201434612274E-2</v>
      </c>
      <c r="B1726">
        <v>5.6826114654541016E-2</v>
      </c>
    </row>
    <row r="1727" spans="1:2" ht="15" customHeight="1" x14ac:dyDescent="0.25">
      <c r="A1727">
        <v>4.619322344660759E-2</v>
      </c>
      <c r="B1727">
        <v>4.6096865087747574E-2</v>
      </c>
    </row>
    <row r="1728" spans="1:2" ht="15" customHeight="1" x14ac:dyDescent="0.25">
      <c r="A1728">
        <v>4.9305140972137451E-2</v>
      </c>
      <c r="B1728">
        <v>4.6571437269449234E-2</v>
      </c>
    </row>
    <row r="1729" spans="1:2" ht="15" customHeight="1" x14ac:dyDescent="0.25">
      <c r="A1729">
        <v>5.162399634718895E-2</v>
      </c>
      <c r="B1729">
        <v>5.0858959555625916E-2</v>
      </c>
    </row>
    <row r="1730" spans="1:2" ht="15" customHeight="1" x14ac:dyDescent="0.25">
      <c r="A1730">
        <v>4.3292183429002762E-2</v>
      </c>
      <c r="B1730">
        <v>4.8714347183704376E-2</v>
      </c>
    </row>
    <row r="1731" spans="1:2" ht="15" customHeight="1" x14ac:dyDescent="0.25">
      <c r="A1731">
        <v>3.7966527044773102E-2</v>
      </c>
      <c r="B1731">
        <v>6.9924958050251007E-2</v>
      </c>
    </row>
    <row r="1732" spans="1:2" ht="15" customHeight="1" x14ac:dyDescent="0.25">
      <c r="A1732">
        <v>4.2095791548490524E-2</v>
      </c>
      <c r="B1732">
        <v>5.5627468973398209E-2</v>
      </c>
    </row>
    <row r="1733" spans="1:2" ht="15" customHeight="1" x14ac:dyDescent="0.25">
      <c r="A1733">
        <v>4.3306022882461548E-2</v>
      </c>
      <c r="B1733">
        <v>5.7777468115091324E-2</v>
      </c>
    </row>
    <row r="1734" spans="1:2" ht="15" customHeight="1" x14ac:dyDescent="0.25">
      <c r="A1734">
        <v>8.5674975707661361E-5</v>
      </c>
      <c r="B1734">
        <v>5.5629052221775055E-2</v>
      </c>
    </row>
    <row r="1735" spans="1:2" ht="15" customHeight="1" x14ac:dyDescent="0.25">
      <c r="A1735">
        <v>0</v>
      </c>
      <c r="B1735">
        <v>5.8243278414011002E-2</v>
      </c>
    </row>
    <row r="1736" spans="1:2" ht="15" customHeight="1" x14ac:dyDescent="0.25">
      <c r="A1736">
        <v>0</v>
      </c>
      <c r="B1736">
        <v>7.2543114423751831E-2</v>
      </c>
    </row>
    <row r="1737" spans="1:2" ht="15" customHeight="1" x14ac:dyDescent="0.25">
      <c r="A1737">
        <v>0</v>
      </c>
      <c r="B1737">
        <v>6.9935888051986694E-2</v>
      </c>
    </row>
    <row r="1738" spans="1:2" ht="15" customHeight="1" x14ac:dyDescent="0.25">
      <c r="A1738">
        <v>0</v>
      </c>
      <c r="B1738">
        <v>6.2548816204071045E-2</v>
      </c>
    </row>
    <row r="1739" spans="1:2" ht="15" customHeight="1" x14ac:dyDescent="0.25">
      <c r="A1739">
        <v>0</v>
      </c>
      <c r="B1739">
        <v>5.0862714648246765E-2</v>
      </c>
    </row>
    <row r="1740" spans="1:2" ht="15" customHeight="1" x14ac:dyDescent="0.25">
      <c r="A1740">
        <v>0</v>
      </c>
      <c r="B1740">
        <v>6.039249524474144E-2</v>
      </c>
    </row>
    <row r="1741" spans="1:2" ht="15" customHeight="1" x14ac:dyDescent="0.25">
      <c r="A1741">
        <v>0</v>
      </c>
      <c r="B1741">
        <v>5.8240197598934174E-2</v>
      </c>
    </row>
    <row r="1742" spans="1:2" ht="15" customHeight="1" x14ac:dyDescent="0.25">
      <c r="A1742">
        <v>0</v>
      </c>
      <c r="B1742">
        <v>5.5166337639093399E-2</v>
      </c>
    </row>
    <row r="1743" spans="1:2" ht="15" customHeight="1" x14ac:dyDescent="0.25">
      <c r="A1743">
        <v>0</v>
      </c>
      <c r="B1743">
        <v>5.8241222053766251E-2</v>
      </c>
    </row>
    <row r="1744" spans="1:2" ht="15" customHeight="1" x14ac:dyDescent="0.25">
      <c r="A1744">
        <v>0</v>
      </c>
      <c r="B1744">
        <v>6.03950135409832E-2</v>
      </c>
    </row>
    <row r="1745" spans="1:2" ht="15" customHeight="1" x14ac:dyDescent="0.25">
      <c r="A1745">
        <v>0</v>
      </c>
      <c r="B1745">
        <v>6.0395639389753342E-2</v>
      </c>
    </row>
    <row r="1746" spans="1:2" ht="15" customHeight="1" x14ac:dyDescent="0.25">
      <c r="A1746">
        <v>0</v>
      </c>
      <c r="B1746">
        <v>5.7777911424636841E-2</v>
      </c>
    </row>
    <row r="1747" spans="1:2" ht="15" customHeight="1" x14ac:dyDescent="0.25">
      <c r="A1747">
        <v>0</v>
      </c>
      <c r="B1747">
        <v>5.3476911038160324E-2</v>
      </c>
    </row>
    <row r="1748" spans="1:2" ht="15" customHeight="1" x14ac:dyDescent="0.25">
      <c r="A1748">
        <v>0</v>
      </c>
      <c r="B1748">
        <v>5.0862040370702744E-2</v>
      </c>
    </row>
    <row r="1749" spans="1:2" ht="15" customHeight="1" x14ac:dyDescent="0.25">
      <c r="A1749">
        <v>0</v>
      </c>
      <c r="B1749">
        <v>5.778208002448082E-2</v>
      </c>
    </row>
    <row r="1750" spans="1:2" ht="15" customHeight="1" x14ac:dyDescent="0.25">
      <c r="A1750">
        <v>0</v>
      </c>
      <c r="B1750">
        <v>6.3010320067405701E-2</v>
      </c>
    </row>
    <row r="1751" spans="1:2" ht="15" customHeight="1" x14ac:dyDescent="0.25">
      <c r="A1751">
        <v>0</v>
      </c>
      <c r="B1751">
        <v>5.7778477668762207E-2</v>
      </c>
    </row>
    <row r="1752" spans="1:2" ht="15" customHeight="1" x14ac:dyDescent="0.25">
      <c r="A1752">
        <v>0</v>
      </c>
      <c r="B1752">
        <v>5.347418412566185E-2</v>
      </c>
    </row>
    <row r="1753" spans="1:2" ht="15" customHeight="1" x14ac:dyDescent="0.25">
      <c r="A1753">
        <v>0</v>
      </c>
      <c r="B1753">
        <v>5.7778723537921906E-2</v>
      </c>
    </row>
    <row r="1754" spans="1:2" ht="15" customHeight="1" x14ac:dyDescent="0.25">
      <c r="A1754">
        <v>0</v>
      </c>
      <c r="B1754">
        <v>5.0863113254308701E-2</v>
      </c>
    </row>
    <row r="1755" spans="1:2" ht="15" customHeight="1" x14ac:dyDescent="0.25">
      <c r="A1755">
        <v>0</v>
      </c>
      <c r="B1755">
        <v>4.3946422636508942E-2</v>
      </c>
    </row>
    <row r="1756" spans="1:2" ht="15" customHeight="1" x14ac:dyDescent="0.25">
      <c r="A1756">
        <v>0</v>
      </c>
      <c r="B1756">
        <v>6.5167486667633057E-2</v>
      </c>
    </row>
    <row r="1757" spans="1:2" ht="15" customHeight="1" x14ac:dyDescent="0.25">
      <c r="A1757">
        <v>0</v>
      </c>
      <c r="B1757">
        <v>5.3489882498979568E-2</v>
      </c>
    </row>
    <row r="1758" spans="1:2" ht="15" customHeight="1" x14ac:dyDescent="0.25">
      <c r="A1758">
        <v>0</v>
      </c>
      <c r="B1758">
        <v>5.7764511555433273E-2</v>
      </c>
    </row>
    <row r="1759" spans="1:2" ht="15" customHeight="1" x14ac:dyDescent="0.25">
      <c r="A1759">
        <v>0</v>
      </c>
      <c r="B1759">
        <v>4.60975281894207E-2</v>
      </c>
    </row>
    <row r="1760" spans="1:2" ht="15" customHeight="1" x14ac:dyDescent="0.25">
      <c r="A1760">
        <v>0</v>
      </c>
      <c r="B1760">
        <v>6.0871262103319168E-2</v>
      </c>
    </row>
    <row r="1761" spans="1:2" ht="15" customHeight="1" x14ac:dyDescent="0.25">
      <c r="A1761">
        <v>0</v>
      </c>
      <c r="B1761">
        <v>6.3021451234817505E-2</v>
      </c>
    </row>
    <row r="1762" spans="1:2" ht="15" customHeight="1" x14ac:dyDescent="0.25">
      <c r="A1762">
        <v>0</v>
      </c>
      <c r="B1762">
        <v>5.5624563246965408E-2</v>
      </c>
    </row>
    <row r="1763" spans="1:2" ht="15" customHeight="1" x14ac:dyDescent="0.25">
      <c r="A1763">
        <v>0</v>
      </c>
      <c r="B1763">
        <v>4.3468456715345383E-2</v>
      </c>
    </row>
    <row r="1764" spans="1:2" ht="15" customHeight="1" x14ac:dyDescent="0.25">
      <c r="A1764">
        <v>0</v>
      </c>
      <c r="B1764">
        <v>5.0860736519098282E-2</v>
      </c>
    </row>
    <row r="1765" spans="1:2" ht="15" customHeight="1" x14ac:dyDescent="0.25">
      <c r="A1765">
        <v>0</v>
      </c>
      <c r="B1765">
        <v>5.3491324186325073E-2</v>
      </c>
    </row>
    <row r="1766" spans="1:2" ht="15" customHeight="1" x14ac:dyDescent="0.25">
      <c r="A1766">
        <v>0</v>
      </c>
      <c r="B1766">
        <v>4.6097055077552795E-2</v>
      </c>
    </row>
    <row r="1767" spans="1:2" ht="15" customHeight="1" x14ac:dyDescent="0.25">
      <c r="A1767">
        <v>0</v>
      </c>
      <c r="B1767">
        <v>6.0393247753381729E-2</v>
      </c>
    </row>
    <row r="1768" spans="1:2" ht="15" customHeight="1" x14ac:dyDescent="0.25">
      <c r="A1768">
        <v>0</v>
      </c>
      <c r="B1768">
        <v>6.2532335519790649E-2</v>
      </c>
    </row>
    <row r="1769" spans="1:2" ht="15" customHeight="1" x14ac:dyDescent="0.25">
      <c r="A1769">
        <v>0</v>
      </c>
      <c r="B1769">
        <v>6.0394708067178726E-2</v>
      </c>
    </row>
    <row r="1770" spans="1:2" ht="15" customHeight="1" x14ac:dyDescent="0.25">
      <c r="A1770">
        <v>0</v>
      </c>
      <c r="B1770">
        <v>4.8723176121711731E-2</v>
      </c>
    </row>
    <row r="1771" spans="1:2" ht="15" customHeight="1" x14ac:dyDescent="0.25">
      <c r="A1771">
        <v>0</v>
      </c>
      <c r="B1771">
        <v>5.3002435714006424E-2</v>
      </c>
    </row>
    <row r="1772" spans="1:2" ht="15" customHeight="1" x14ac:dyDescent="0.25">
      <c r="A1772">
        <v>0</v>
      </c>
      <c r="B1772">
        <v>6.5161637961864471E-2</v>
      </c>
    </row>
    <row r="1773" spans="1:2" ht="15" customHeight="1" x14ac:dyDescent="0.25">
      <c r="A1773">
        <v>0</v>
      </c>
      <c r="B1773">
        <v>5.0861198455095291E-2</v>
      </c>
    </row>
    <row r="1774" spans="1:2" ht="15" customHeight="1" x14ac:dyDescent="0.25">
      <c r="A1774">
        <v>0</v>
      </c>
      <c r="B1774">
        <v>5.825752392411232E-2</v>
      </c>
    </row>
    <row r="1775" spans="1:2" ht="15" customHeight="1" x14ac:dyDescent="0.25">
      <c r="A1775">
        <v>0</v>
      </c>
      <c r="B1775">
        <v>6.0396336019039154E-2</v>
      </c>
    </row>
    <row r="1776" spans="1:2" ht="15" customHeight="1" x14ac:dyDescent="0.25">
      <c r="A1776">
        <v>8.6790770292282104E-2</v>
      </c>
      <c r="B1776">
        <v>5.5628340691328049E-2</v>
      </c>
    </row>
    <row r="1777" spans="1:2" ht="15" customHeight="1" x14ac:dyDescent="0.25">
      <c r="A1777">
        <v>0.10642028599977493</v>
      </c>
      <c r="B1777">
        <v>4.609689861536026E-2</v>
      </c>
    </row>
    <row r="1778" spans="1:2" ht="15" customHeight="1" x14ac:dyDescent="0.25">
      <c r="A1778">
        <v>9.1143347322940826E-2</v>
      </c>
      <c r="B1778">
        <v>4.6092193573713303E-2</v>
      </c>
    </row>
    <row r="1779" spans="1:2" ht="15" customHeight="1" x14ac:dyDescent="0.25">
      <c r="A1779">
        <v>8.6406081914901733E-2</v>
      </c>
      <c r="B1779">
        <v>4.7756832093000412E-2</v>
      </c>
    </row>
    <row r="1780" spans="1:2" ht="15" customHeight="1" x14ac:dyDescent="0.25">
      <c r="A1780">
        <v>9.669233113527298E-2</v>
      </c>
      <c r="B1780">
        <v>6.3975699245929718E-2</v>
      </c>
    </row>
    <row r="1781" spans="1:2" ht="15" customHeight="1" x14ac:dyDescent="0.25">
      <c r="A1781">
        <v>8.7141402065753937E-2</v>
      </c>
      <c r="B1781">
        <v>4.6094194054603577E-2</v>
      </c>
    </row>
    <row r="1782" spans="1:2" ht="15" customHeight="1" x14ac:dyDescent="0.25">
      <c r="A1782">
        <v>8.372003585100174E-2</v>
      </c>
      <c r="B1782">
        <v>5.2046895027160645E-2</v>
      </c>
    </row>
    <row r="1783" spans="1:2" ht="15" customHeight="1" x14ac:dyDescent="0.25">
      <c r="A1783">
        <v>8.1635572016239166E-2</v>
      </c>
      <c r="B1783">
        <v>5.4441705346107483E-2</v>
      </c>
    </row>
    <row r="1784" spans="1:2" ht="15" customHeight="1" x14ac:dyDescent="0.25">
      <c r="A1784">
        <v>8.0458849668502808E-2</v>
      </c>
      <c r="B1784">
        <v>5.0863854587078094E-2</v>
      </c>
    </row>
    <row r="1785" spans="1:2" ht="15" customHeight="1" x14ac:dyDescent="0.25">
      <c r="A1785">
        <v>8.0995038151741028E-2</v>
      </c>
      <c r="B1785">
        <v>4.7280017286539078E-2</v>
      </c>
    </row>
    <row r="1786" spans="1:2" ht="15" customHeight="1" x14ac:dyDescent="0.25">
      <c r="A1786">
        <v>8.0816604197025299E-2</v>
      </c>
      <c r="B1786">
        <v>5.0861109048128128E-2</v>
      </c>
    </row>
    <row r="1787" spans="1:2" ht="15" customHeight="1" x14ac:dyDescent="0.25">
      <c r="A1787">
        <v>8.962395042181015E-2</v>
      </c>
      <c r="B1787">
        <v>4.9675986170768738E-2</v>
      </c>
    </row>
    <row r="1788" spans="1:2" ht="15" customHeight="1" x14ac:dyDescent="0.25">
      <c r="A1788">
        <v>9.0343765914440155E-2</v>
      </c>
      <c r="B1788">
        <v>4.6096529811620712E-2</v>
      </c>
    </row>
    <row r="1789" spans="1:2" ht="15" customHeight="1" x14ac:dyDescent="0.25">
      <c r="A1789">
        <v>8.5451260209083557E-2</v>
      </c>
      <c r="B1789">
        <v>4.8957705497741699E-2</v>
      </c>
    </row>
    <row r="1790" spans="1:2" ht="15" customHeight="1" x14ac:dyDescent="0.25">
      <c r="A1790">
        <v>8.3393432199954987E-2</v>
      </c>
      <c r="B1790">
        <v>5.681484192609787E-2</v>
      </c>
    </row>
    <row r="1791" spans="1:2" ht="15" customHeight="1" x14ac:dyDescent="0.25">
      <c r="A1791">
        <v>8.5624523460865021E-2</v>
      </c>
      <c r="B1791">
        <v>3.5382863134145737E-2</v>
      </c>
    </row>
    <row r="1792" spans="1:2" ht="15" customHeight="1" x14ac:dyDescent="0.25">
      <c r="A1792">
        <v>8.6740277707576752E-2</v>
      </c>
      <c r="B1792">
        <v>6.1583492904901505E-2</v>
      </c>
    </row>
    <row r="1793" spans="1:2" ht="15" customHeight="1" x14ac:dyDescent="0.25">
      <c r="A1793">
        <v>8.1652112305164337E-2</v>
      </c>
      <c r="B1793">
        <v>5.5395111441612244E-2</v>
      </c>
    </row>
    <row r="1794" spans="1:2" ht="15" customHeight="1" x14ac:dyDescent="0.25">
      <c r="A1794">
        <v>7.6566144824028015E-2</v>
      </c>
      <c r="B1794">
        <v>5.0863541662693024E-2</v>
      </c>
    </row>
    <row r="1795" spans="1:2" ht="15" customHeight="1" x14ac:dyDescent="0.25">
      <c r="A1795">
        <v>8.3360455930233002E-2</v>
      </c>
      <c r="B1795">
        <v>5.5627219378948212E-2</v>
      </c>
    </row>
    <row r="1796" spans="1:2" ht="15" customHeight="1" x14ac:dyDescent="0.25">
      <c r="A1796">
        <v>8.6020760238170624E-2</v>
      </c>
      <c r="B1796">
        <v>6.0396093875169754E-2</v>
      </c>
    </row>
    <row r="1797" spans="1:2" ht="15" customHeight="1" x14ac:dyDescent="0.25">
      <c r="A1797">
        <v>8.8473409414291382E-2</v>
      </c>
      <c r="B1797">
        <v>6.5873898565769196E-2</v>
      </c>
    </row>
    <row r="1798" spans="1:2" ht="15" customHeight="1" x14ac:dyDescent="0.25">
      <c r="A1798">
        <v>8.3668090403079987E-2</v>
      </c>
      <c r="B1798">
        <v>5.0860550254583359E-2</v>
      </c>
    </row>
    <row r="1799" spans="1:2" ht="15" customHeight="1" x14ac:dyDescent="0.25">
      <c r="A1799">
        <v>7.8683257102966309E-2</v>
      </c>
      <c r="B1799">
        <v>5.4918199777603149E-2</v>
      </c>
    </row>
    <row r="1800" spans="1:2" ht="15" customHeight="1" x14ac:dyDescent="0.25">
      <c r="A1800">
        <v>7.8230418264865875E-2</v>
      </c>
      <c r="B1800">
        <v>5.0864610821008682E-2</v>
      </c>
    </row>
    <row r="1801" spans="1:2" ht="15" customHeight="1" x14ac:dyDescent="0.25">
      <c r="A1801">
        <v>8.5715629160404205E-2</v>
      </c>
      <c r="B1801">
        <v>6.0396276414394379E-2</v>
      </c>
    </row>
    <row r="1802" spans="1:2" ht="15" customHeight="1" x14ac:dyDescent="0.25">
      <c r="A1802">
        <v>7.6912872493267059E-2</v>
      </c>
      <c r="B1802">
        <v>6.5162673592567444E-2</v>
      </c>
    </row>
    <row r="1803" spans="1:2" ht="15" customHeight="1" x14ac:dyDescent="0.25">
      <c r="A1803">
        <v>8.2739323377609253E-2</v>
      </c>
      <c r="B1803">
        <v>4.203806072473526E-2</v>
      </c>
    </row>
    <row r="1804" spans="1:2" ht="15" customHeight="1" x14ac:dyDescent="0.25">
      <c r="A1804">
        <v>9.082300215959549E-2</v>
      </c>
      <c r="B1804">
        <v>5.5628467351198196E-2</v>
      </c>
    </row>
    <row r="1805" spans="1:2" ht="15" customHeight="1" x14ac:dyDescent="0.25">
      <c r="A1805">
        <v>8.1706322729587555E-2</v>
      </c>
      <c r="B1805">
        <v>5.0152793526649475E-2</v>
      </c>
    </row>
    <row r="1806" spans="1:2" ht="15" customHeight="1" x14ac:dyDescent="0.25">
      <c r="A1806">
        <v>8.3306469023227692E-2</v>
      </c>
      <c r="B1806">
        <v>5.0862886011600494E-2</v>
      </c>
    </row>
    <row r="1807" spans="1:2" ht="15" customHeight="1" x14ac:dyDescent="0.25">
      <c r="A1807">
        <v>8.4398463368415833E-2</v>
      </c>
      <c r="B1807">
        <v>4.1329942643642426E-2</v>
      </c>
    </row>
    <row r="1808" spans="1:2" ht="15" customHeight="1" x14ac:dyDescent="0.25">
      <c r="A1808">
        <v>8.0881059169769287E-2</v>
      </c>
      <c r="B1808">
        <v>5.0387967377901077E-2</v>
      </c>
    </row>
    <row r="1809" spans="1:2" ht="15" customHeight="1" x14ac:dyDescent="0.25">
      <c r="A1809">
        <v>7.262711226940155E-2</v>
      </c>
      <c r="B1809">
        <v>5.9194121509790421E-2</v>
      </c>
    </row>
    <row r="1810" spans="1:2" ht="15" customHeight="1" x14ac:dyDescent="0.25">
      <c r="A1810">
        <v>8.0277808010578156E-2</v>
      </c>
      <c r="B1810">
        <v>4.4432532042264938E-2</v>
      </c>
    </row>
    <row r="1811" spans="1:2" ht="15" customHeight="1" x14ac:dyDescent="0.25">
      <c r="A1811">
        <v>1.807004027068615E-2</v>
      </c>
      <c r="B1811">
        <v>5.0864864140748978E-2</v>
      </c>
    </row>
    <row r="1812" spans="1:2" ht="15" customHeight="1" x14ac:dyDescent="0.25">
      <c r="A1812">
        <v>0</v>
      </c>
      <c r="B1812">
        <v>5.0861146301031113E-2</v>
      </c>
    </row>
    <row r="1813" spans="1:2" ht="15" customHeight="1" x14ac:dyDescent="0.25">
      <c r="A1813">
        <v>0</v>
      </c>
      <c r="B1813">
        <v>4.6327564865350723E-2</v>
      </c>
    </row>
    <row r="1814" spans="1:2" ht="15" customHeight="1" x14ac:dyDescent="0.25">
      <c r="A1814">
        <v>0</v>
      </c>
      <c r="B1814">
        <v>5.9927575290203094E-2</v>
      </c>
    </row>
    <row r="1815" spans="1:2" ht="15" customHeight="1" x14ac:dyDescent="0.25">
      <c r="A1815">
        <v>0</v>
      </c>
      <c r="B1815">
        <v>5.1094286143779755E-2</v>
      </c>
    </row>
    <row r="1816" spans="1:2" ht="15" customHeight="1" x14ac:dyDescent="0.25">
      <c r="A1816">
        <v>0</v>
      </c>
      <c r="B1816">
        <v>7.9472526907920837E-2</v>
      </c>
    </row>
    <row r="1817" spans="1:2" ht="15" customHeight="1" x14ac:dyDescent="0.25">
      <c r="A1817">
        <v>0</v>
      </c>
      <c r="B1817">
        <v>6.9927811622619629E-2</v>
      </c>
    </row>
    <row r="1818" spans="1:2" ht="15" customHeight="1" x14ac:dyDescent="0.25">
      <c r="A1818">
        <v>0</v>
      </c>
      <c r="B1818">
        <v>7.4463143944740295E-2</v>
      </c>
    </row>
    <row r="1819" spans="1:2" ht="15" customHeight="1" x14ac:dyDescent="0.25">
      <c r="A1819">
        <v>0</v>
      </c>
      <c r="B1819">
        <v>6.03957399725914E-2</v>
      </c>
    </row>
    <row r="1820" spans="1:2" ht="15" customHeight="1" x14ac:dyDescent="0.25">
      <c r="A1820">
        <v>0</v>
      </c>
      <c r="B1820">
        <v>5.562974140048027E-2</v>
      </c>
    </row>
    <row r="1821" spans="1:2" ht="15" customHeight="1" x14ac:dyDescent="0.25">
      <c r="A1821">
        <v>0</v>
      </c>
      <c r="B1821">
        <v>5.0863195210695267E-2</v>
      </c>
    </row>
    <row r="1822" spans="1:2" ht="15" customHeight="1" x14ac:dyDescent="0.25">
      <c r="A1822">
        <v>0</v>
      </c>
      <c r="B1822">
        <v>5.0863936543464661E-2</v>
      </c>
    </row>
    <row r="1823" spans="1:2" ht="15" customHeight="1" x14ac:dyDescent="0.25">
      <c r="A1823">
        <v>0</v>
      </c>
      <c r="B1823">
        <v>5.1096361130475998E-2</v>
      </c>
    </row>
    <row r="1824" spans="1:2" ht="15" customHeight="1" x14ac:dyDescent="0.25">
      <c r="A1824">
        <v>0</v>
      </c>
      <c r="B1824">
        <v>7.9239942133426666E-2</v>
      </c>
    </row>
    <row r="1825" spans="1:2" ht="15" customHeight="1" x14ac:dyDescent="0.25">
      <c r="A1825">
        <v>0</v>
      </c>
      <c r="B1825">
        <v>0.19386273622512817</v>
      </c>
    </row>
    <row r="1826" spans="1:2" ht="15" customHeight="1" x14ac:dyDescent="0.25">
      <c r="A1826">
        <v>0</v>
      </c>
      <c r="B1826">
        <v>4.6099226921796799E-2</v>
      </c>
    </row>
    <row r="1827" spans="1:2" ht="15" customHeight="1" x14ac:dyDescent="0.25">
      <c r="A1827">
        <v>0</v>
      </c>
      <c r="B1827">
        <v>4.6097453683614731E-2</v>
      </c>
    </row>
    <row r="1828" spans="1:2" ht="15" customHeight="1" x14ac:dyDescent="0.25">
      <c r="A1828">
        <v>0</v>
      </c>
      <c r="B1828">
        <v>5.0861936062574387E-2</v>
      </c>
    </row>
    <row r="1829" spans="1:2" ht="15" customHeight="1" x14ac:dyDescent="0.25">
      <c r="A1829">
        <v>0</v>
      </c>
      <c r="B1829">
        <v>5.7297687977552414E-2</v>
      </c>
    </row>
    <row r="1830" spans="1:2" ht="15" customHeight="1" x14ac:dyDescent="0.25">
      <c r="A1830">
        <v>0</v>
      </c>
      <c r="B1830">
        <v>4.9198862165212631E-2</v>
      </c>
    </row>
    <row r="1831" spans="1:2" ht="15" customHeight="1" x14ac:dyDescent="0.25">
      <c r="A1831">
        <v>0</v>
      </c>
      <c r="B1831">
        <v>4.1329942643642426E-2</v>
      </c>
    </row>
    <row r="1832" spans="1:2" ht="15" customHeight="1" x14ac:dyDescent="0.25">
      <c r="A1832">
        <v>0</v>
      </c>
      <c r="B1832">
        <v>9.7662696838378906</v>
      </c>
    </row>
    <row r="1833" spans="1:2" ht="15" customHeight="1" x14ac:dyDescent="0.25">
      <c r="A1833">
        <v>0</v>
      </c>
      <c r="B1833">
        <v>36.740932464599609</v>
      </c>
    </row>
    <row r="1834" spans="1:2" ht="15" customHeight="1" x14ac:dyDescent="0.25">
      <c r="A1834">
        <v>0</v>
      </c>
      <c r="B1834">
        <v>59.489971160888672</v>
      </c>
    </row>
    <row r="1835" spans="1:2" ht="15" customHeight="1" x14ac:dyDescent="0.25">
      <c r="A1835">
        <v>0</v>
      </c>
      <c r="B1835">
        <v>98.846511840820313</v>
      </c>
    </row>
    <row r="1836" spans="1:2" ht="15" customHeight="1" x14ac:dyDescent="0.25">
      <c r="A1836">
        <v>0</v>
      </c>
      <c r="B1836">
        <v>130.1905517578125</v>
      </c>
    </row>
    <row r="1837" spans="1:2" ht="15" customHeight="1" x14ac:dyDescent="0.25">
      <c r="A1837">
        <v>19.909721374511719</v>
      </c>
      <c r="B1837">
        <v>153.1793212890625</v>
      </c>
    </row>
    <row r="1838" spans="1:2" ht="15" customHeight="1" x14ac:dyDescent="0.25">
      <c r="A1838">
        <v>51.084934234619141</v>
      </c>
      <c r="B1838">
        <v>163.23818969726562</v>
      </c>
    </row>
    <row r="1839" spans="1:2" ht="15" customHeight="1" x14ac:dyDescent="0.25">
      <c r="A1839">
        <v>72.313278198242188</v>
      </c>
      <c r="B1839">
        <v>167.75114440917969</v>
      </c>
    </row>
    <row r="1840" spans="1:2" ht="15" customHeight="1" x14ac:dyDescent="0.25">
      <c r="A1840">
        <v>123.59000396728516</v>
      </c>
      <c r="B1840">
        <v>152.14608764648437</v>
      </c>
    </row>
    <row r="1841" spans="1:2" ht="15" customHeight="1" x14ac:dyDescent="0.25">
      <c r="A1841">
        <v>145.729736328125</v>
      </c>
      <c r="B1841">
        <v>155.88359069824219</v>
      </c>
    </row>
    <row r="1842" spans="1:2" ht="15" customHeight="1" x14ac:dyDescent="0.25">
      <c r="A1842">
        <v>168.24549865722656</v>
      </c>
      <c r="B1842">
        <v>170.06704711914062</v>
      </c>
    </row>
    <row r="1843" spans="1:2" ht="15" customHeight="1" x14ac:dyDescent="0.25">
      <c r="A1843">
        <v>194.18411254882812</v>
      </c>
      <c r="B1843">
        <v>197.7161865234375</v>
      </c>
    </row>
    <row r="1844" spans="1:2" ht="15" customHeight="1" x14ac:dyDescent="0.25">
      <c r="A1844">
        <v>216.662353515625</v>
      </c>
      <c r="B1844">
        <v>243.22004699707031</v>
      </c>
    </row>
    <row r="1845" spans="1:2" ht="15" customHeight="1" x14ac:dyDescent="0.25">
      <c r="A1845">
        <v>188.91542053222656</v>
      </c>
      <c r="B1845">
        <v>274.67446899414062</v>
      </c>
    </row>
    <row r="1846" spans="1:2" ht="15" customHeight="1" x14ac:dyDescent="0.25">
      <c r="A1846">
        <v>189.96670532226562</v>
      </c>
      <c r="B1846">
        <v>271.14877319335937</v>
      </c>
    </row>
    <row r="1847" spans="1:2" ht="15" customHeight="1" x14ac:dyDescent="0.25">
      <c r="A1847">
        <v>205.63938903808594</v>
      </c>
      <c r="B1847">
        <v>270.23709106445312</v>
      </c>
    </row>
    <row r="1848" spans="1:2" ht="15" customHeight="1" x14ac:dyDescent="0.25">
      <c r="A1848">
        <v>241.40983581542969</v>
      </c>
      <c r="B1848">
        <v>270.22079467773437</v>
      </c>
    </row>
    <row r="1849" spans="1:2" ht="15" customHeight="1" x14ac:dyDescent="0.25">
      <c r="A1849">
        <v>296.94778442382812</v>
      </c>
      <c r="B1849">
        <v>269.46673583984375</v>
      </c>
    </row>
    <row r="1850" spans="1:2" ht="15" customHeight="1" x14ac:dyDescent="0.25">
      <c r="A1850">
        <v>322.18768310546875</v>
      </c>
      <c r="B1850">
        <v>270.16921997070312</v>
      </c>
    </row>
    <row r="1851" spans="1:2" ht="15" customHeight="1" x14ac:dyDescent="0.25">
      <c r="A1851">
        <v>317.20489501953125</v>
      </c>
      <c r="B1851">
        <v>270.23516845703125</v>
      </c>
    </row>
    <row r="1852" spans="1:2" ht="15" customHeight="1" x14ac:dyDescent="0.25">
      <c r="A1852">
        <v>314.11181640625</v>
      </c>
      <c r="B1852">
        <v>269.59353637695312</v>
      </c>
    </row>
    <row r="1853" spans="1:2" ht="15" customHeight="1" x14ac:dyDescent="0.25">
      <c r="A1853">
        <v>312.05252075195312</v>
      </c>
      <c r="B1853">
        <v>270.1072998046875</v>
      </c>
    </row>
    <row r="1854" spans="1:2" ht="15" customHeight="1" x14ac:dyDescent="0.25">
      <c r="A1854">
        <v>308.23577880859375</v>
      </c>
      <c r="B1854">
        <v>271.13290405273437</v>
      </c>
    </row>
    <row r="1855" spans="1:2" ht="15" customHeight="1" x14ac:dyDescent="0.25">
      <c r="A1855">
        <v>309.64569091796875</v>
      </c>
      <c r="B1855">
        <v>339.12786865234375</v>
      </c>
    </row>
    <row r="1856" spans="1:2" ht="15" customHeight="1" x14ac:dyDescent="0.25">
      <c r="A1856">
        <v>308.67941284179687</v>
      </c>
      <c r="B1856">
        <v>348.30685424804687</v>
      </c>
    </row>
    <row r="1857" spans="1:2" ht="15" customHeight="1" x14ac:dyDescent="0.25">
      <c r="A1857">
        <v>309.77688598632812</v>
      </c>
      <c r="B1857">
        <v>348.38534545898437</v>
      </c>
    </row>
    <row r="1858" spans="1:2" ht="15" customHeight="1" x14ac:dyDescent="0.25">
      <c r="A1858">
        <v>310.51345825195312</v>
      </c>
      <c r="B1858">
        <v>350.07330322265625</v>
      </c>
    </row>
    <row r="1859" spans="1:2" ht="15" customHeight="1" x14ac:dyDescent="0.25">
      <c r="A1859">
        <v>315.94970703125</v>
      </c>
      <c r="B1859">
        <v>363.78939819335937</v>
      </c>
    </row>
    <row r="1860" spans="1:2" ht="15" customHeight="1" x14ac:dyDescent="0.25">
      <c r="A1860">
        <v>396.4056396484375</v>
      </c>
      <c r="B1860">
        <v>415.5875244140625</v>
      </c>
    </row>
    <row r="1861" spans="1:2" ht="15" customHeight="1" x14ac:dyDescent="0.25">
      <c r="A1861">
        <v>397.90191650390625</v>
      </c>
      <c r="B1861">
        <v>419.8870849609375</v>
      </c>
    </row>
    <row r="1862" spans="1:2" ht="15" customHeight="1" x14ac:dyDescent="0.25">
      <c r="A1862">
        <v>399.51641845703125</v>
      </c>
      <c r="B1862">
        <v>419.87374877929687</v>
      </c>
    </row>
    <row r="1863" spans="1:2" ht="15" customHeight="1" x14ac:dyDescent="0.25">
      <c r="A1863">
        <v>398.07180786132813</v>
      </c>
      <c r="B1863">
        <v>418.751953125</v>
      </c>
    </row>
    <row r="1864" spans="1:2" ht="15" customHeight="1" x14ac:dyDescent="0.25">
      <c r="A1864">
        <v>420.98577880859375</v>
      </c>
      <c r="B1864">
        <v>420.47903442382812</v>
      </c>
    </row>
    <row r="1865" spans="1:2" ht="15" customHeight="1" x14ac:dyDescent="0.25">
      <c r="A1865">
        <v>477.84707641601562</v>
      </c>
      <c r="B1865">
        <v>419.35604858398437</v>
      </c>
    </row>
    <row r="1866" spans="1:2" ht="15" customHeight="1" x14ac:dyDescent="0.25">
      <c r="A1866">
        <v>475.2984619140625</v>
      </c>
      <c r="B1866">
        <v>420.62103271484375</v>
      </c>
    </row>
    <row r="1867" spans="1:2" ht="15" customHeight="1" x14ac:dyDescent="0.25">
      <c r="A1867">
        <v>472.90231323242187</v>
      </c>
      <c r="B1867">
        <v>418.77182006835937</v>
      </c>
    </row>
    <row r="1868" spans="1:2" ht="15" customHeight="1" x14ac:dyDescent="0.25">
      <c r="A1868">
        <v>473.02560424804687</v>
      </c>
      <c r="B1868">
        <v>420.141845703125</v>
      </c>
    </row>
    <row r="1869" spans="1:2" ht="15" customHeight="1" x14ac:dyDescent="0.25">
      <c r="A1869">
        <v>473.40182495117187</v>
      </c>
      <c r="B1869">
        <v>419.66232299804687</v>
      </c>
    </row>
    <row r="1870" spans="1:2" ht="15" customHeight="1" x14ac:dyDescent="0.25">
      <c r="A1870">
        <v>473.601318359375</v>
      </c>
      <c r="B1870">
        <v>420.70062255859375</v>
      </c>
    </row>
    <row r="1871" spans="1:2" ht="15" customHeight="1" x14ac:dyDescent="0.25">
      <c r="A1871">
        <v>474.40631103515625</v>
      </c>
      <c r="B1871">
        <v>419.59878540039062</v>
      </c>
    </row>
    <row r="1872" spans="1:2" ht="15" customHeight="1" x14ac:dyDescent="0.25">
      <c r="A1872">
        <v>473.3626708984375</v>
      </c>
      <c r="B1872">
        <v>420.1842041015625</v>
      </c>
    </row>
    <row r="1873" spans="1:2" ht="15" customHeight="1" x14ac:dyDescent="0.25">
      <c r="A1873">
        <v>476.7574462890625</v>
      </c>
      <c r="B1873">
        <v>420.90460205078125</v>
      </c>
    </row>
    <row r="1874" spans="1:2" ht="15" customHeight="1" x14ac:dyDescent="0.25">
      <c r="A1874">
        <v>480.17681884765625</v>
      </c>
      <c r="B1874">
        <v>419.49899291992187</v>
      </c>
    </row>
    <row r="1875" spans="1:2" ht="15" customHeight="1" x14ac:dyDescent="0.25">
      <c r="A1875">
        <v>481.02841186523437</v>
      </c>
      <c r="B1875">
        <v>420.627685546875</v>
      </c>
    </row>
    <row r="1876" spans="1:2" ht="15" customHeight="1" x14ac:dyDescent="0.25">
      <c r="A1876">
        <v>480.70919799804687</v>
      </c>
      <c r="B1876">
        <v>421.21463012695312</v>
      </c>
    </row>
    <row r="1877" spans="1:2" ht="15" customHeight="1" x14ac:dyDescent="0.25">
      <c r="A1877">
        <v>482.28271484375</v>
      </c>
      <c r="B1877">
        <v>419.36447143554687</v>
      </c>
    </row>
    <row r="1878" spans="1:2" ht="15" customHeight="1" x14ac:dyDescent="0.25">
      <c r="A1878">
        <v>480.85800170898437</v>
      </c>
      <c r="B1878">
        <v>420.03958129882812</v>
      </c>
    </row>
    <row r="1879" spans="1:2" ht="15" customHeight="1" x14ac:dyDescent="0.25">
      <c r="A1879">
        <v>477.09042358398437</v>
      </c>
      <c r="B1879">
        <v>419.14242553710938</v>
      </c>
    </row>
    <row r="1880" spans="1:2" ht="15" customHeight="1" x14ac:dyDescent="0.25">
      <c r="A1880">
        <v>475.93832397460938</v>
      </c>
      <c r="B1880">
        <v>420.50457763671875</v>
      </c>
    </row>
    <row r="1881" spans="1:2" ht="15" customHeight="1" x14ac:dyDescent="0.25">
      <c r="A1881">
        <v>469.75033569335937</v>
      </c>
      <c r="B1881">
        <v>418.9512939453125</v>
      </c>
    </row>
    <row r="1882" spans="1:2" ht="15" customHeight="1" x14ac:dyDescent="0.25">
      <c r="A1882">
        <v>462.29751586914062</v>
      </c>
      <c r="B1882">
        <v>419.48663330078125</v>
      </c>
    </row>
    <row r="1883" spans="1:2" ht="15" customHeight="1" x14ac:dyDescent="0.25">
      <c r="A1883">
        <v>458.540771484375</v>
      </c>
      <c r="B1883">
        <v>420.05001831054687</v>
      </c>
    </row>
    <row r="1884" spans="1:2" ht="15" customHeight="1" x14ac:dyDescent="0.25">
      <c r="A1884">
        <v>453.83465576171875</v>
      </c>
      <c r="B1884">
        <v>419.44265747070312</v>
      </c>
    </row>
    <row r="1885" spans="1:2" ht="15" customHeight="1" x14ac:dyDescent="0.25">
      <c r="A1885">
        <v>455.81613159179687</v>
      </c>
      <c r="B1885">
        <v>419.08132934570312</v>
      </c>
    </row>
    <row r="1886" spans="1:2" ht="15" customHeight="1" x14ac:dyDescent="0.25">
      <c r="A1886">
        <v>455.22564697265625</v>
      </c>
      <c r="B1886">
        <v>419.39474487304687</v>
      </c>
    </row>
    <row r="1887" spans="1:2" ht="15" customHeight="1" x14ac:dyDescent="0.25">
      <c r="A1887">
        <v>454.19351196289062</v>
      </c>
      <c r="B1887">
        <v>418.91278076171875</v>
      </c>
    </row>
    <row r="1888" spans="1:2" ht="15" customHeight="1" x14ac:dyDescent="0.25">
      <c r="A1888">
        <v>454.79013061523437</v>
      </c>
      <c r="B1888">
        <v>421.40664672851563</v>
      </c>
    </row>
    <row r="1889" spans="1:2" ht="15" customHeight="1" x14ac:dyDescent="0.25">
      <c r="A1889">
        <v>453.21563720703125</v>
      </c>
      <c r="B1889">
        <v>420.63058471679687</v>
      </c>
    </row>
    <row r="1890" spans="1:2" ht="15" customHeight="1" x14ac:dyDescent="0.25">
      <c r="A1890">
        <v>455.49139404296875</v>
      </c>
      <c r="B1890">
        <v>420.35610961914062</v>
      </c>
    </row>
    <row r="1891" spans="1:2" ht="15" customHeight="1" x14ac:dyDescent="0.25">
      <c r="A1891">
        <v>461.25869750976562</v>
      </c>
      <c r="B1891">
        <v>419.8486328125</v>
      </c>
    </row>
    <row r="1892" spans="1:2" ht="15" customHeight="1" x14ac:dyDescent="0.25">
      <c r="A1892">
        <v>466.3668212890625</v>
      </c>
      <c r="B1892">
        <v>420.670654296875</v>
      </c>
    </row>
    <row r="1893" spans="1:2" ht="15" customHeight="1" x14ac:dyDescent="0.25">
      <c r="A1893">
        <v>472.40655517578125</v>
      </c>
      <c r="B1893">
        <v>419.44293212890625</v>
      </c>
    </row>
    <row r="1894" spans="1:2" ht="15" customHeight="1" x14ac:dyDescent="0.25">
      <c r="A1894">
        <v>470.42269897460937</v>
      </c>
      <c r="B1894">
        <v>419.29083251953125</v>
      </c>
    </row>
    <row r="1895" spans="1:2" ht="15" customHeight="1" x14ac:dyDescent="0.25">
      <c r="A1895">
        <v>470.23028564453125</v>
      </c>
      <c r="B1895">
        <v>420.22018432617187</v>
      </c>
    </row>
    <row r="1896" spans="1:2" ht="15" customHeight="1" x14ac:dyDescent="0.25">
      <c r="A1896">
        <v>470.26223754882812</v>
      </c>
      <c r="B1896">
        <v>420.71551513671875</v>
      </c>
    </row>
    <row r="1897" spans="1:2" ht="15" customHeight="1" x14ac:dyDescent="0.25">
      <c r="A1897">
        <v>468.93792724609375</v>
      </c>
      <c r="B1897">
        <v>419.12997436523437</v>
      </c>
    </row>
    <row r="1898" spans="1:2" ht="15" customHeight="1" x14ac:dyDescent="0.25">
      <c r="A1898">
        <v>469.08432006835937</v>
      </c>
      <c r="B1898">
        <v>420.99642944335937</v>
      </c>
    </row>
    <row r="1899" spans="1:2" ht="15" customHeight="1" x14ac:dyDescent="0.25">
      <c r="A1899">
        <v>471.98837280273437</v>
      </c>
      <c r="B1899">
        <v>419.52838134765625</v>
      </c>
    </row>
    <row r="1900" spans="1:2" ht="15" customHeight="1" x14ac:dyDescent="0.25">
      <c r="A1900">
        <v>472.82223510742187</v>
      </c>
      <c r="B1900">
        <v>419.67941284179687</v>
      </c>
    </row>
    <row r="1901" spans="1:2" ht="15" customHeight="1" x14ac:dyDescent="0.25">
      <c r="A1901">
        <v>473.2059326171875</v>
      </c>
      <c r="B1901">
        <v>419.0738525390625</v>
      </c>
    </row>
    <row r="1902" spans="1:2" ht="15" customHeight="1" x14ac:dyDescent="0.25">
      <c r="A1902">
        <v>472.64486694335937</v>
      </c>
      <c r="B1902">
        <v>420.45199584960937</v>
      </c>
    </row>
    <row r="1903" spans="1:2" ht="15" customHeight="1" x14ac:dyDescent="0.25">
      <c r="A1903">
        <v>471.75872802734375</v>
      </c>
      <c r="B1903">
        <v>419.62384033203125</v>
      </c>
    </row>
    <row r="1904" spans="1:2" ht="15" customHeight="1" x14ac:dyDescent="0.25">
      <c r="A1904">
        <v>469.9990234375</v>
      </c>
      <c r="B1904">
        <v>421.52255249023437</v>
      </c>
    </row>
    <row r="1905" spans="1:2" ht="15" customHeight="1" x14ac:dyDescent="0.25">
      <c r="A1905">
        <v>470.80398559570312</v>
      </c>
      <c r="B1905">
        <v>419.32321166992187</v>
      </c>
    </row>
    <row r="1906" spans="1:2" ht="15" customHeight="1" x14ac:dyDescent="0.25">
      <c r="A1906">
        <v>472.65341186523437</v>
      </c>
      <c r="B1906">
        <v>419.92962646484375</v>
      </c>
    </row>
    <row r="1907" spans="1:2" ht="15" customHeight="1" x14ac:dyDescent="0.25">
      <c r="A1907">
        <v>478.19244384765625</v>
      </c>
      <c r="B1907">
        <v>420.00814819335938</v>
      </c>
    </row>
    <row r="1908" spans="1:2" ht="15" customHeight="1" x14ac:dyDescent="0.25">
      <c r="A1908">
        <v>479.90048217773437</v>
      </c>
      <c r="B1908">
        <v>420.220703125</v>
      </c>
    </row>
    <row r="1909" spans="1:2" ht="15" customHeight="1" x14ac:dyDescent="0.25">
      <c r="A1909">
        <v>479.40435791015625</v>
      </c>
      <c r="B1909">
        <v>420.01663208007812</v>
      </c>
    </row>
    <row r="1910" spans="1:2" ht="15" customHeight="1" x14ac:dyDescent="0.25">
      <c r="A1910">
        <v>478.7596435546875</v>
      </c>
      <c r="B1910">
        <v>420.05950927734375</v>
      </c>
    </row>
    <row r="1911" spans="1:2" ht="15" customHeight="1" x14ac:dyDescent="0.25">
      <c r="A1911">
        <v>483.078857421875</v>
      </c>
      <c r="B1911">
        <v>420.05059814453125</v>
      </c>
    </row>
    <row r="1912" spans="1:2" ht="15" customHeight="1" x14ac:dyDescent="0.25">
      <c r="A1912">
        <v>483.0408935546875</v>
      </c>
      <c r="B1912">
        <v>419.83447265625</v>
      </c>
    </row>
    <row r="1913" spans="1:2" ht="15" customHeight="1" x14ac:dyDescent="0.25">
      <c r="A1913">
        <v>481.14727783203125</v>
      </c>
      <c r="B1913">
        <v>414.3990478515625</v>
      </c>
    </row>
    <row r="1914" spans="1:2" ht="15" customHeight="1" x14ac:dyDescent="0.25">
      <c r="A1914">
        <v>481.7091064453125</v>
      </c>
      <c r="B1914">
        <v>363.59768676757812</v>
      </c>
    </row>
    <row r="1915" spans="1:2" ht="15" customHeight="1" x14ac:dyDescent="0.25">
      <c r="A1915">
        <v>480.94622802734375</v>
      </c>
      <c r="B1915">
        <v>303.26800537109375</v>
      </c>
    </row>
    <row r="1916" spans="1:2" ht="15" customHeight="1" x14ac:dyDescent="0.25">
      <c r="A1916">
        <v>477.238525390625</v>
      </c>
      <c r="B1916">
        <v>216.40597534179687</v>
      </c>
    </row>
    <row r="1917" spans="1:2" ht="15" customHeight="1" x14ac:dyDescent="0.25">
      <c r="A1917">
        <v>477.39968872070313</v>
      </c>
      <c r="B1917">
        <v>198.31585693359375</v>
      </c>
    </row>
    <row r="1918" spans="1:2" ht="15" customHeight="1" x14ac:dyDescent="0.25">
      <c r="A1918">
        <v>470.3206787109375</v>
      </c>
      <c r="B1918">
        <v>198.87847900390625</v>
      </c>
    </row>
    <row r="1919" spans="1:2" ht="15" customHeight="1" x14ac:dyDescent="0.25">
      <c r="A1919">
        <v>410.93685913085937</v>
      </c>
      <c r="B1919">
        <v>199.94331359863281</v>
      </c>
    </row>
    <row r="1920" spans="1:2" ht="15" customHeight="1" x14ac:dyDescent="0.25">
      <c r="A1920">
        <v>350.1064453125</v>
      </c>
      <c r="B1920">
        <v>199.14761352539062</v>
      </c>
    </row>
    <row r="1921" spans="1:2" ht="15" customHeight="1" x14ac:dyDescent="0.25">
      <c r="A1921">
        <v>250.56179809570312</v>
      </c>
      <c r="B1921">
        <v>198.60560607910156</v>
      </c>
    </row>
    <row r="1922" spans="1:2" ht="15" customHeight="1" x14ac:dyDescent="0.25">
      <c r="A1922">
        <v>240.21653747558594</v>
      </c>
      <c r="B1922">
        <v>215.7498779296875</v>
      </c>
    </row>
    <row r="1923" spans="1:2" ht="15" customHeight="1" x14ac:dyDescent="0.25">
      <c r="A1923">
        <v>241.27099609375</v>
      </c>
      <c r="B1923">
        <v>232.38121032714844</v>
      </c>
    </row>
    <row r="1924" spans="1:2" ht="15" customHeight="1" x14ac:dyDescent="0.25">
      <c r="A1924">
        <v>242.47427368164062</v>
      </c>
      <c r="B1924">
        <v>344.82891845703125</v>
      </c>
    </row>
    <row r="1925" spans="1:2" ht="15" customHeight="1" x14ac:dyDescent="0.25">
      <c r="A1925">
        <v>242.62164306640625</v>
      </c>
      <c r="B1925">
        <v>390.84527587890625</v>
      </c>
    </row>
    <row r="1926" spans="1:2" ht="15" customHeight="1" x14ac:dyDescent="0.25">
      <c r="A1926">
        <v>242.23509216308594</v>
      </c>
      <c r="B1926">
        <v>374.3203125</v>
      </c>
    </row>
    <row r="1927" spans="1:2" ht="15" customHeight="1" x14ac:dyDescent="0.25">
      <c r="A1927">
        <v>260.19094848632812</v>
      </c>
      <c r="B1927">
        <v>367.66265869140625</v>
      </c>
    </row>
    <row r="1928" spans="1:2" ht="15" customHeight="1" x14ac:dyDescent="0.25">
      <c r="A1928">
        <v>282.8643798828125</v>
      </c>
      <c r="B1928">
        <v>362.82806396484375</v>
      </c>
    </row>
    <row r="1929" spans="1:2" ht="15" customHeight="1" x14ac:dyDescent="0.25">
      <c r="A1929">
        <v>414.661376953125</v>
      </c>
      <c r="B1929">
        <v>293.95291137695312</v>
      </c>
    </row>
    <row r="1930" spans="1:2" ht="15" customHeight="1" x14ac:dyDescent="0.25">
      <c r="A1930">
        <v>446.43252563476562</v>
      </c>
      <c r="B1930">
        <v>264.4979248046875</v>
      </c>
    </row>
    <row r="1931" spans="1:2" ht="15" customHeight="1" x14ac:dyDescent="0.25">
      <c r="A1931">
        <v>424.1038818359375</v>
      </c>
      <c r="B1931">
        <v>247.13424682617187</v>
      </c>
    </row>
    <row r="1932" spans="1:2" ht="15" customHeight="1" x14ac:dyDescent="0.25">
      <c r="A1932">
        <v>415.96578979492187</v>
      </c>
      <c r="B1932">
        <v>257.29354858398437</v>
      </c>
    </row>
    <row r="1933" spans="1:2" ht="15" customHeight="1" x14ac:dyDescent="0.25">
      <c r="A1933">
        <v>406.3748779296875</v>
      </c>
      <c r="B1933">
        <v>347.34567260742188</v>
      </c>
    </row>
    <row r="1934" spans="1:2" ht="15" customHeight="1" x14ac:dyDescent="0.25">
      <c r="A1934">
        <v>332.94775390625</v>
      </c>
      <c r="B1934">
        <v>392.03680419921875</v>
      </c>
    </row>
    <row r="1935" spans="1:2" ht="15" customHeight="1" x14ac:dyDescent="0.25">
      <c r="A1935">
        <v>302.19668579101563</v>
      </c>
      <c r="B1935">
        <v>417.40997314453125</v>
      </c>
    </row>
    <row r="1936" spans="1:2" ht="15" customHeight="1" x14ac:dyDescent="0.25">
      <c r="A1936">
        <v>288.46365356445313</v>
      </c>
      <c r="B1936">
        <v>415.52920532226562</v>
      </c>
    </row>
    <row r="1937" spans="1:2" ht="15" customHeight="1" x14ac:dyDescent="0.25">
      <c r="A1937">
        <v>303.4764404296875</v>
      </c>
      <c r="B1937">
        <v>382.2047119140625</v>
      </c>
    </row>
    <row r="1938" spans="1:2" ht="15" customHeight="1" x14ac:dyDescent="0.25">
      <c r="A1938">
        <v>403.218994140625</v>
      </c>
      <c r="B1938">
        <v>268.9964599609375</v>
      </c>
    </row>
    <row r="1939" spans="1:2" ht="15" customHeight="1" x14ac:dyDescent="0.25">
      <c r="A1939">
        <v>447.9151611328125</v>
      </c>
      <c r="B1939">
        <v>205.04348754882812</v>
      </c>
    </row>
    <row r="1940" spans="1:2" ht="15" customHeight="1" x14ac:dyDescent="0.25">
      <c r="A1940">
        <v>475.91561889648437</v>
      </c>
      <c r="B1940">
        <v>202.4134521484375</v>
      </c>
    </row>
    <row r="1941" spans="1:2" ht="15" customHeight="1" x14ac:dyDescent="0.25">
      <c r="A1941">
        <v>469.02386474609375</v>
      </c>
      <c r="B1941">
        <v>198.81936645507812</v>
      </c>
    </row>
    <row r="1942" spans="1:2" ht="15" customHeight="1" x14ac:dyDescent="0.25">
      <c r="A1942">
        <v>425.86282348632812</v>
      </c>
      <c r="B1942">
        <v>199.29901123046875</v>
      </c>
    </row>
    <row r="1943" spans="1:2" ht="15" customHeight="1" x14ac:dyDescent="0.25">
      <c r="A1943">
        <v>298.6500244140625</v>
      </c>
      <c r="B1943">
        <v>199.73020935058594</v>
      </c>
    </row>
    <row r="1944" spans="1:2" ht="15" customHeight="1" x14ac:dyDescent="0.25">
      <c r="A1944">
        <v>239.44119262695312</v>
      </c>
      <c r="B1944">
        <v>202.96360778808594</v>
      </c>
    </row>
    <row r="1945" spans="1:2" ht="15" customHeight="1" x14ac:dyDescent="0.25">
      <c r="A1945">
        <v>238.62872314453125</v>
      </c>
      <c r="B1945">
        <v>256.5489501953125</v>
      </c>
    </row>
    <row r="1946" spans="1:2" ht="15" customHeight="1" x14ac:dyDescent="0.25">
      <c r="A1946">
        <v>237.3990478515625</v>
      </c>
      <c r="B1946">
        <v>360.36660766601562</v>
      </c>
    </row>
    <row r="1947" spans="1:2" ht="15" customHeight="1" x14ac:dyDescent="0.25">
      <c r="A1947">
        <v>237.49601745605469</v>
      </c>
      <c r="B1947">
        <v>422.6455078125</v>
      </c>
    </row>
    <row r="1948" spans="1:2" ht="15" customHeight="1" x14ac:dyDescent="0.25">
      <c r="A1948">
        <v>238.16470336914063</v>
      </c>
      <c r="B1948">
        <v>418.70394897460937</v>
      </c>
    </row>
    <row r="1949" spans="1:2" ht="15" customHeight="1" x14ac:dyDescent="0.25">
      <c r="A1949">
        <v>244.12449645996094</v>
      </c>
      <c r="B1949">
        <v>419.16156005859375</v>
      </c>
    </row>
    <row r="1950" spans="1:2" ht="15" customHeight="1" x14ac:dyDescent="0.25">
      <c r="A1950">
        <v>305.67434692382812</v>
      </c>
      <c r="B1950">
        <v>419.3873291015625</v>
      </c>
    </row>
    <row r="1951" spans="1:2" ht="15" customHeight="1" x14ac:dyDescent="0.25">
      <c r="A1951">
        <v>428.46798706054687</v>
      </c>
      <c r="B1951">
        <v>419.36135864257812</v>
      </c>
    </row>
    <row r="1952" spans="1:2" ht="15" customHeight="1" x14ac:dyDescent="0.25">
      <c r="A1952">
        <v>479.54296875</v>
      </c>
      <c r="B1952">
        <v>416.94155883789062</v>
      </c>
    </row>
    <row r="1953" spans="1:2" ht="15" customHeight="1" x14ac:dyDescent="0.25">
      <c r="A1953">
        <v>475.07577514648437</v>
      </c>
      <c r="B1953">
        <v>415.96688842773437</v>
      </c>
    </row>
    <row r="1954" spans="1:2" ht="15" customHeight="1" x14ac:dyDescent="0.25">
      <c r="A1954">
        <v>476.4417724609375</v>
      </c>
      <c r="B1954">
        <v>417.09317016601562</v>
      </c>
    </row>
    <row r="1955" spans="1:2" ht="15" customHeight="1" x14ac:dyDescent="0.25">
      <c r="A1955">
        <v>476.47103881835937</v>
      </c>
      <c r="B1955">
        <v>416.96353149414062</v>
      </c>
    </row>
    <row r="1956" spans="1:2" ht="15" customHeight="1" x14ac:dyDescent="0.25">
      <c r="A1956">
        <v>475.266845703125</v>
      </c>
      <c r="B1956">
        <v>417.08905029296875</v>
      </c>
    </row>
    <row r="1957" spans="1:2" ht="15" customHeight="1" x14ac:dyDescent="0.25">
      <c r="A1957">
        <v>474.12014770507812</v>
      </c>
      <c r="B1957">
        <v>417.03692626953125</v>
      </c>
    </row>
    <row r="1958" spans="1:2" ht="15" customHeight="1" x14ac:dyDescent="0.25">
      <c r="A1958">
        <v>474.56460571289062</v>
      </c>
      <c r="B1958">
        <v>417.32467651367187</v>
      </c>
    </row>
    <row r="1959" spans="1:2" ht="15" customHeight="1" x14ac:dyDescent="0.25">
      <c r="A1959">
        <v>477.08187866210937</v>
      </c>
      <c r="B1959">
        <v>417.664794921875</v>
      </c>
    </row>
    <row r="1960" spans="1:2" ht="15" customHeight="1" x14ac:dyDescent="0.25">
      <c r="A1960">
        <v>477.62545776367187</v>
      </c>
      <c r="B1960">
        <v>419.8109130859375</v>
      </c>
    </row>
    <row r="1961" spans="1:2" ht="15" customHeight="1" x14ac:dyDescent="0.25">
      <c r="A1961">
        <v>479.19183349609375</v>
      </c>
      <c r="B1961">
        <v>417.33987426757812</v>
      </c>
    </row>
    <row r="1962" spans="1:2" ht="15" customHeight="1" x14ac:dyDescent="0.25">
      <c r="A1962">
        <v>476.71664428710937</v>
      </c>
      <c r="B1962">
        <v>349.91915893554687</v>
      </c>
    </row>
    <row r="1963" spans="1:2" ht="15" customHeight="1" x14ac:dyDescent="0.25">
      <c r="A1963">
        <v>476.262939453125</v>
      </c>
      <c r="B1963">
        <v>374.95443725585937</v>
      </c>
    </row>
    <row r="1964" spans="1:2" ht="15" customHeight="1" x14ac:dyDescent="0.25">
      <c r="A1964">
        <v>474.56158447265625</v>
      </c>
      <c r="B1964">
        <v>378.7314453125</v>
      </c>
    </row>
    <row r="1965" spans="1:2" ht="15" customHeight="1" x14ac:dyDescent="0.25">
      <c r="A1965">
        <v>474.41934204101562</v>
      </c>
      <c r="B1965">
        <v>377.38760375976562</v>
      </c>
    </row>
    <row r="1966" spans="1:2" ht="15" customHeight="1" x14ac:dyDescent="0.25">
      <c r="A1966">
        <v>471.11727905273438</v>
      </c>
      <c r="B1966">
        <v>378.18389892578125</v>
      </c>
    </row>
    <row r="1967" spans="1:2" ht="15" customHeight="1" x14ac:dyDescent="0.25">
      <c r="A1967">
        <v>387.4404296875</v>
      </c>
      <c r="B1967">
        <v>377.89132690429688</v>
      </c>
    </row>
    <row r="1968" spans="1:2" ht="15" customHeight="1" x14ac:dyDescent="0.25">
      <c r="A1968">
        <v>425.61166381835937</v>
      </c>
      <c r="B1968">
        <v>377.65487670898437</v>
      </c>
    </row>
    <row r="1969" spans="1:2" ht="15" customHeight="1" x14ac:dyDescent="0.25">
      <c r="A1969">
        <v>426.83956909179687</v>
      </c>
      <c r="B1969">
        <v>377.74334716796875</v>
      </c>
    </row>
    <row r="1970" spans="1:2" ht="15" customHeight="1" x14ac:dyDescent="0.25">
      <c r="A1970">
        <v>427.21536254882812</v>
      </c>
      <c r="B1970">
        <v>405.68667602539062</v>
      </c>
    </row>
    <row r="1971" spans="1:2" ht="15" customHeight="1" x14ac:dyDescent="0.25">
      <c r="A1971">
        <v>426.6248779296875</v>
      </c>
      <c r="B1971">
        <v>415.80987548828125</v>
      </c>
    </row>
    <row r="1972" spans="1:2" ht="15" customHeight="1" x14ac:dyDescent="0.25">
      <c r="A1972">
        <v>427.5386962890625</v>
      </c>
      <c r="B1972">
        <v>413.94357299804687</v>
      </c>
    </row>
    <row r="1973" spans="1:2" ht="15" customHeight="1" x14ac:dyDescent="0.25">
      <c r="A1973">
        <v>427.78683471679687</v>
      </c>
      <c r="B1973">
        <v>409.6514892578125</v>
      </c>
    </row>
    <row r="1974" spans="1:2" ht="15" customHeight="1" x14ac:dyDescent="0.25">
      <c r="A1974">
        <v>426.90252685546875</v>
      </c>
      <c r="B1974">
        <v>403.90283203125</v>
      </c>
    </row>
    <row r="1975" spans="1:2" ht="15" customHeight="1" x14ac:dyDescent="0.25">
      <c r="A1975">
        <v>462.44140625</v>
      </c>
      <c r="B1975">
        <v>410.36660766601562</v>
      </c>
    </row>
    <row r="1976" spans="1:2" ht="15" customHeight="1" x14ac:dyDescent="0.25">
      <c r="A1976">
        <v>471.53997802734375</v>
      </c>
      <c r="B1976">
        <v>413.03244018554687</v>
      </c>
    </row>
    <row r="1977" spans="1:2" ht="15" customHeight="1" x14ac:dyDescent="0.25">
      <c r="A1977">
        <v>468.60531616210937</v>
      </c>
      <c r="B1977">
        <v>389.22406005859375</v>
      </c>
    </row>
    <row r="1978" spans="1:2" ht="15" customHeight="1" x14ac:dyDescent="0.25">
      <c r="A1978">
        <v>463.54299926757812</v>
      </c>
      <c r="B1978">
        <v>304.85595703125</v>
      </c>
    </row>
    <row r="1979" spans="1:2" ht="15" customHeight="1" x14ac:dyDescent="0.25">
      <c r="A1979">
        <v>456.62716674804687</v>
      </c>
      <c r="B1979">
        <v>333.39984130859375</v>
      </c>
    </row>
    <row r="1980" spans="1:2" ht="15" customHeight="1" x14ac:dyDescent="0.25">
      <c r="A1980">
        <v>464.21337890625</v>
      </c>
      <c r="B1980">
        <v>362.78030395507812</v>
      </c>
    </row>
    <row r="1981" spans="1:2" ht="15" customHeight="1" x14ac:dyDescent="0.25">
      <c r="A1981">
        <v>463.54251098632812</v>
      </c>
      <c r="B1981">
        <v>408.66717529296875</v>
      </c>
    </row>
    <row r="1982" spans="1:2" ht="15" customHeight="1" x14ac:dyDescent="0.25">
      <c r="A1982">
        <v>432.42364501953125</v>
      </c>
      <c r="B1982">
        <v>410.7457275390625</v>
      </c>
    </row>
    <row r="1983" spans="1:2" ht="15" customHeight="1" x14ac:dyDescent="0.25">
      <c r="A1983">
        <v>344.740966796875</v>
      </c>
      <c r="B1983">
        <v>417.206298828125</v>
      </c>
    </row>
    <row r="1984" spans="1:2" ht="15" customHeight="1" x14ac:dyDescent="0.25">
      <c r="A1984">
        <v>383.32366943359375</v>
      </c>
      <c r="B1984">
        <v>417.15652465820312</v>
      </c>
    </row>
    <row r="1985" spans="1:2" ht="15" customHeight="1" x14ac:dyDescent="0.25">
      <c r="A1985">
        <v>417.59750366210937</v>
      </c>
      <c r="B1985">
        <v>404.68453979492187</v>
      </c>
    </row>
    <row r="1986" spans="1:2" ht="15" customHeight="1" x14ac:dyDescent="0.25">
      <c r="A1986">
        <v>473.619873046875</v>
      </c>
      <c r="B1986">
        <v>323.30966186523437</v>
      </c>
    </row>
    <row r="1987" spans="1:2" ht="15" customHeight="1" x14ac:dyDescent="0.25">
      <c r="A1987">
        <v>467.35369873046875</v>
      </c>
      <c r="B1987">
        <v>307.88119506835937</v>
      </c>
    </row>
    <row r="1988" spans="1:2" ht="15" customHeight="1" x14ac:dyDescent="0.25">
      <c r="A1988">
        <v>475.12307739257812</v>
      </c>
      <c r="B1988">
        <v>314.1510009765625</v>
      </c>
    </row>
    <row r="1989" spans="1:2" ht="15" customHeight="1" x14ac:dyDescent="0.25">
      <c r="A1989">
        <v>471.91165161132812</v>
      </c>
      <c r="B1989">
        <v>299.96337890625</v>
      </c>
    </row>
    <row r="1990" spans="1:2" ht="15" customHeight="1" x14ac:dyDescent="0.25">
      <c r="A1990">
        <v>448.96942138671875</v>
      </c>
      <c r="B1990">
        <v>300.32485961914062</v>
      </c>
    </row>
    <row r="1991" spans="1:2" ht="15" customHeight="1" x14ac:dyDescent="0.25">
      <c r="A1991">
        <v>362.39364624023437</v>
      </c>
      <c r="B1991">
        <v>298.9080810546875</v>
      </c>
    </row>
    <row r="1992" spans="1:2" ht="15" customHeight="1" x14ac:dyDescent="0.25">
      <c r="A1992">
        <v>351.95950317382812</v>
      </c>
      <c r="B1992">
        <v>302.92864990234375</v>
      </c>
    </row>
    <row r="1993" spans="1:2" ht="15" customHeight="1" x14ac:dyDescent="0.25">
      <c r="A1993">
        <v>354.768310546875</v>
      </c>
      <c r="B1993">
        <v>352.43106079101563</v>
      </c>
    </row>
    <row r="1994" spans="1:2" ht="15" customHeight="1" x14ac:dyDescent="0.25">
      <c r="A1994">
        <v>338.80670166015625</v>
      </c>
      <c r="B1994">
        <v>420.5377197265625</v>
      </c>
    </row>
    <row r="1995" spans="1:2" ht="15" customHeight="1" x14ac:dyDescent="0.25">
      <c r="A1995">
        <v>336.32608032226562</v>
      </c>
      <c r="B1995">
        <v>408.99630737304687</v>
      </c>
    </row>
    <row r="1996" spans="1:2" ht="15" customHeight="1" x14ac:dyDescent="0.25">
      <c r="A1996">
        <v>334.44766235351563</v>
      </c>
      <c r="B1996">
        <v>416.2559814453125</v>
      </c>
    </row>
    <row r="1997" spans="1:2" ht="15" customHeight="1" x14ac:dyDescent="0.25">
      <c r="A1997">
        <v>337.3084716796875</v>
      </c>
      <c r="B1997">
        <v>416.17318725585937</v>
      </c>
    </row>
    <row r="1998" spans="1:2" ht="15" customHeight="1" x14ac:dyDescent="0.25">
      <c r="A1998">
        <v>401.43405151367187</v>
      </c>
      <c r="B1998">
        <v>417.96109008789062</v>
      </c>
    </row>
    <row r="1999" spans="1:2" ht="15" customHeight="1" x14ac:dyDescent="0.25">
      <c r="A1999">
        <v>469.3648681640625</v>
      </c>
      <c r="B1999">
        <v>418.75106811523437</v>
      </c>
    </row>
    <row r="2000" spans="1:2" ht="15" customHeight="1" x14ac:dyDescent="0.25">
      <c r="A2000">
        <v>446.70269775390625</v>
      </c>
      <c r="B2000">
        <v>418.278076171875</v>
      </c>
    </row>
    <row r="2001" spans="1:2" ht="15" customHeight="1" x14ac:dyDescent="0.25">
      <c r="A2001">
        <v>461.528564453125</v>
      </c>
      <c r="B2001">
        <v>419.243896484375</v>
      </c>
    </row>
    <row r="2002" spans="1:2" ht="15" customHeight="1" x14ac:dyDescent="0.25">
      <c r="A2002">
        <v>458.34100341796875</v>
      </c>
      <c r="B2002">
        <v>399.33059692382813</v>
      </c>
    </row>
    <row r="2003" spans="1:2" ht="15" customHeight="1" x14ac:dyDescent="0.25">
      <c r="A2003">
        <v>461.56204223632812</v>
      </c>
      <c r="B2003">
        <v>319.0914306640625</v>
      </c>
    </row>
    <row r="2004" spans="1:2" ht="15" customHeight="1" x14ac:dyDescent="0.25">
      <c r="A2004">
        <v>469.907958984375</v>
      </c>
      <c r="B2004">
        <v>334.03518676757812</v>
      </c>
    </row>
    <row r="2005" spans="1:2" ht="15" customHeight="1" x14ac:dyDescent="0.25">
      <c r="A2005">
        <v>472.3011474609375</v>
      </c>
      <c r="B2005">
        <v>348.48867797851562</v>
      </c>
    </row>
    <row r="2006" spans="1:2" ht="15" customHeight="1" x14ac:dyDescent="0.25">
      <c r="A2006">
        <v>474.52813720703125</v>
      </c>
      <c r="B2006">
        <v>389.60818481445312</v>
      </c>
    </row>
    <row r="2007" spans="1:2" ht="15" customHeight="1" x14ac:dyDescent="0.25">
      <c r="A2007">
        <v>445.95187377929687</v>
      </c>
      <c r="B2007">
        <v>505.46212768554687</v>
      </c>
    </row>
    <row r="2008" spans="1:2" ht="15" customHeight="1" x14ac:dyDescent="0.25">
      <c r="A2008">
        <v>362.69442749023437</v>
      </c>
      <c r="B2008">
        <v>480.29098510742187</v>
      </c>
    </row>
    <row r="2009" spans="1:2" ht="15" customHeight="1" x14ac:dyDescent="0.25">
      <c r="A2009">
        <v>379.44332885742187</v>
      </c>
      <c r="B2009">
        <v>392.77734375</v>
      </c>
    </row>
    <row r="2010" spans="1:2" ht="15" customHeight="1" x14ac:dyDescent="0.25">
      <c r="A2010">
        <v>391.03488159179687</v>
      </c>
      <c r="B2010">
        <v>330.17581176757812</v>
      </c>
    </row>
    <row r="2011" spans="1:2" ht="15" customHeight="1" x14ac:dyDescent="0.25">
      <c r="A2011">
        <v>445.56130981445312</v>
      </c>
      <c r="B2011">
        <v>310.17111206054687</v>
      </c>
    </row>
    <row r="2012" spans="1:2" ht="15" customHeight="1" x14ac:dyDescent="0.25">
      <c r="A2012">
        <v>575.95904541015625</v>
      </c>
      <c r="B2012">
        <v>305.58453369140625</v>
      </c>
    </row>
    <row r="2013" spans="1:2" ht="15" customHeight="1" x14ac:dyDescent="0.25">
      <c r="A2013">
        <v>529.595947265625</v>
      </c>
      <c r="B2013">
        <v>299.6214599609375</v>
      </c>
    </row>
    <row r="2014" spans="1:2" ht="15" customHeight="1" x14ac:dyDescent="0.25">
      <c r="A2014">
        <v>428.2860107421875</v>
      </c>
      <c r="B2014">
        <v>300.4251708984375</v>
      </c>
    </row>
    <row r="2015" spans="1:2" ht="15" customHeight="1" x14ac:dyDescent="0.25">
      <c r="A2015">
        <v>369.26113891601562</v>
      </c>
      <c r="B2015">
        <v>300.16912841796875</v>
      </c>
    </row>
    <row r="2016" spans="1:2" ht="15" customHeight="1" x14ac:dyDescent="0.25">
      <c r="A2016">
        <v>351.17306518554688</v>
      </c>
      <c r="B2016">
        <v>300.983154296875</v>
      </c>
    </row>
    <row r="2017" spans="1:2" ht="15" customHeight="1" x14ac:dyDescent="0.25">
      <c r="A2017">
        <v>343.82357788085937</v>
      </c>
      <c r="B2017">
        <v>340.312255859375</v>
      </c>
    </row>
    <row r="2018" spans="1:2" ht="15" customHeight="1" x14ac:dyDescent="0.25">
      <c r="A2018">
        <v>340.54461669921875</v>
      </c>
      <c r="B2018">
        <v>401.8388671875</v>
      </c>
    </row>
    <row r="2019" spans="1:2" ht="15" customHeight="1" x14ac:dyDescent="0.25">
      <c r="A2019">
        <v>345.3463134765625</v>
      </c>
      <c r="B2019">
        <v>504.2491455078125</v>
      </c>
    </row>
    <row r="2020" spans="1:2" ht="15" customHeight="1" x14ac:dyDescent="0.25">
      <c r="A2020">
        <v>346.61807250976562</v>
      </c>
      <c r="B2020">
        <v>529.755859375</v>
      </c>
    </row>
    <row r="2021" spans="1:2" ht="15" customHeight="1" x14ac:dyDescent="0.25">
      <c r="A2021">
        <v>345.78671264648437</v>
      </c>
      <c r="B2021">
        <v>528.28179931640625</v>
      </c>
    </row>
    <row r="2022" spans="1:2" ht="15" customHeight="1" x14ac:dyDescent="0.25">
      <c r="A2022">
        <v>392.3800048828125</v>
      </c>
      <c r="B2022">
        <v>529.26507568359375</v>
      </c>
    </row>
    <row r="2023" spans="1:2" ht="15" customHeight="1" x14ac:dyDescent="0.25">
      <c r="A2023">
        <v>471.75930786132812</v>
      </c>
      <c r="B2023">
        <v>526.57666015625</v>
      </c>
    </row>
    <row r="2024" spans="1:2" ht="15" customHeight="1" x14ac:dyDescent="0.25">
      <c r="A2024">
        <v>585.55133056640625</v>
      </c>
      <c r="B2024">
        <v>535.2760009765625</v>
      </c>
    </row>
    <row r="2025" spans="1:2" ht="15" customHeight="1" x14ac:dyDescent="0.25">
      <c r="A2025">
        <v>618.45269775390625</v>
      </c>
      <c r="B2025">
        <v>522.02783203125</v>
      </c>
    </row>
    <row r="2026" spans="1:2" ht="15" customHeight="1" x14ac:dyDescent="0.25">
      <c r="A2026">
        <v>612.98199462890625</v>
      </c>
      <c r="B2026">
        <v>461.8675537109375</v>
      </c>
    </row>
    <row r="2027" spans="1:2" ht="15" customHeight="1" x14ac:dyDescent="0.25">
      <c r="A2027">
        <v>614.307861328125</v>
      </c>
      <c r="B2027">
        <v>381.433349609375</v>
      </c>
    </row>
    <row r="2028" spans="1:2" ht="15" customHeight="1" x14ac:dyDescent="0.25">
      <c r="A2028">
        <v>610.807861328125</v>
      </c>
      <c r="B2028">
        <v>340.47830200195313</v>
      </c>
    </row>
    <row r="2029" spans="1:2" ht="15" customHeight="1" x14ac:dyDescent="0.25">
      <c r="A2029">
        <v>620.470458984375</v>
      </c>
      <c r="B2029">
        <v>323.93771362304687</v>
      </c>
    </row>
    <row r="2030" spans="1:2" ht="15" customHeight="1" x14ac:dyDescent="0.25">
      <c r="A2030">
        <v>602.8228759765625</v>
      </c>
      <c r="B2030">
        <v>366.264404296875</v>
      </c>
    </row>
    <row r="2031" spans="1:2" ht="15" customHeight="1" x14ac:dyDescent="0.25">
      <c r="A2031">
        <v>525.8846435546875</v>
      </c>
      <c r="B2031">
        <v>480.65972900390625</v>
      </c>
    </row>
    <row r="2032" spans="1:2" ht="15" customHeight="1" x14ac:dyDescent="0.25">
      <c r="A2032">
        <v>433.72265625</v>
      </c>
      <c r="B2032">
        <v>517.518798828125</v>
      </c>
    </row>
    <row r="2033" spans="1:2" ht="15" customHeight="1" x14ac:dyDescent="0.25">
      <c r="A2033">
        <v>390.91134643554687</v>
      </c>
      <c r="B2033">
        <v>488.73886108398437</v>
      </c>
    </row>
    <row r="2034" spans="1:2" ht="15" customHeight="1" x14ac:dyDescent="0.25">
      <c r="A2034">
        <v>374.3262939453125</v>
      </c>
      <c r="B2034">
        <v>354.97622680664062</v>
      </c>
    </row>
    <row r="2035" spans="1:2" ht="15" customHeight="1" x14ac:dyDescent="0.25">
      <c r="A2035">
        <v>436.2657470703125</v>
      </c>
      <c r="B2035">
        <v>228.44844055175781</v>
      </c>
    </row>
    <row r="2036" spans="1:2" ht="15" customHeight="1" x14ac:dyDescent="0.25">
      <c r="A2036">
        <v>568.55963134765625</v>
      </c>
      <c r="B2036">
        <v>220.84376525878906</v>
      </c>
    </row>
    <row r="2037" spans="1:2" ht="15" customHeight="1" x14ac:dyDescent="0.25">
      <c r="A2037">
        <v>600.7711181640625</v>
      </c>
      <c r="B2037">
        <v>217.20512390136719</v>
      </c>
    </row>
    <row r="2038" spans="1:2" ht="15" customHeight="1" x14ac:dyDescent="0.25">
      <c r="A2038">
        <v>547.3070068359375</v>
      </c>
      <c r="B2038">
        <v>217.29237365722656</v>
      </c>
    </row>
    <row r="2039" spans="1:2" ht="15" customHeight="1" x14ac:dyDescent="0.25">
      <c r="A2039">
        <v>388.75454711914062</v>
      </c>
      <c r="B2039">
        <v>216.92501831054687</v>
      </c>
    </row>
    <row r="2040" spans="1:2" ht="15" customHeight="1" x14ac:dyDescent="0.25">
      <c r="A2040">
        <v>268.54666137695312</v>
      </c>
      <c r="B2040">
        <v>234.83036804199219</v>
      </c>
    </row>
    <row r="2041" spans="1:2" ht="15" customHeight="1" x14ac:dyDescent="0.25">
      <c r="A2041">
        <v>263.57757568359375</v>
      </c>
      <c r="B2041">
        <v>311.226806640625</v>
      </c>
    </row>
    <row r="2042" spans="1:2" ht="15" customHeight="1" x14ac:dyDescent="0.25">
      <c r="A2042">
        <v>262.71920776367187</v>
      </c>
      <c r="B2042">
        <v>476.82781982421875</v>
      </c>
    </row>
    <row r="2043" spans="1:2" ht="15" customHeight="1" x14ac:dyDescent="0.25">
      <c r="A2043">
        <v>264.84100341796875</v>
      </c>
      <c r="B2043">
        <v>529.3712158203125</v>
      </c>
    </row>
    <row r="2044" spans="1:2" ht="15" customHeight="1" x14ac:dyDescent="0.25">
      <c r="A2044">
        <v>265.57449340820312</v>
      </c>
      <c r="B2044">
        <v>530.9169921875</v>
      </c>
    </row>
    <row r="2045" spans="1:2" ht="15" customHeight="1" x14ac:dyDescent="0.25">
      <c r="A2045">
        <v>287.68585205078125</v>
      </c>
      <c r="B2045">
        <v>536.0592041015625</v>
      </c>
    </row>
    <row r="2046" spans="1:2" ht="15" customHeight="1" x14ac:dyDescent="0.25">
      <c r="A2046">
        <v>387.044677734375</v>
      </c>
      <c r="B2046">
        <v>537.5255126953125</v>
      </c>
    </row>
    <row r="2047" spans="1:2" ht="15" customHeight="1" x14ac:dyDescent="0.25">
      <c r="A2047">
        <v>567.81427001953125</v>
      </c>
      <c r="B2047">
        <v>540.450439453125</v>
      </c>
    </row>
    <row r="2048" spans="1:2" ht="15" customHeight="1" x14ac:dyDescent="0.25">
      <c r="A2048">
        <v>599.10980224609375</v>
      </c>
      <c r="B2048">
        <v>541.4119873046875</v>
      </c>
    </row>
    <row r="2049" spans="1:2" ht="15" customHeight="1" x14ac:dyDescent="0.25">
      <c r="A2049">
        <v>596.670166015625</v>
      </c>
      <c r="B2049">
        <v>539.37994384765625</v>
      </c>
    </row>
    <row r="2050" spans="1:2" ht="15" customHeight="1" x14ac:dyDescent="0.25">
      <c r="A2050">
        <v>601.9864501953125</v>
      </c>
      <c r="B2050">
        <v>515.40478515625</v>
      </c>
    </row>
    <row r="2051" spans="1:2" ht="15" customHeight="1" x14ac:dyDescent="0.25">
      <c r="A2051">
        <v>606.91766357421875</v>
      </c>
      <c r="B2051">
        <v>499.38919067382812</v>
      </c>
    </row>
    <row r="2052" spans="1:2" ht="15" customHeight="1" x14ac:dyDescent="0.25">
      <c r="A2052">
        <v>611.10791015625</v>
      </c>
      <c r="B2052">
        <v>420.65029907226562</v>
      </c>
    </row>
    <row r="2053" spans="1:2" ht="15" customHeight="1" x14ac:dyDescent="0.25">
      <c r="A2053">
        <v>599.48822021484375</v>
      </c>
      <c r="B2053">
        <v>401.61953735351562</v>
      </c>
    </row>
    <row r="2054" spans="1:2" ht="15" customHeight="1" x14ac:dyDescent="0.25">
      <c r="A2054">
        <v>586.7413330078125</v>
      </c>
      <c r="B2054">
        <v>429.864990234375</v>
      </c>
    </row>
    <row r="2055" spans="1:2" ht="15" customHeight="1" x14ac:dyDescent="0.25">
      <c r="A2055">
        <v>556.62762451171875</v>
      </c>
      <c r="B2055">
        <v>523.20294189453125</v>
      </c>
    </row>
    <row r="2056" spans="1:2" ht="15" customHeight="1" x14ac:dyDescent="0.25">
      <c r="A2056">
        <v>531.6695556640625</v>
      </c>
      <c r="B2056">
        <v>527.3414306640625</v>
      </c>
    </row>
    <row r="2057" spans="1:2" ht="15" customHeight="1" x14ac:dyDescent="0.25">
      <c r="A2057">
        <v>446.0264892578125</v>
      </c>
      <c r="B2057">
        <v>519.72613525390625</v>
      </c>
    </row>
    <row r="2058" spans="1:2" ht="15" customHeight="1" x14ac:dyDescent="0.25">
      <c r="A2058">
        <v>433.4466552734375</v>
      </c>
      <c r="B2058">
        <v>479.09371948242187</v>
      </c>
    </row>
    <row r="2059" spans="1:2" ht="15" customHeight="1" x14ac:dyDescent="0.25">
      <c r="A2059">
        <v>469.46408081054687</v>
      </c>
      <c r="B2059">
        <v>460.97225952148437</v>
      </c>
    </row>
    <row r="2060" spans="1:2" ht="15" customHeight="1" x14ac:dyDescent="0.25">
      <c r="A2060">
        <v>574.3914794921875</v>
      </c>
      <c r="B2060">
        <v>527.81634521484375</v>
      </c>
    </row>
    <row r="2061" spans="1:2" ht="15" customHeight="1" x14ac:dyDescent="0.25">
      <c r="A2061">
        <v>583.561767578125</v>
      </c>
      <c r="B2061">
        <v>531.6253662109375</v>
      </c>
    </row>
    <row r="2062" spans="1:2" ht="15" customHeight="1" x14ac:dyDescent="0.25">
      <c r="A2062">
        <v>581.14666748046875</v>
      </c>
      <c r="B2062">
        <v>471.77590942382813</v>
      </c>
    </row>
    <row r="2063" spans="1:2" ht="15" customHeight="1" x14ac:dyDescent="0.25">
      <c r="A2063">
        <v>539.8292236328125</v>
      </c>
      <c r="B2063">
        <v>409.69525146484375</v>
      </c>
    </row>
    <row r="2064" spans="1:2" ht="15" customHeight="1" x14ac:dyDescent="0.25">
      <c r="A2064">
        <v>539.45733642578125</v>
      </c>
      <c r="B2064">
        <v>448.62277221679687</v>
      </c>
    </row>
    <row r="2065" spans="1:2" ht="15" customHeight="1" x14ac:dyDescent="0.25">
      <c r="A2065">
        <v>627.8023681640625</v>
      </c>
      <c r="B2065">
        <v>530.173828125</v>
      </c>
    </row>
    <row r="2066" spans="1:2" ht="15" customHeight="1" x14ac:dyDescent="0.25">
      <c r="A2066">
        <v>624.24090576171875</v>
      </c>
      <c r="B2066">
        <v>533.75531005859375</v>
      </c>
    </row>
    <row r="2067" spans="1:2" ht="15" customHeight="1" x14ac:dyDescent="0.25">
      <c r="A2067">
        <v>544.04473876953125</v>
      </c>
      <c r="B2067">
        <v>534.1014404296875</v>
      </c>
    </row>
    <row r="2068" spans="1:2" ht="15" customHeight="1" x14ac:dyDescent="0.25">
      <c r="A2068">
        <v>476.36029052734375</v>
      </c>
      <c r="B2068">
        <v>534.3240966796875</v>
      </c>
    </row>
    <row r="2069" spans="1:2" ht="15" customHeight="1" x14ac:dyDescent="0.25">
      <c r="A2069">
        <v>530.9656982421875</v>
      </c>
      <c r="B2069">
        <v>533.24066162109375</v>
      </c>
    </row>
    <row r="2070" spans="1:2" ht="15" customHeight="1" x14ac:dyDescent="0.25">
      <c r="A2070">
        <v>632.2452392578125</v>
      </c>
      <c r="B2070">
        <v>531.87432861328125</v>
      </c>
    </row>
    <row r="2071" spans="1:2" ht="15" customHeight="1" x14ac:dyDescent="0.25">
      <c r="A2071">
        <v>636.83154296875</v>
      </c>
      <c r="B2071">
        <v>524.8751220703125</v>
      </c>
    </row>
    <row r="2072" spans="1:2" ht="15" customHeight="1" x14ac:dyDescent="0.25">
      <c r="A2072">
        <v>635.5472412109375</v>
      </c>
      <c r="B2072">
        <v>475.71731567382812</v>
      </c>
    </row>
    <row r="2073" spans="1:2" ht="15" customHeight="1" x14ac:dyDescent="0.25">
      <c r="A2073">
        <v>637.18096923828125</v>
      </c>
      <c r="B2073">
        <v>386.18170166015625</v>
      </c>
    </row>
    <row r="2074" spans="1:2" ht="15" customHeight="1" x14ac:dyDescent="0.25">
      <c r="A2074">
        <v>634.677001953125</v>
      </c>
      <c r="B2074">
        <v>302.69647216796875</v>
      </c>
    </row>
    <row r="2075" spans="1:2" ht="15" customHeight="1" x14ac:dyDescent="0.25">
      <c r="A2075">
        <v>627.868896484375</v>
      </c>
      <c r="B2075">
        <v>217.86256408691406</v>
      </c>
    </row>
    <row r="2076" spans="1:2" ht="15" customHeight="1" x14ac:dyDescent="0.25">
      <c r="A2076">
        <v>612.7020263671875</v>
      </c>
      <c r="B2076">
        <v>211.28587341308594</v>
      </c>
    </row>
    <row r="2077" spans="1:2" ht="15" customHeight="1" x14ac:dyDescent="0.25">
      <c r="A2077">
        <v>542.38287353515625</v>
      </c>
      <c r="B2077">
        <v>226.28709411621094</v>
      </c>
    </row>
    <row r="2078" spans="1:2" ht="15" customHeight="1" x14ac:dyDescent="0.25">
      <c r="A2078">
        <v>434.14990234375</v>
      </c>
      <c r="B2078">
        <v>241.64558410644531</v>
      </c>
    </row>
    <row r="2079" spans="1:2" ht="15" customHeight="1" x14ac:dyDescent="0.25">
      <c r="A2079">
        <v>342.11917114257812</v>
      </c>
      <c r="B2079">
        <v>360.14306640625</v>
      </c>
    </row>
    <row r="2080" spans="1:2" ht="15" customHeight="1" x14ac:dyDescent="0.25">
      <c r="A2080">
        <v>260.9893798828125</v>
      </c>
      <c r="B2080">
        <v>508.93740844726562</v>
      </c>
    </row>
    <row r="2081" spans="1:2" ht="15" customHeight="1" x14ac:dyDescent="0.25">
      <c r="A2081">
        <v>262.19210815429687</v>
      </c>
      <c r="B2081">
        <v>511.60858154296875</v>
      </c>
    </row>
    <row r="2082" spans="1:2" ht="15" customHeight="1" x14ac:dyDescent="0.25">
      <c r="A2082">
        <v>274.10137939453125</v>
      </c>
      <c r="B2082">
        <v>511.58541870117187</v>
      </c>
    </row>
    <row r="2083" spans="1:2" ht="15" customHeight="1" x14ac:dyDescent="0.25">
      <c r="A2083">
        <v>296.44369506835937</v>
      </c>
      <c r="B2083">
        <v>381.22122192382812</v>
      </c>
    </row>
    <row r="2084" spans="1:2" ht="15" customHeight="1" x14ac:dyDescent="0.25">
      <c r="A2084">
        <v>438.05538940429687</v>
      </c>
      <c r="B2084">
        <v>274.31622314453125</v>
      </c>
    </row>
    <row r="2085" spans="1:2" ht="15" customHeight="1" x14ac:dyDescent="0.25">
      <c r="A2085">
        <v>601.23876953125</v>
      </c>
      <c r="B2085">
        <v>194.61660766601562</v>
      </c>
    </row>
    <row r="2086" spans="1:2" ht="15" customHeight="1" x14ac:dyDescent="0.25">
      <c r="A2086">
        <v>594.17108154296875</v>
      </c>
      <c r="B2086">
        <v>197.35841369628906</v>
      </c>
    </row>
    <row r="2087" spans="1:2" ht="15" customHeight="1" x14ac:dyDescent="0.25">
      <c r="A2087">
        <v>594.09564208984375</v>
      </c>
      <c r="B2087">
        <v>199.1539306640625</v>
      </c>
    </row>
    <row r="2088" spans="1:2" ht="15" customHeight="1" x14ac:dyDescent="0.25">
      <c r="A2088">
        <v>435.47171020507812</v>
      </c>
      <c r="B2088">
        <v>201.36787414550781</v>
      </c>
    </row>
    <row r="2089" spans="1:2" ht="15" customHeight="1" x14ac:dyDescent="0.25">
      <c r="A2089">
        <v>317.155517578125</v>
      </c>
      <c r="B2089">
        <v>199.32618713378906</v>
      </c>
    </row>
    <row r="2090" spans="1:2" ht="15" customHeight="1" x14ac:dyDescent="0.25">
      <c r="A2090">
        <v>242.54180908203125</v>
      </c>
      <c r="B2090">
        <v>199.27543640136719</v>
      </c>
    </row>
    <row r="2091" spans="1:2" ht="15" customHeight="1" x14ac:dyDescent="0.25">
      <c r="A2091">
        <v>249.53089904785156</v>
      </c>
      <c r="B2091">
        <v>204.2113037109375</v>
      </c>
    </row>
    <row r="2092" spans="1:2" ht="15" customHeight="1" x14ac:dyDescent="0.25">
      <c r="A2092">
        <v>251.56013488769531</v>
      </c>
      <c r="B2092">
        <v>203.40898132324219</v>
      </c>
    </row>
    <row r="2093" spans="1:2" ht="15" customHeight="1" x14ac:dyDescent="0.25">
      <c r="A2093">
        <v>251.34442138671875</v>
      </c>
      <c r="B2093">
        <v>236.63633728027344</v>
      </c>
    </row>
    <row r="2094" spans="1:2" ht="15" customHeight="1" x14ac:dyDescent="0.25">
      <c r="A2094">
        <v>251.9595947265625</v>
      </c>
      <c r="B2094">
        <v>267.59552001953125</v>
      </c>
    </row>
    <row r="2095" spans="1:2" ht="15" customHeight="1" x14ac:dyDescent="0.25">
      <c r="A2095">
        <v>254.05339050292969</v>
      </c>
      <c r="B2095">
        <v>356.79498291015625</v>
      </c>
    </row>
    <row r="2096" spans="1:2" ht="15" customHeight="1" x14ac:dyDescent="0.25">
      <c r="A2096">
        <v>260.38137817382812</v>
      </c>
      <c r="B2096">
        <v>435.73052978515625</v>
      </c>
    </row>
    <row r="2097" spans="1:2" ht="15" customHeight="1" x14ac:dyDescent="0.25">
      <c r="A2097">
        <v>257.06411743164062</v>
      </c>
      <c r="B2097">
        <v>484.62689208984375</v>
      </c>
    </row>
    <row r="2098" spans="1:2" ht="15" customHeight="1" x14ac:dyDescent="0.25">
      <c r="A2098">
        <v>295.948974609375</v>
      </c>
      <c r="B2098">
        <v>413.63986206054687</v>
      </c>
    </row>
    <row r="2099" spans="1:2" ht="15" customHeight="1" x14ac:dyDescent="0.25">
      <c r="A2099">
        <v>308.29290771484375</v>
      </c>
      <c r="B2099">
        <v>346.06759643554687</v>
      </c>
    </row>
    <row r="2100" spans="1:2" ht="15" customHeight="1" x14ac:dyDescent="0.25">
      <c r="A2100">
        <v>413.22808837890625</v>
      </c>
      <c r="B2100">
        <v>375.30218505859375</v>
      </c>
    </row>
    <row r="2101" spans="1:2" ht="15" customHeight="1" x14ac:dyDescent="0.25">
      <c r="A2101">
        <v>491.13540649414062</v>
      </c>
      <c r="B2101">
        <v>407.6868896484375</v>
      </c>
    </row>
    <row r="2102" spans="1:2" ht="15" customHeight="1" x14ac:dyDescent="0.25">
      <c r="A2102">
        <v>541.17730712890625</v>
      </c>
      <c r="B2102">
        <v>424.55026245117187</v>
      </c>
    </row>
    <row r="2103" spans="1:2" ht="15" customHeight="1" x14ac:dyDescent="0.25">
      <c r="A2103">
        <v>448.63839721679687</v>
      </c>
      <c r="B2103">
        <v>425.5955810546875</v>
      </c>
    </row>
    <row r="2104" spans="1:2" ht="15" customHeight="1" x14ac:dyDescent="0.25">
      <c r="A2104">
        <v>393.04937744140625</v>
      </c>
      <c r="B2104">
        <v>434.54632568359375</v>
      </c>
    </row>
    <row r="2105" spans="1:2" ht="15" customHeight="1" x14ac:dyDescent="0.25">
      <c r="A2105">
        <v>419.58090209960937</v>
      </c>
      <c r="B2105">
        <v>317.92401123046875</v>
      </c>
    </row>
    <row r="2106" spans="1:2" ht="15" customHeight="1" x14ac:dyDescent="0.25">
      <c r="A2106">
        <v>460.56884765625</v>
      </c>
      <c r="B2106">
        <v>302.63238525390625</v>
      </c>
    </row>
    <row r="2107" spans="1:2" ht="15" customHeight="1" x14ac:dyDescent="0.25">
      <c r="A2107">
        <v>473.70083618164062</v>
      </c>
      <c r="B2107">
        <v>300.58670043945313</v>
      </c>
    </row>
    <row r="2108" spans="1:2" ht="15" customHeight="1" x14ac:dyDescent="0.25">
      <c r="A2108">
        <v>473.90304565429687</v>
      </c>
      <c r="B2108">
        <v>316.73831176757812</v>
      </c>
    </row>
    <row r="2109" spans="1:2" ht="15" customHeight="1" x14ac:dyDescent="0.25">
      <c r="A2109">
        <v>469.60037231445312</v>
      </c>
      <c r="B2109">
        <v>301.13748168945312</v>
      </c>
    </row>
    <row r="2110" spans="1:2" ht="15" customHeight="1" x14ac:dyDescent="0.25">
      <c r="A2110">
        <v>351.50662231445312</v>
      </c>
      <c r="B2110">
        <v>300.2174072265625</v>
      </c>
    </row>
    <row r="2111" spans="1:2" ht="15" customHeight="1" x14ac:dyDescent="0.25">
      <c r="A2111">
        <v>340.78073120117187</v>
      </c>
      <c r="B2111">
        <v>301.82110595703125</v>
      </c>
    </row>
    <row r="2112" spans="1:2" ht="15" customHeight="1" x14ac:dyDescent="0.25">
      <c r="A2112">
        <v>342.81906127929687</v>
      </c>
      <c r="B2112">
        <v>299.82077026367187</v>
      </c>
    </row>
    <row r="2113" spans="1:2" ht="15" customHeight="1" x14ac:dyDescent="0.25">
      <c r="A2113">
        <v>366.4283447265625</v>
      </c>
      <c r="B2113">
        <v>334.05410766601562</v>
      </c>
    </row>
    <row r="2114" spans="1:2" ht="15" customHeight="1" x14ac:dyDescent="0.25">
      <c r="A2114">
        <v>351.47589111328125</v>
      </c>
      <c r="B2114">
        <v>350.33322143554687</v>
      </c>
    </row>
    <row r="2115" spans="1:2" ht="15" customHeight="1" x14ac:dyDescent="0.25">
      <c r="A2115">
        <v>352.50418090820312</v>
      </c>
      <c r="B2115">
        <v>365.08364868164062</v>
      </c>
    </row>
    <row r="2116" spans="1:2" ht="15" customHeight="1" x14ac:dyDescent="0.25">
      <c r="A2116">
        <v>349.68984985351562</v>
      </c>
      <c r="B2116">
        <v>338.90435791015625</v>
      </c>
    </row>
    <row r="2117" spans="1:2" ht="15" customHeight="1" x14ac:dyDescent="0.25">
      <c r="A2117">
        <v>344.72662353515625</v>
      </c>
      <c r="B2117">
        <v>436.7447509765625</v>
      </c>
    </row>
    <row r="2118" spans="1:2" ht="15" customHeight="1" x14ac:dyDescent="0.25">
      <c r="A2118">
        <v>391.748046875</v>
      </c>
      <c r="B2118">
        <v>493.97503662109375</v>
      </c>
    </row>
    <row r="2119" spans="1:2" ht="15" customHeight="1" x14ac:dyDescent="0.25">
      <c r="A2119">
        <v>411.63958740234375</v>
      </c>
      <c r="B2119">
        <v>445.34365844726562</v>
      </c>
    </row>
    <row r="2120" spans="1:2" ht="15" customHeight="1" x14ac:dyDescent="0.25">
      <c r="A2120">
        <v>426.648193359375</v>
      </c>
      <c r="B2120">
        <v>414.20834350585937</v>
      </c>
    </row>
    <row r="2121" spans="1:2" ht="15" customHeight="1" x14ac:dyDescent="0.25">
      <c r="A2121">
        <v>398.57171630859375</v>
      </c>
      <c r="B2121">
        <v>348.60992431640625</v>
      </c>
    </row>
    <row r="2122" spans="1:2" ht="15" customHeight="1" x14ac:dyDescent="0.25">
      <c r="A2122">
        <v>521.02447509765625</v>
      </c>
      <c r="B2122">
        <v>317.85153198242187</v>
      </c>
    </row>
    <row r="2123" spans="1:2" ht="15" customHeight="1" x14ac:dyDescent="0.25">
      <c r="A2123">
        <v>566.75384521484375</v>
      </c>
      <c r="B2123">
        <v>318.41873168945312</v>
      </c>
    </row>
    <row r="2124" spans="1:2" ht="15" customHeight="1" x14ac:dyDescent="0.25">
      <c r="A2124">
        <v>503.7310791015625</v>
      </c>
      <c r="B2124">
        <v>311.83587646484375</v>
      </c>
    </row>
    <row r="2125" spans="1:2" ht="15" customHeight="1" x14ac:dyDescent="0.25">
      <c r="A2125">
        <v>468.47341918945312</v>
      </c>
      <c r="B2125">
        <v>319.09197998046875</v>
      </c>
    </row>
    <row r="2126" spans="1:2" ht="15" customHeight="1" x14ac:dyDescent="0.25">
      <c r="A2126">
        <v>397.30886840820312</v>
      </c>
      <c r="B2126">
        <v>389.9622802734375</v>
      </c>
    </row>
    <row r="2127" spans="1:2" ht="15" customHeight="1" x14ac:dyDescent="0.25">
      <c r="A2127">
        <v>367.65267944335937</v>
      </c>
      <c r="B2127">
        <v>486.15908813476562</v>
      </c>
    </row>
    <row r="2128" spans="1:2" ht="15" customHeight="1" x14ac:dyDescent="0.25">
      <c r="A2128">
        <v>373.76602172851562</v>
      </c>
      <c r="B2128">
        <v>474.92025756835937</v>
      </c>
    </row>
    <row r="2129" spans="1:2" ht="15" customHeight="1" x14ac:dyDescent="0.25">
      <c r="A2129">
        <v>369.25833129882812</v>
      </c>
      <c r="B2129">
        <v>326.71633911132812</v>
      </c>
    </row>
    <row r="2130" spans="1:2" ht="15" customHeight="1" x14ac:dyDescent="0.25">
      <c r="A2130">
        <v>378.58645629882813</v>
      </c>
      <c r="B2130">
        <v>302.46792602539062</v>
      </c>
    </row>
    <row r="2131" spans="1:2" ht="15" customHeight="1" x14ac:dyDescent="0.25">
      <c r="A2131">
        <v>462.636962890625</v>
      </c>
      <c r="B2131">
        <v>305.51470947265625</v>
      </c>
    </row>
    <row r="2132" spans="1:2" ht="15" customHeight="1" x14ac:dyDescent="0.25">
      <c r="A2132">
        <v>573.38623046875</v>
      </c>
      <c r="B2132">
        <v>301.26339721679687</v>
      </c>
    </row>
    <row r="2133" spans="1:2" ht="15" customHeight="1" x14ac:dyDescent="0.25">
      <c r="A2133">
        <v>547.27056884765625</v>
      </c>
      <c r="B2133">
        <v>300.98947143554687</v>
      </c>
    </row>
    <row r="2134" spans="1:2" ht="15" customHeight="1" x14ac:dyDescent="0.25">
      <c r="A2134">
        <v>374.63308715820312</v>
      </c>
      <c r="B2134">
        <v>300.45758056640625</v>
      </c>
    </row>
    <row r="2135" spans="1:2" ht="15" customHeight="1" x14ac:dyDescent="0.25">
      <c r="A2135">
        <v>357.84219360351562</v>
      </c>
      <c r="B2135">
        <v>299.07614135742187</v>
      </c>
    </row>
    <row r="2136" spans="1:2" ht="15" customHeight="1" x14ac:dyDescent="0.25">
      <c r="A2136">
        <v>360.21234130859375</v>
      </c>
      <c r="B2136">
        <v>305.81256103515625</v>
      </c>
    </row>
    <row r="2137" spans="1:2" ht="15" customHeight="1" x14ac:dyDescent="0.25">
      <c r="A2137">
        <v>354.93914794921875</v>
      </c>
      <c r="B2137">
        <v>395.099609375</v>
      </c>
    </row>
    <row r="2138" spans="1:2" ht="15" customHeight="1" x14ac:dyDescent="0.25">
      <c r="A2138">
        <v>354.67941284179687</v>
      </c>
      <c r="B2138">
        <v>507.133544921875</v>
      </c>
    </row>
    <row r="2139" spans="1:2" ht="15" customHeight="1" x14ac:dyDescent="0.25">
      <c r="A2139">
        <v>352.75765991210937</v>
      </c>
      <c r="B2139">
        <v>509.64825439453125</v>
      </c>
    </row>
    <row r="2140" spans="1:2" ht="15" customHeight="1" x14ac:dyDescent="0.25">
      <c r="A2140">
        <v>350.5556640625</v>
      </c>
      <c r="B2140">
        <v>533.25262451171875</v>
      </c>
    </row>
    <row r="2141" spans="1:2" ht="15" customHeight="1" x14ac:dyDescent="0.25">
      <c r="A2141">
        <v>360.94451904296875</v>
      </c>
      <c r="B2141">
        <v>532.96417236328125</v>
      </c>
    </row>
    <row r="2142" spans="1:2" ht="15" customHeight="1" x14ac:dyDescent="0.25">
      <c r="A2142">
        <v>478.79574584960937</v>
      </c>
      <c r="B2142">
        <v>525.51483154296875</v>
      </c>
    </row>
    <row r="2143" spans="1:2" ht="15" customHeight="1" x14ac:dyDescent="0.25">
      <c r="A2143">
        <v>596.46746826171875</v>
      </c>
      <c r="B2143">
        <v>524.9346923828125</v>
      </c>
    </row>
    <row r="2144" spans="1:2" ht="15" customHeight="1" x14ac:dyDescent="0.25">
      <c r="A2144">
        <v>594.71881103515625</v>
      </c>
      <c r="B2144">
        <v>528.7586669921875</v>
      </c>
    </row>
    <row r="2145" spans="1:2" ht="15" customHeight="1" x14ac:dyDescent="0.25">
      <c r="A2145">
        <v>620.82806396484375</v>
      </c>
      <c r="B2145">
        <v>526.32275390625</v>
      </c>
    </row>
    <row r="2146" spans="1:2" ht="15" customHeight="1" x14ac:dyDescent="0.25">
      <c r="A2146">
        <v>616.52789306640625</v>
      </c>
      <c r="B2146">
        <v>513.46142578125</v>
      </c>
    </row>
    <row r="2147" spans="1:2" ht="15" customHeight="1" x14ac:dyDescent="0.25">
      <c r="A2147">
        <v>611.42974853515625</v>
      </c>
      <c r="B2147">
        <v>488.98422241210937</v>
      </c>
    </row>
    <row r="2148" spans="1:2" ht="15" customHeight="1" x14ac:dyDescent="0.25">
      <c r="A2148">
        <v>611.0689697265625</v>
      </c>
      <c r="B2148">
        <v>460.92367553710937</v>
      </c>
    </row>
    <row r="2149" spans="1:2" ht="15" customHeight="1" x14ac:dyDescent="0.25">
      <c r="A2149">
        <v>612.72296142578125</v>
      </c>
      <c r="B2149">
        <v>459.47662353515625</v>
      </c>
    </row>
    <row r="2150" spans="1:2" ht="15" customHeight="1" x14ac:dyDescent="0.25">
      <c r="A2150">
        <v>597.41265869140625</v>
      </c>
      <c r="B2150">
        <v>479.61395263671875</v>
      </c>
    </row>
    <row r="2151" spans="1:2" ht="15" customHeight="1" x14ac:dyDescent="0.25">
      <c r="A2151">
        <v>587.36785888671875</v>
      </c>
      <c r="B2151">
        <v>508.40505981445312</v>
      </c>
    </row>
    <row r="2152" spans="1:2" ht="15" customHeight="1" x14ac:dyDescent="0.25">
      <c r="A2152">
        <v>556.67144775390625</v>
      </c>
      <c r="B2152">
        <v>511.33721923828125</v>
      </c>
    </row>
    <row r="2153" spans="1:2" ht="15" customHeight="1" x14ac:dyDescent="0.25">
      <c r="A2153">
        <v>527.11767578125</v>
      </c>
      <c r="B2153">
        <v>408.608642578125</v>
      </c>
    </row>
    <row r="2154" spans="1:2" ht="15" customHeight="1" x14ac:dyDescent="0.25">
      <c r="A2154">
        <v>528.16259765625</v>
      </c>
      <c r="B2154">
        <v>313.130859375</v>
      </c>
    </row>
    <row r="2155" spans="1:2" ht="15" customHeight="1" x14ac:dyDescent="0.25">
      <c r="A2155">
        <v>548.36578369140625</v>
      </c>
      <c r="B2155">
        <v>305.83209228515625</v>
      </c>
    </row>
    <row r="2156" spans="1:2" ht="15" customHeight="1" x14ac:dyDescent="0.25">
      <c r="A2156">
        <v>586.1644287109375</v>
      </c>
      <c r="B2156">
        <v>301.16348266601562</v>
      </c>
    </row>
    <row r="2157" spans="1:2" ht="15" customHeight="1" x14ac:dyDescent="0.25">
      <c r="A2157">
        <v>580.46429443359375</v>
      </c>
      <c r="B2157">
        <v>299.61776733398438</v>
      </c>
    </row>
    <row r="2158" spans="1:2" ht="15" customHeight="1" x14ac:dyDescent="0.25">
      <c r="A2158">
        <v>452.38327026367187</v>
      </c>
      <c r="B2158">
        <v>300.0302734375</v>
      </c>
    </row>
    <row r="2159" spans="1:2" ht="15" customHeight="1" x14ac:dyDescent="0.25">
      <c r="A2159">
        <v>358.51571655273437</v>
      </c>
      <c r="B2159">
        <v>299.69015502929687</v>
      </c>
    </row>
    <row r="2160" spans="1:2" ht="15" customHeight="1" x14ac:dyDescent="0.25">
      <c r="A2160">
        <v>356.12551879882813</v>
      </c>
      <c r="B2160">
        <v>302.16708374023437</v>
      </c>
    </row>
    <row r="2161" spans="1:2" ht="15" customHeight="1" x14ac:dyDescent="0.25">
      <c r="A2161">
        <v>353.802978515625</v>
      </c>
      <c r="B2161">
        <v>329.33609008789063</v>
      </c>
    </row>
    <row r="2162" spans="1:2" ht="15" customHeight="1" x14ac:dyDescent="0.25">
      <c r="A2162">
        <v>355.44921875</v>
      </c>
      <c r="B2162">
        <v>317.54217529296875</v>
      </c>
    </row>
    <row r="2163" spans="1:2" ht="15" customHeight="1" x14ac:dyDescent="0.25">
      <c r="A2163">
        <v>355.149658203125</v>
      </c>
      <c r="B2163">
        <v>369.08209228515625</v>
      </c>
    </row>
    <row r="2164" spans="1:2" ht="15" customHeight="1" x14ac:dyDescent="0.25">
      <c r="A2164">
        <v>356.26300048828125</v>
      </c>
      <c r="B2164">
        <v>323.587890625</v>
      </c>
    </row>
    <row r="2165" spans="1:2" ht="15" customHeight="1" x14ac:dyDescent="0.25">
      <c r="A2165">
        <v>362.88973999023437</v>
      </c>
      <c r="B2165">
        <v>304.05770874023437</v>
      </c>
    </row>
    <row r="2166" spans="1:2" ht="15" customHeight="1" x14ac:dyDescent="0.25">
      <c r="A2166">
        <v>396.32546997070312</v>
      </c>
      <c r="B2166">
        <v>331.36380004882812</v>
      </c>
    </row>
    <row r="2167" spans="1:2" ht="15" customHeight="1" x14ac:dyDescent="0.25">
      <c r="A2167">
        <v>379.60931396484375</v>
      </c>
      <c r="B2167">
        <v>301.72091674804687</v>
      </c>
    </row>
    <row r="2168" spans="1:2" ht="15" customHeight="1" x14ac:dyDescent="0.25">
      <c r="A2168">
        <v>441.33074951171875</v>
      </c>
      <c r="B2168">
        <v>330.83837890625</v>
      </c>
    </row>
    <row r="2169" spans="1:2" ht="15" customHeight="1" x14ac:dyDescent="0.25">
      <c r="A2169">
        <v>378.4139404296875</v>
      </c>
      <c r="B2169">
        <v>312.61251831054687</v>
      </c>
    </row>
    <row r="2170" spans="1:2" ht="15" customHeight="1" x14ac:dyDescent="0.25">
      <c r="A2170">
        <v>367.8050537109375</v>
      </c>
      <c r="B2170">
        <v>298.21292114257812</v>
      </c>
    </row>
    <row r="2171" spans="1:2" ht="15" customHeight="1" x14ac:dyDescent="0.25">
      <c r="A2171">
        <v>391.00473022460937</v>
      </c>
      <c r="B2171">
        <v>300.47027587890625</v>
      </c>
    </row>
    <row r="2172" spans="1:2" ht="15" customHeight="1" x14ac:dyDescent="0.25">
      <c r="A2172">
        <v>359.56900024414062</v>
      </c>
      <c r="B2172">
        <v>299.6702880859375</v>
      </c>
    </row>
    <row r="2173" spans="1:2" ht="15" customHeight="1" x14ac:dyDescent="0.25">
      <c r="A2173">
        <v>396.04254150390625</v>
      </c>
      <c r="B2173">
        <v>302.65878295898437</v>
      </c>
    </row>
    <row r="2174" spans="1:2" ht="15" customHeight="1" x14ac:dyDescent="0.25">
      <c r="A2174">
        <v>371.56375122070312</v>
      </c>
      <c r="B2174">
        <v>290.46417236328125</v>
      </c>
    </row>
    <row r="2175" spans="1:2" ht="15" customHeight="1" x14ac:dyDescent="0.25">
      <c r="A2175">
        <v>354.56820678710937</v>
      </c>
      <c r="B2175">
        <v>250.53248596191406</v>
      </c>
    </row>
    <row r="2176" spans="1:2" ht="15" customHeight="1" x14ac:dyDescent="0.25">
      <c r="A2176">
        <v>354.1190185546875</v>
      </c>
      <c r="B2176">
        <v>226.28849792480469</v>
      </c>
    </row>
    <row r="2177" spans="1:2" ht="15" customHeight="1" x14ac:dyDescent="0.25">
      <c r="A2177">
        <v>354.26947021484375</v>
      </c>
      <c r="B2177">
        <v>200.51303100585937</v>
      </c>
    </row>
    <row r="2178" spans="1:2" ht="15" customHeight="1" x14ac:dyDescent="0.25">
      <c r="A2178">
        <v>356.093505859375</v>
      </c>
      <c r="B2178">
        <v>223.6273193359375</v>
      </c>
    </row>
    <row r="2179" spans="1:2" ht="15" customHeight="1" x14ac:dyDescent="0.25">
      <c r="A2179">
        <v>340.46630859375</v>
      </c>
      <c r="B2179">
        <v>225.13790893554687</v>
      </c>
    </row>
    <row r="2180" spans="1:2" ht="15" customHeight="1" x14ac:dyDescent="0.25">
      <c r="A2180">
        <v>291.66799926757812</v>
      </c>
      <c r="B2180">
        <v>223.00091552734375</v>
      </c>
    </row>
    <row r="2181" spans="1:2" ht="15" customHeight="1" x14ac:dyDescent="0.25">
      <c r="A2181">
        <v>265.34103393554687</v>
      </c>
      <c r="B2181">
        <v>222.27194213867187</v>
      </c>
    </row>
    <row r="2182" spans="1:2" ht="15" customHeight="1" x14ac:dyDescent="0.25">
      <c r="A2182">
        <v>242.09468078613281</v>
      </c>
      <c r="B2182">
        <v>222.45663452148437</v>
      </c>
    </row>
    <row r="2183" spans="1:2" ht="15" customHeight="1" x14ac:dyDescent="0.25">
      <c r="A2183">
        <v>268.68743896484375</v>
      </c>
      <c r="B2183">
        <v>222.42239379882812</v>
      </c>
    </row>
    <row r="2184" spans="1:2" ht="15" customHeight="1" x14ac:dyDescent="0.25">
      <c r="A2184">
        <v>266.69198608398437</v>
      </c>
      <c r="B2184">
        <v>223.27973937988281</v>
      </c>
    </row>
    <row r="2185" spans="1:2" ht="15" customHeight="1" x14ac:dyDescent="0.25">
      <c r="A2185">
        <v>263.04006958007813</v>
      </c>
      <c r="B2185">
        <v>225.90638732910156</v>
      </c>
    </row>
    <row r="2186" spans="1:2" ht="15" customHeight="1" x14ac:dyDescent="0.25">
      <c r="A2186">
        <v>262.04470825195312</v>
      </c>
      <c r="B2186">
        <v>307.41375732421875</v>
      </c>
    </row>
    <row r="2187" spans="1:2" ht="15" customHeight="1" x14ac:dyDescent="0.25">
      <c r="A2187">
        <v>261.09375</v>
      </c>
      <c r="B2187">
        <v>349.39068603515625</v>
      </c>
    </row>
    <row r="2188" spans="1:2" ht="15" customHeight="1" x14ac:dyDescent="0.25">
      <c r="A2188">
        <v>260.21182250976562</v>
      </c>
      <c r="B2188">
        <v>357.47860717773437</v>
      </c>
    </row>
    <row r="2189" spans="1:2" ht="15" customHeight="1" x14ac:dyDescent="0.25">
      <c r="A2189">
        <v>260.13723754882812</v>
      </c>
      <c r="B2189">
        <v>484.17190551757812</v>
      </c>
    </row>
    <row r="2190" spans="1:2" ht="15" customHeight="1" x14ac:dyDescent="0.25">
      <c r="A2190">
        <v>265.67330932617187</v>
      </c>
      <c r="B2190">
        <v>466.52191162109375</v>
      </c>
    </row>
    <row r="2191" spans="1:2" ht="15" customHeight="1" x14ac:dyDescent="0.25">
      <c r="A2191">
        <v>367.20693969726562</v>
      </c>
      <c r="B2191">
        <v>384.6273193359375</v>
      </c>
    </row>
    <row r="2192" spans="1:2" ht="15" customHeight="1" x14ac:dyDescent="0.25">
      <c r="A2192">
        <v>401.49163818359375</v>
      </c>
      <c r="B2192">
        <v>286.630126953125</v>
      </c>
    </row>
    <row r="2193" spans="1:2" ht="15" customHeight="1" x14ac:dyDescent="0.25">
      <c r="A2193">
        <v>423.56903076171875</v>
      </c>
      <c r="B2193">
        <v>293.66030883789062</v>
      </c>
    </row>
    <row r="2194" spans="1:2" ht="15" customHeight="1" x14ac:dyDescent="0.25">
      <c r="A2194">
        <v>552.9674072265625</v>
      </c>
      <c r="B2194">
        <v>314.18438720703125</v>
      </c>
    </row>
    <row r="2195" spans="1:2" ht="15" customHeight="1" x14ac:dyDescent="0.25">
      <c r="A2195">
        <v>515.78887939453125</v>
      </c>
      <c r="B2195">
        <v>293.21627807617187</v>
      </c>
    </row>
    <row r="2196" spans="1:2" ht="15" customHeight="1" x14ac:dyDescent="0.25">
      <c r="A2196">
        <v>424.89984130859375</v>
      </c>
      <c r="B2196">
        <v>327.55654907226562</v>
      </c>
    </row>
    <row r="2197" spans="1:2" ht="15" customHeight="1" x14ac:dyDescent="0.25">
      <c r="A2197">
        <v>322.89987182617187</v>
      </c>
      <c r="B2197">
        <v>353.68643188476562</v>
      </c>
    </row>
    <row r="2198" spans="1:2" ht="15" customHeight="1" x14ac:dyDescent="0.25">
      <c r="A2198">
        <v>328.09075927734375</v>
      </c>
      <c r="B2198">
        <v>291.55841064453125</v>
      </c>
    </row>
    <row r="2199" spans="1:2" ht="15" customHeight="1" x14ac:dyDescent="0.25">
      <c r="A2199">
        <v>355.44024658203125</v>
      </c>
      <c r="B2199">
        <v>320.18490600585937</v>
      </c>
    </row>
    <row r="2200" spans="1:2" ht="15" customHeight="1" x14ac:dyDescent="0.25">
      <c r="A2200">
        <v>325.9052734375</v>
      </c>
      <c r="B2200">
        <v>390.78515625</v>
      </c>
    </row>
    <row r="2201" spans="1:2" ht="15" customHeight="1" x14ac:dyDescent="0.25">
      <c r="A2201">
        <v>368.35800170898437</v>
      </c>
      <c r="B2201">
        <v>287.78494262695312</v>
      </c>
    </row>
    <row r="2202" spans="1:2" ht="15" customHeight="1" x14ac:dyDescent="0.25">
      <c r="A2202">
        <v>395.13589477539062</v>
      </c>
      <c r="B2202">
        <v>205.13897705078125</v>
      </c>
    </row>
    <row r="2203" spans="1:2" ht="15" customHeight="1" x14ac:dyDescent="0.25">
      <c r="A2203">
        <v>325.20053100585937</v>
      </c>
      <c r="B2203">
        <v>200.2169189453125</v>
      </c>
    </row>
    <row r="2204" spans="1:2" ht="15" customHeight="1" x14ac:dyDescent="0.25">
      <c r="A2204">
        <v>362.20806884765625</v>
      </c>
      <c r="B2204">
        <v>199.8062744140625</v>
      </c>
    </row>
    <row r="2205" spans="1:2" ht="15" customHeight="1" x14ac:dyDescent="0.25">
      <c r="A2205">
        <v>433.99697875976562</v>
      </c>
      <c r="B2205">
        <v>201.04490661621094</v>
      </c>
    </row>
    <row r="2206" spans="1:2" ht="15" customHeight="1" x14ac:dyDescent="0.25">
      <c r="A2206">
        <v>313.034423828125</v>
      </c>
      <c r="B2206">
        <v>202.31855773925781</v>
      </c>
    </row>
    <row r="2207" spans="1:2" ht="15" customHeight="1" x14ac:dyDescent="0.25">
      <c r="A2207">
        <v>236.99775695800781</v>
      </c>
      <c r="B2207">
        <v>201.44187927246094</v>
      </c>
    </row>
    <row r="2208" spans="1:2" ht="15" customHeight="1" x14ac:dyDescent="0.25">
      <c r="A2208">
        <v>239.3253173828125</v>
      </c>
      <c r="B2208">
        <v>202.18901062011719</v>
      </c>
    </row>
    <row r="2209" spans="1:2" ht="15" customHeight="1" x14ac:dyDescent="0.25">
      <c r="A2209">
        <v>244.52409362792969</v>
      </c>
      <c r="B2209">
        <v>207.37066650390625</v>
      </c>
    </row>
    <row r="2210" spans="1:2" ht="15" customHeight="1" x14ac:dyDescent="0.25">
      <c r="A2210">
        <v>249.19419860839844</v>
      </c>
      <c r="B2210">
        <v>218.87052917480469</v>
      </c>
    </row>
    <row r="2211" spans="1:2" ht="15" customHeight="1" x14ac:dyDescent="0.25">
      <c r="A2211">
        <v>250.14179992675781</v>
      </c>
      <c r="B2211">
        <v>211.45329284667969</v>
      </c>
    </row>
    <row r="2212" spans="1:2" ht="15" customHeight="1" x14ac:dyDescent="0.25">
      <c r="A2212">
        <v>250.92483520507812</v>
      </c>
      <c r="B2212">
        <v>234.14801025390625</v>
      </c>
    </row>
    <row r="2213" spans="1:2" ht="15" customHeight="1" x14ac:dyDescent="0.25">
      <c r="A2213">
        <v>252.69087219238281</v>
      </c>
      <c r="B2213">
        <v>340.574462890625</v>
      </c>
    </row>
    <row r="2214" spans="1:2" ht="15" customHeight="1" x14ac:dyDescent="0.25">
      <c r="A2214">
        <v>255.00221252441406</v>
      </c>
      <c r="B2214">
        <v>398.43014526367187</v>
      </c>
    </row>
    <row r="2215" spans="1:2" ht="15" customHeight="1" x14ac:dyDescent="0.25">
      <c r="A2215">
        <v>259.54644775390625</v>
      </c>
      <c r="B2215">
        <v>384.08642578125</v>
      </c>
    </row>
    <row r="2216" spans="1:2" ht="15" customHeight="1" x14ac:dyDescent="0.25">
      <c r="A2216">
        <v>243.65773010253906</v>
      </c>
      <c r="B2216">
        <v>406.18478393554687</v>
      </c>
    </row>
    <row r="2217" spans="1:2" ht="15" customHeight="1" x14ac:dyDescent="0.25">
      <c r="A2217">
        <v>268.43154907226562</v>
      </c>
      <c r="B2217">
        <v>304.57650756835937</v>
      </c>
    </row>
    <row r="2218" spans="1:2" ht="15" customHeight="1" x14ac:dyDescent="0.25">
      <c r="A2218">
        <v>383.44473266601562</v>
      </c>
      <c r="B2218">
        <v>240.89549255371094</v>
      </c>
    </row>
    <row r="2219" spans="1:2" ht="15" customHeight="1" x14ac:dyDescent="0.25">
      <c r="A2219">
        <v>435.63119506835937</v>
      </c>
      <c r="B2219">
        <v>216.25186157226562</v>
      </c>
    </row>
    <row r="2220" spans="1:2" ht="15" customHeight="1" x14ac:dyDescent="0.25">
      <c r="A2220">
        <v>429.850341796875</v>
      </c>
      <c r="B2220">
        <v>200.53753662109375</v>
      </c>
    </row>
    <row r="2221" spans="1:2" ht="15" customHeight="1" x14ac:dyDescent="0.25">
      <c r="A2221">
        <v>444.63067626953125</v>
      </c>
      <c r="B2221">
        <v>206.59895324707031</v>
      </c>
    </row>
    <row r="2222" spans="1:2" ht="15" customHeight="1" x14ac:dyDescent="0.25">
      <c r="A2222">
        <v>331.85498046875</v>
      </c>
      <c r="B2222">
        <v>213.58354187011719</v>
      </c>
    </row>
    <row r="2223" spans="1:2" ht="15" customHeight="1" x14ac:dyDescent="0.25">
      <c r="A2223">
        <v>263.21859741210937</v>
      </c>
      <c r="B2223">
        <v>260.674072265625</v>
      </c>
    </row>
    <row r="2224" spans="1:2" ht="15" customHeight="1" x14ac:dyDescent="0.25">
      <c r="A2224">
        <v>241.31021118164062</v>
      </c>
      <c r="B2224">
        <v>384.31964111328125</v>
      </c>
    </row>
    <row r="2225" spans="1:2" ht="15" customHeight="1" x14ac:dyDescent="0.25">
      <c r="A2225">
        <v>231.25813293457031</v>
      </c>
      <c r="B2225">
        <v>345.46273803710937</v>
      </c>
    </row>
    <row r="2226" spans="1:2" ht="15" customHeight="1" x14ac:dyDescent="0.25">
      <c r="A2226">
        <v>246.45500183105469</v>
      </c>
      <c r="B2226">
        <v>278.04525756835937</v>
      </c>
    </row>
    <row r="2227" spans="1:2" ht="15" customHeight="1" x14ac:dyDescent="0.25">
      <c r="A2227">
        <v>254.55418395996094</v>
      </c>
      <c r="B2227">
        <v>234.3175048828125</v>
      </c>
    </row>
    <row r="2228" spans="1:2" ht="15" customHeight="1" x14ac:dyDescent="0.25">
      <c r="A2228">
        <v>318.676513671875</v>
      </c>
      <c r="B2228">
        <v>219.85173034667969</v>
      </c>
    </row>
    <row r="2229" spans="1:2" ht="15" customHeight="1" x14ac:dyDescent="0.25">
      <c r="A2229">
        <v>449.63824462890625</v>
      </c>
      <c r="B2229">
        <v>206.50311279296875</v>
      </c>
    </row>
    <row r="2230" spans="1:2" ht="15" customHeight="1" x14ac:dyDescent="0.25">
      <c r="A2230">
        <v>396.62057495117187</v>
      </c>
      <c r="B2230">
        <v>205.85452270507812</v>
      </c>
    </row>
    <row r="2231" spans="1:2" ht="15" customHeight="1" x14ac:dyDescent="0.25">
      <c r="A2231">
        <v>322.9781494140625</v>
      </c>
      <c r="B2231">
        <v>206.14167785644531</v>
      </c>
    </row>
    <row r="2232" spans="1:2" ht="15" customHeight="1" x14ac:dyDescent="0.25">
      <c r="A2232">
        <v>276.64456176757812</v>
      </c>
      <c r="B2232">
        <v>210.00038146972656</v>
      </c>
    </row>
    <row r="2233" spans="1:2" ht="15" customHeight="1" x14ac:dyDescent="0.25">
      <c r="A2233">
        <v>260.60452270507812</v>
      </c>
      <c r="B2233">
        <v>266.90252685546875</v>
      </c>
    </row>
    <row r="2234" spans="1:2" ht="15" customHeight="1" x14ac:dyDescent="0.25">
      <c r="A2234">
        <v>248.86343383789062</v>
      </c>
      <c r="B2234">
        <v>392.16110229492187</v>
      </c>
    </row>
    <row r="2235" spans="1:2" ht="15" customHeight="1" x14ac:dyDescent="0.25">
      <c r="A2235">
        <v>248.92926025390625</v>
      </c>
      <c r="B2235">
        <v>412.82415771484375</v>
      </c>
    </row>
    <row r="2236" spans="1:2" ht="15" customHeight="1" x14ac:dyDescent="0.25">
      <c r="A2236">
        <v>247.76779174804687</v>
      </c>
      <c r="B2236">
        <v>493.602294921875</v>
      </c>
    </row>
    <row r="2237" spans="1:2" ht="15" customHeight="1" x14ac:dyDescent="0.25">
      <c r="A2237">
        <v>253.42340087890625</v>
      </c>
      <c r="B2237">
        <v>518.847900390625</v>
      </c>
    </row>
    <row r="2238" spans="1:2" ht="15" customHeight="1" x14ac:dyDescent="0.25">
      <c r="A2238">
        <v>326.69039916992187</v>
      </c>
      <c r="B2238">
        <v>505.37820434570312</v>
      </c>
    </row>
    <row r="2239" spans="1:2" ht="15" customHeight="1" x14ac:dyDescent="0.25">
      <c r="A2239">
        <v>459.45791625976562</v>
      </c>
      <c r="B2239">
        <v>487.970947265625</v>
      </c>
    </row>
    <row r="2240" spans="1:2" ht="15" customHeight="1" x14ac:dyDescent="0.25">
      <c r="A2240">
        <v>470.92584228515625</v>
      </c>
      <c r="B2240">
        <v>423.36334228515625</v>
      </c>
    </row>
    <row r="2241" spans="1:2" ht="15" customHeight="1" x14ac:dyDescent="0.25">
      <c r="A2241">
        <v>561.50823974609375</v>
      </c>
      <c r="B2241">
        <v>264.4661865234375</v>
      </c>
    </row>
    <row r="2242" spans="1:2" ht="15" customHeight="1" x14ac:dyDescent="0.25">
      <c r="A2242">
        <v>586.93328857421875</v>
      </c>
      <c r="B2242">
        <v>208.04035949707031</v>
      </c>
    </row>
    <row r="2243" spans="1:2" ht="15" customHeight="1" x14ac:dyDescent="0.25">
      <c r="A2243">
        <v>570.22039794921875</v>
      </c>
      <c r="B2243">
        <v>201.21197509765625</v>
      </c>
    </row>
    <row r="2244" spans="1:2" ht="15" customHeight="1" x14ac:dyDescent="0.25">
      <c r="A2244">
        <v>549.20904541015625</v>
      </c>
      <c r="B2244">
        <v>215.83001708984375</v>
      </c>
    </row>
    <row r="2245" spans="1:2" ht="15" customHeight="1" x14ac:dyDescent="0.25">
      <c r="A2245">
        <v>468.7755126953125</v>
      </c>
      <c r="B2245">
        <v>213.15963745117187</v>
      </c>
    </row>
    <row r="2246" spans="1:2" ht="15" customHeight="1" x14ac:dyDescent="0.25">
      <c r="A2246">
        <v>297.58587646484375</v>
      </c>
      <c r="B2246">
        <v>211.04206848144531</v>
      </c>
    </row>
    <row r="2247" spans="1:2" ht="15" customHeight="1" x14ac:dyDescent="0.25">
      <c r="A2247">
        <v>247.35395812988281</v>
      </c>
      <c r="B2247">
        <v>252.25337219238281</v>
      </c>
    </row>
    <row r="2248" spans="1:2" ht="15" customHeight="1" x14ac:dyDescent="0.25">
      <c r="A2248">
        <v>241.49301147460937</v>
      </c>
      <c r="B2248">
        <v>267.72244262695312</v>
      </c>
    </row>
    <row r="2249" spans="1:2" ht="15" customHeight="1" x14ac:dyDescent="0.25">
      <c r="A2249">
        <v>255.46015930175781</v>
      </c>
      <c r="B2249">
        <v>210.37861633300781</v>
      </c>
    </row>
    <row r="2250" spans="1:2" ht="15" customHeight="1" x14ac:dyDescent="0.25">
      <c r="A2250">
        <v>247.22959899902344</v>
      </c>
      <c r="B2250">
        <v>200.89767456054687</v>
      </c>
    </row>
    <row r="2251" spans="1:2" ht="15" customHeight="1" x14ac:dyDescent="0.25">
      <c r="A2251">
        <v>244.23782348632812</v>
      </c>
      <c r="B2251">
        <v>214.63348388671875</v>
      </c>
    </row>
    <row r="2252" spans="1:2" ht="15" customHeight="1" x14ac:dyDescent="0.25">
      <c r="A2252">
        <v>294.62326049804687</v>
      </c>
      <c r="B2252">
        <v>201.30137634277344</v>
      </c>
    </row>
    <row r="2253" spans="1:2" ht="15" customHeight="1" x14ac:dyDescent="0.25">
      <c r="A2253">
        <v>296.91976928710937</v>
      </c>
      <c r="B2253">
        <v>201.06845092773437</v>
      </c>
    </row>
    <row r="2254" spans="1:2" ht="15" customHeight="1" x14ac:dyDescent="0.25">
      <c r="A2254">
        <v>245.86216735839844</v>
      </c>
      <c r="B2254">
        <v>200.83807373046875</v>
      </c>
    </row>
    <row r="2255" spans="1:2" ht="15" customHeight="1" x14ac:dyDescent="0.25">
      <c r="A2255">
        <v>241.15299987792969</v>
      </c>
      <c r="B2255">
        <v>201.49380493164062</v>
      </c>
    </row>
    <row r="2256" spans="1:2" ht="15" customHeight="1" x14ac:dyDescent="0.25">
      <c r="A2256">
        <v>254.11912536621094</v>
      </c>
      <c r="B2256">
        <v>201.761962890625</v>
      </c>
    </row>
    <row r="2257" spans="1:2" ht="15" customHeight="1" x14ac:dyDescent="0.25">
      <c r="A2257">
        <v>238.81149291992187</v>
      </c>
      <c r="B2257">
        <v>202.48826599121094</v>
      </c>
    </row>
    <row r="2258" spans="1:2" ht="15" customHeight="1" x14ac:dyDescent="0.25">
      <c r="A2258">
        <v>239.7412109375</v>
      </c>
      <c r="B2258">
        <v>208.82815551757812</v>
      </c>
    </row>
    <row r="2259" spans="1:2" ht="15" customHeight="1" x14ac:dyDescent="0.25">
      <c r="A2259">
        <v>241.67922973632812</v>
      </c>
      <c r="B2259">
        <v>201.03439331054687</v>
      </c>
    </row>
    <row r="2260" spans="1:2" ht="15" customHeight="1" x14ac:dyDescent="0.25">
      <c r="A2260">
        <v>243.84156799316406</v>
      </c>
      <c r="B2260">
        <v>216.11195373535156</v>
      </c>
    </row>
    <row r="2261" spans="1:2" ht="15" customHeight="1" x14ac:dyDescent="0.25">
      <c r="A2261">
        <v>245.07337951660156</v>
      </c>
      <c r="B2261">
        <v>217.49751281738281</v>
      </c>
    </row>
    <row r="2262" spans="1:2" ht="15" customHeight="1" x14ac:dyDescent="0.25">
      <c r="A2262">
        <v>245.31185913085937</v>
      </c>
      <c r="B2262">
        <v>206.78913879394531</v>
      </c>
    </row>
    <row r="2263" spans="1:2" ht="15" customHeight="1" x14ac:dyDescent="0.25">
      <c r="A2263">
        <v>252.71548461914062</v>
      </c>
      <c r="B2263">
        <v>207.41873168945312</v>
      </c>
    </row>
    <row r="2264" spans="1:2" ht="15" customHeight="1" x14ac:dyDescent="0.25">
      <c r="A2264">
        <v>245.69578552246094</v>
      </c>
      <c r="B2264">
        <v>205.02145385742187</v>
      </c>
    </row>
    <row r="2265" spans="1:2" ht="15" customHeight="1" x14ac:dyDescent="0.25">
      <c r="A2265">
        <v>262.07516479492187</v>
      </c>
      <c r="B2265">
        <v>200.82423400878906</v>
      </c>
    </row>
    <row r="2266" spans="1:2" ht="15" customHeight="1" x14ac:dyDescent="0.25">
      <c r="A2266">
        <v>261.999267578125</v>
      </c>
      <c r="B2266">
        <v>200.33415222167969</v>
      </c>
    </row>
    <row r="2267" spans="1:2" ht="15" customHeight="1" x14ac:dyDescent="0.25">
      <c r="A2267">
        <v>251.2100830078125</v>
      </c>
      <c r="B2267">
        <v>200.96702575683594</v>
      </c>
    </row>
    <row r="2268" spans="1:2" ht="15" customHeight="1" x14ac:dyDescent="0.25">
      <c r="A2268">
        <v>247.86642456054687</v>
      </c>
      <c r="B2268">
        <v>201.6358642578125</v>
      </c>
    </row>
    <row r="2269" spans="1:2" ht="15" customHeight="1" x14ac:dyDescent="0.25">
      <c r="A2269">
        <v>244.43925476074219</v>
      </c>
      <c r="B2269">
        <v>201.52015686035156</v>
      </c>
    </row>
    <row r="2270" spans="1:2" ht="15" customHeight="1" x14ac:dyDescent="0.25">
      <c r="A2270">
        <v>241.02204895019531</v>
      </c>
      <c r="B2270">
        <v>207.60307312011719</v>
      </c>
    </row>
    <row r="2271" spans="1:2" ht="15" customHeight="1" x14ac:dyDescent="0.25">
      <c r="A2271">
        <v>244.92314147949219</v>
      </c>
      <c r="B2271">
        <v>224.34698486328125</v>
      </c>
    </row>
    <row r="2272" spans="1:2" ht="15" customHeight="1" x14ac:dyDescent="0.25">
      <c r="A2272">
        <v>246.66806030273437</v>
      </c>
      <c r="B2272">
        <v>235.71437072753906</v>
      </c>
    </row>
    <row r="2273" spans="1:2" ht="15" customHeight="1" x14ac:dyDescent="0.25">
      <c r="A2273">
        <v>247.54083251953125</v>
      </c>
      <c r="B2273">
        <v>202.98832702636719</v>
      </c>
    </row>
    <row r="2274" spans="1:2" ht="15" customHeight="1" x14ac:dyDescent="0.25">
      <c r="A2274">
        <v>247.523193359375</v>
      </c>
      <c r="B2274">
        <v>205.30926513671875</v>
      </c>
    </row>
    <row r="2275" spans="1:2" ht="15" customHeight="1" x14ac:dyDescent="0.25">
      <c r="A2275">
        <v>254.02635192871094</v>
      </c>
      <c r="B2275">
        <v>205.53436279296875</v>
      </c>
    </row>
    <row r="2276" spans="1:2" ht="15" customHeight="1" x14ac:dyDescent="0.25">
      <c r="A2276">
        <v>276.89840698242187</v>
      </c>
      <c r="B2276">
        <v>203.24118041992187</v>
      </c>
    </row>
    <row r="2277" spans="1:2" ht="15" customHeight="1" x14ac:dyDescent="0.25">
      <c r="A2277">
        <v>279.02285766601562</v>
      </c>
      <c r="B2277">
        <v>202.47740173339844</v>
      </c>
    </row>
    <row r="2278" spans="1:2" ht="15" customHeight="1" x14ac:dyDescent="0.25">
      <c r="A2278">
        <v>249.0526123046875</v>
      </c>
      <c r="B2278">
        <v>202.74627685546875</v>
      </c>
    </row>
    <row r="2279" spans="1:2" ht="15" customHeight="1" x14ac:dyDescent="0.25">
      <c r="A2279">
        <v>253.20681762695312</v>
      </c>
      <c r="B2279">
        <v>202.82786560058594</v>
      </c>
    </row>
    <row r="2280" spans="1:2" ht="15" customHeight="1" x14ac:dyDescent="0.25">
      <c r="A2280">
        <v>256.13372802734375</v>
      </c>
      <c r="B2280">
        <v>206.23715209960937</v>
      </c>
    </row>
    <row r="2281" spans="1:2" ht="15" customHeight="1" x14ac:dyDescent="0.25">
      <c r="A2281">
        <v>252.78585815429687</v>
      </c>
      <c r="B2281">
        <v>230.59068298339844</v>
      </c>
    </row>
    <row r="2282" spans="1:2" ht="15" customHeight="1" x14ac:dyDescent="0.25">
      <c r="A2282">
        <v>252.46647644042969</v>
      </c>
      <c r="B2282">
        <v>323.18609619140625</v>
      </c>
    </row>
    <row r="2283" spans="1:2" ht="15" customHeight="1" x14ac:dyDescent="0.25">
      <c r="A2283">
        <v>253.659423828125</v>
      </c>
      <c r="B2283">
        <v>406.61358642578125</v>
      </c>
    </row>
    <row r="2284" spans="1:2" ht="15" customHeight="1" x14ac:dyDescent="0.25">
      <c r="A2284">
        <v>253.01551818847656</v>
      </c>
      <c r="B2284">
        <v>507.25625610351562</v>
      </c>
    </row>
    <row r="2285" spans="1:2" ht="15" customHeight="1" x14ac:dyDescent="0.25">
      <c r="A2285">
        <v>257.83734130859375</v>
      </c>
      <c r="B2285">
        <v>521.6517333984375</v>
      </c>
    </row>
    <row r="2286" spans="1:2" ht="15" customHeight="1" x14ac:dyDescent="0.25">
      <c r="A2286">
        <v>290.90762329101563</v>
      </c>
      <c r="B2286">
        <v>516.68841552734375</v>
      </c>
    </row>
    <row r="2287" spans="1:2" ht="15" customHeight="1" x14ac:dyDescent="0.25">
      <c r="A2287">
        <v>402.32315063476562</v>
      </c>
      <c r="B2287">
        <v>514.54815673828125</v>
      </c>
    </row>
    <row r="2288" spans="1:2" ht="15" customHeight="1" x14ac:dyDescent="0.25">
      <c r="A2288">
        <v>489.87774658203125</v>
      </c>
      <c r="B2288">
        <v>507.70584106445312</v>
      </c>
    </row>
    <row r="2289" spans="1:2" ht="15" customHeight="1" x14ac:dyDescent="0.25">
      <c r="A2289">
        <v>600.89013671875</v>
      </c>
      <c r="B2289">
        <v>510.10049438476562</v>
      </c>
    </row>
    <row r="2290" spans="1:2" ht="15" customHeight="1" x14ac:dyDescent="0.25">
      <c r="A2290">
        <v>610.71710205078125</v>
      </c>
      <c r="B2290">
        <v>477.23724365234375</v>
      </c>
    </row>
    <row r="2291" spans="1:2" ht="15" customHeight="1" x14ac:dyDescent="0.25">
      <c r="A2291">
        <v>594.53778076171875</v>
      </c>
      <c r="B2291">
        <v>436.9505615234375</v>
      </c>
    </row>
    <row r="2292" spans="1:2" ht="15" customHeight="1" x14ac:dyDescent="0.25">
      <c r="A2292">
        <v>584.08636474609375</v>
      </c>
      <c r="B2292">
        <v>335.06976318359375</v>
      </c>
    </row>
    <row r="2293" spans="1:2" ht="15" customHeight="1" x14ac:dyDescent="0.25">
      <c r="A2293">
        <v>580.4652099609375</v>
      </c>
      <c r="B2293">
        <v>394.35650634765625</v>
      </c>
    </row>
    <row r="2294" spans="1:2" ht="15" customHeight="1" x14ac:dyDescent="0.25">
      <c r="A2294">
        <v>589.3167724609375</v>
      </c>
      <c r="B2294">
        <v>465.39468383789062</v>
      </c>
    </row>
    <row r="2295" spans="1:2" ht="15" customHeight="1" x14ac:dyDescent="0.25">
      <c r="A2295">
        <v>542.23614501953125</v>
      </c>
      <c r="B2295">
        <v>456.63833618164062</v>
      </c>
    </row>
    <row r="2296" spans="1:2" ht="15" customHeight="1" x14ac:dyDescent="0.25">
      <c r="A2296">
        <v>485.36422729492187</v>
      </c>
      <c r="B2296">
        <v>471.48223876953125</v>
      </c>
    </row>
    <row r="2297" spans="1:2" ht="15" customHeight="1" x14ac:dyDescent="0.25">
      <c r="A2297">
        <v>374.87640380859375</v>
      </c>
      <c r="B2297">
        <v>363.87826538085937</v>
      </c>
    </row>
    <row r="2298" spans="1:2" ht="15" customHeight="1" x14ac:dyDescent="0.25">
      <c r="A2298">
        <v>448.16802978515625</v>
      </c>
      <c r="B2298">
        <v>248.30030822753906</v>
      </c>
    </row>
    <row r="2299" spans="1:2" ht="15" customHeight="1" x14ac:dyDescent="0.25">
      <c r="A2299">
        <v>517.791015625</v>
      </c>
      <c r="B2299">
        <v>206.52529907226562</v>
      </c>
    </row>
    <row r="2300" spans="1:2" ht="15" customHeight="1" x14ac:dyDescent="0.25">
      <c r="A2300">
        <v>512.09619140625</v>
      </c>
      <c r="B2300">
        <v>199.94842529296875</v>
      </c>
    </row>
    <row r="2301" spans="1:2" ht="15" customHeight="1" x14ac:dyDescent="0.25">
      <c r="A2301">
        <v>523.858642578125</v>
      </c>
      <c r="B2301">
        <v>201.36100769042969</v>
      </c>
    </row>
    <row r="2302" spans="1:2" ht="15" customHeight="1" x14ac:dyDescent="0.25">
      <c r="A2302">
        <v>407.781494140625</v>
      </c>
      <c r="B2302">
        <v>201.7413330078125</v>
      </c>
    </row>
    <row r="2303" spans="1:2" ht="15" customHeight="1" x14ac:dyDescent="0.25">
      <c r="A2303">
        <v>285.23977661132812</v>
      </c>
      <c r="B2303">
        <v>201.96748352050781</v>
      </c>
    </row>
    <row r="2304" spans="1:2" ht="15" customHeight="1" x14ac:dyDescent="0.25">
      <c r="A2304">
        <v>247.90150451660156</v>
      </c>
      <c r="B2304">
        <v>208.41342163085937</v>
      </c>
    </row>
    <row r="2305" spans="1:2" ht="15" customHeight="1" x14ac:dyDescent="0.25">
      <c r="A2305">
        <v>244.83572387695312</v>
      </c>
      <c r="B2305">
        <v>262.02279663085937</v>
      </c>
    </row>
    <row r="2306" spans="1:2" ht="15" customHeight="1" x14ac:dyDescent="0.25">
      <c r="A2306">
        <v>246.75108337402344</v>
      </c>
      <c r="B2306">
        <v>371.08578491210937</v>
      </c>
    </row>
    <row r="2307" spans="1:2" ht="15" customHeight="1" x14ac:dyDescent="0.25">
      <c r="A2307">
        <v>247.6669921875</v>
      </c>
      <c r="B2307">
        <v>478.92056274414062</v>
      </c>
    </row>
    <row r="2308" spans="1:2" ht="15" customHeight="1" x14ac:dyDescent="0.25">
      <c r="A2308">
        <v>249.36412048339844</v>
      </c>
      <c r="B2308">
        <v>520.3284912109375</v>
      </c>
    </row>
    <row r="2309" spans="1:2" ht="15" customHeight="1" x14ac:dyDescent="0.25">
      <c r="A2309">
        <v>256.64517211914062</v>
      </c>
      <c r="B2309">
        <v>501.84323120117187</v>
      </c>
    </row>
    <row r="2310" spans="1:2" ht="15" customHeight="1" x14ac:dyDescent="0.25">
      <c r="A2310">
        <v>317.81524658203125</v>
      </c>
      <c r="B2310">
        <v>484.27154541015625</v>
      </c>
    </row>
    <row r="2311" spans="1:2" ht="15" customHeight="1" x14ac:dyDescent="0.25">
      <c r="A2311">
        <v>427.08795166015625</v>
      </c>
      <c r="B2311">
        <v>469.316650390625</v>
      </c>
    </row>
    <row r="2312" spans="1:2" ht="15" customHeight="1" x14ac:dyDescent="0.25">
      <c r="A2312">
        <v>560.5089111328125</v>
      </c>
      <c r="B2312">
        <v>484.7496337890625</v>
      </c>
    </row>
    <row r="2313" spans="1:2" ht="15" customHeight="1" x14ac:dyDescent="0.25">
      <c r="A2313">
        <v>602.74462890625</v>
      </c>
      <c r="B2313">
        <v>517.46661376953125</v>
      </c>
    </row>
    <row r="2314" spans="1:2" ht="15" customHeight="1" x14ac:dyDescent="0.25">
      <c r="A2314">
        <v>577.1953125</v>
      </c>
      <c r="B2314">
        <v>476.04547119140625</v>
      </c>
    </row>
    <row r="2315" spans="1:2" ht="15" customHeight="1" x14ac:dyDescent="0.25">
      <c r="A2315">
        <v>552.6917724609375</v>
      </c>
      <c r="B2315">
        <v>462.77899169921875</v>
      </c>
    </row>
    <row r="2316" spans="1:2" ht="15" customHeight="1" x14ac:dyDescent="0.25">
      <c r="A2316">
        <v>533.88397216796875</v>
      </c>
      <c r="B2316">
        <v>459.08438110351562</v>
      </c>
    </row>
    <row r="2317" spans="1:2" ht="15" customHeight="1" x14ac:dyDescent="0.25">
      <c r="A2317">
        <v>557.60247802734375</v>
      </c>
      <c r="B2317">
        <v>484.80374145507812</v>
      </c>
    </row>
    <row r="2318" spans="1:2" ht="15" customHeight="1" x14ac:dyDescent="0.25">
      <c r="A2318">
        <v>588.226318359375</v>
      </c>
      <c r="B2318">
        <v>500.97320556640625</v>
      </c>
    </row>
    <row r="2319" spans="1:2" ht="15" customHeight="1" x14ac:dyDescent="0.25">
      <c r="A2319">
        <v>539.77801513671875</v>
      </c>
      <c r="B2319">
        <v>510.51708984375</v>
      </c>
    </row>
    <row r="2320" spans="1:2" ht="15" customHeight="1" x14ac:dyDescent="0.25">
      <c r="A2320">
        <v>525.5135498046875</v>
      </c>
      <c r="B2320">
        <v>496.52688598632812</v>
      </c>
    </row>
    <row r="2321" spans="1:2" ht="15" customHeight="1" x14ac:dyDescent="0.25">
      <c r="A2321">
        <v>518.73626708984375</v>
      </c>
      <c r="B2321">
        <v>477.97970581054687</v>
      </c>
    </row>
    <row r="2322" spans="1:2" ht="15" customHeight="1" x14ac:dyDescent="0.25">
      <c r="A2322">
        <v>549.6937255859375</v>
      </c>
      <c r="B2322">
        <v>353.11691284179687</v>
      </c>
    </row>
    <row r="2323" spans="1:2" ht="15" customHeight="1" x14ac:dyDescent="0.25">
      <c r="A2323">
        <v>567.96575927734375</v>
      </c>
      <c r="B2323">
        <v>237.89070129394531</v>
      </c>
    </row>
    <row r="2324" spans="1:2" ht="15" customHeight="1" x14ac:dyDescent="0.25">
      <c r="A2324">
        <v>577.9688720703125</v>
      </c>
      <c r="B2324">
        <v>204.92707824707031</v>
      </c>
    </row>
    <row r="2325" spans="1:2" ht="15" customHeight="1" x14ac:dyDescent="0.25">
      <c r="A2325">
        <v>552.46221923828125</v>
      </c>
      <c r="B2325">
        <v>201.17835998535156</v>
      </c>
    </row>
    <row r="2326" spans="1:2" ht="15" customHeight="1" x14ac:dyDescent="0.25">
      <c r="A2326">
        <v>534.08544921875</v>
      </c>
      <c r="B2326">
        <v>202.52574157714844</v>
      </c>
    </row>
    <row r="2327" spans="1:2" ht="15" customHeight="1" x14ac:dyDescent="0.25">
      <c r="A2327">
        <v>399.9884033203125</v>
      </c>
      <c r="B2327">
        <v>201.78573608398437</v>
      </c>
    </row>
    <row r="2328" spans="1:2" ht="15" customHeight="1" x14ac:dyDescent="0.25">
      <c r="A2328">
        <v>281.65301513671875</v>
      </c>
      <c r="B2328">
        <v>212.08078002929687</v>
      </c>
    </row>
    <row r="2329" spans="1:2" ht="15" customHeight="1" x14ac:dyDescent="0.25">
      <c r="A2329">
        <v>253.11050415039062</v>
      </c>
      <c r="B2329">
        <v>247.50608825683594</v>
      </c>
    </row>
    <row r="2330" spans="1:2" ht="15" customHeight="1" x14ac:dyDescent="0.25">
      <c r="A2330">
        <v>250.13935852050781</v>
      </c>
      <c r="B2330">
        <v>410.85665893554687</v>
      </c>
    </row>
    <row r="2331" spans="1:2" ht="15" customHeight="1" x14ac:dyDescent="0.25">
      <c r="A2331">
        <v>251.19760131835937</v>
      </c>
      <c r="B2331">
        <v>526.9713134765625</v>
      </c>
    </row>
    <row r="2332" spans="1:2" ht="15" customHeight="1" x14ac:dyDescent="0.25">
      <c r="A2332">
        <v>251.39572143554687</v>
      </c>
      <c r="B2332">
        <v>533.7889404296875</v>
      </c>
    </row>
    <row r="2333" spans="1:2" ht="15" customHeight="1" x14ac:dyDescent="0.25">
      <c r="A2333">
        <v>263.59423828125</v>
      </c>
      <c r="B2333">
        <v>526.71087646484375</v>
      </c>
    </row>
    <row r="2334" spans="1:2" ht="15" customHeight="1" x14ac:dyDescent="0.25">
      <c r="A2334">
        <v>314.58551025390625</v>
      </c>
      <c r="B2334">
        <v>529.43304443359375</v>
      </c>
    </row>
    <row r="2335" spans="1:2" ht="15" customHeight="1" x14ac:dyDescent="0.25">
      <c r="A2335">
        <v>505.8355712890625</v>
      </c>
      <c r="B2335">
        <v>526.93170166015625</v>
      </c>
    </row>
    <row r="2336" spans="1:2" ht="15" customHeight="1" x14ac:dyDescent="0.25">
      <c r="A2336">
        <v>635.7283935546875</v>
      </c>
      <c r="B2336">
        <v>529.88555908203125</v>
      </c>
    </row>
    <row r="2337" spans="1:2" ht="15" customHeight="1" x14ac:dyDescent="0.25">
      <c r="A2337">
        <v>640.8358154296875</v>
      </c>
      <c r="B2337">
        <v>530.5084228515625</v>
      </c>
    </row>
    <row r="2338" spans="1:2" ht="15" customHeight="1" x14ac:dyDescent="0.25">
      <c r="A2338">
        <v>629.66790771484375</v>
      </c>
      <c r="B2338">
        <v>528.8917236328125</v>
      </c>
    </row>
    <row r="2339" spans="1:2" ht="15" customHeight="1" x14ac:dyDescent="0.25">
      <c r="A2339">
        <v>631.16265869140625</v>
      </c>
      <c r="B2339">
        <v>531.2950439453125</v>
      </c>
    </row>
    <row r="2340" spans="1:2" ht="15" customHeight="1" x14ac:dyDescent="0.25">
      <c r="A2340">
        <v>627.77630615234375</v>
      </c>
      <c r="B2340">
        <v>519.3533935546875</v>
      </c>
    </row>
    <row r="2341" spans="1:2" ht="15" customHeight="1" x14ac:dyDescent="0.25">
      <c r="A2341">
        <v>632.67315673828125</v>
      </c>
      <c r="B2341">
        <v>502.92962646484375</v>
      </c>
    </row>
    <row r="2342" spans="1:2" ht="15" customHeight="1" x14ac:dyDescent="0.25">
      <c r="A2342">
        <v>633.306884765625</v>
      </c>
      <c r="B2342">
        <v>475.90545654296875</v>
      </c>
    </row>
    <row r="2343" spans="1:2" ht="15" customHeight="1" x14ac:dyDescent="0.25">
      <c r="A2343">
        <v>620.07177734375</v>
      </c>
      <c r="B2343">
        <v>489.4415283203125</v>
      </c>
    </row>
    <row r="2344" spans="1:2" ht="15" customHeight="1" x14ac:dyDescent="0.25">
      <c r="A2344">
        <v>624.91094970703125</v>
      </c>
      <c r="B2344">
        <v>521.68780517578125</v>
      </c>
    </row>
    <row r="2345" spans="1:2" ht="15" customHeight="1" x14ac:dyDescent="0.25">
      <c r="A2345">
        <v>607.84991455078125</v>
      </c>
      <c r="B2345">
        <v>481.86373901367187</v>
      </c>
    </row>
    <row r="2346" spans="1:2" ht="15" customHeight="1" x14ac:dyDescent="0.25">
      <c r="A2346">
        <v>588.276611328125</v>
      </c>
      <c r="B2346">
        <v>381.10223388671875</v>
      </c>
    </row>
    <row r="2347" spans="1:2" ht="15" customHeight="1" x14ac:dyDescent="0.25">
      <c r="A2347">
        <v>560.8016357421875</v>
      </c>
      <c r="B2347">
        <v>280.4610595703125</v>
      </c>
    </row>
    <row r="2348" spans="1:2" ht="15" customHeight="1" x14ac:dyDescent="0.25">
      <c r="A2348">
        <v>582.939697265625</v>
      </c>
      <c r="B2348">
        <v>214.36839294433594</v>
      </c>
    </row>
    <row r="2349" spans="1:2" ht="15" customHeight="1" x14ac:dyDescent="0.25">
      <c r="A2349">
        <v>619.39581298828125</v>
      </c>
      <c r="B2349">
        <v>198.21536254882812</v>
      </c>
    </row>
    <row r="2350" spans="1:2" ht="15" customHeight="1" x14ac:dyDescent="0.25">
      <c r="A2350">
        <v>564.52545166015625</v>
      </c>
      <c r="B2350">
        <v>199.94955444335938</v>
      </c>
    </row>
    <row r="2351" spans="1:2" ht="15" customHeight="1" x14ac:dyDescent="0.25">
      <c r="A2351">
        <v>440.5430908203125</v>
      </c>
      <c r="B2351">
        <v>200.94551086425781</v>
      </c>
    </row>
    <row r="2352" spans="1:2" ht="15" customHeight="1" x14ac:dyDescent="0.25">
      <c r="A2352">
        <v>328.7119140625</v>
      </c>
      <c r="B2352">
        <v>208.53948974609375</v>
      </c>
    </row>
    <row r="2353" spans="1:2" ht="15" customHeight="1" x14ac:dyDescent="0.25">
      <c r="A2353">
        <v>261.48553466796875</v>
      </c>
      <c r="B2353">
        <v>218.18051147460937</v>
      </c>
    </row>
    <row r="2354" spans="1:2" ht="15" customHeight="1" x14ac:dyDescent="0.25">
      <c r="A2354">
        <v>248.95118713378906</v>
      </c>
      <c r="B2354">
        <v>298.4755859375</v>
      </c>
    </row>
    <row r="2355" spans="1:2" ht="15" customHeight="1" x14ac:dyDescent="0.25">
      <c r="A2355">
        <v>251.13552856445313</v>
      </c>
      <c r="B2355">
        <v>459.4232177734375</v>
      </c>
    </row>
    <row r="2356" spans="1:2" ht="15" customHeight="1" x14ac:dyDescent="0.25">
      <c r="A2356">
        <v>256.9510498046875</v>
      </c>
      <c r="B2356">
        <v>530.9703369140625</v>
      </c>
    </row>
    <row r="2357" spans="1:2" ht="15" customHeight="1" x14ac:dyDescent="0.25">
      <c r="A2357">
        <v>265.9749755859375</v>
      </c>
      <c r="B2357">
        <v>531.7261962890625</v>
      </c>
    </row>
    <row r="2358" spans="1:2" ht="15" customHeight="1" x14ac:dyDescent="0.25">
      <c r="A2358">
        <v>276.09677124023437</v>
      </c>
      <c r="B2358">
        <v>529.8447265625</v>
      </c>
    </row>
    <row r="2359" spans="1:2" ht="15" customHeight="1" x14ac:dyDescent="0.25">
      <c r="A2359">
        <v>374.39898681640625</v>
      </c>
      <c r="B2359">
        <v>532.83819580078125</v>
      </c>
    </row>
    <row r="2360" spans="1:2" ht="15" customHeight="1" x14ac:dyDescent="0.25">
      <c r="A2360">
        <v>559.9444580078125</v>
      </c>
      <c r="B2360">
        <v>529.81488037109375</v>
      </c>
    </row>
    <row r="2361" spans="1:2" ht="15" customHeight="1" x14ac:dyDescent="0.25">
      <c r="A2361">
        <v>636.3800048828125</v>
      </c>
      <c r="B2361">
        <v>529.421875</v>
      </c>
    </row>
    <row r="2362" spans="1:2" ht="15" customHeight="1" x14ac:dyDescent="0.25">
      <c r="A2362">
        <v>634.95086669921875</v>
      </c>
      <c r="B2362">
        <v>524.42291259765625</v>
      </c>
    </row>
    <row r="2363" spans="1:2" ht="15" customHeight="1" x14ac:dyDescent="0.25">
      <c r="A2363">
        <v>628.38909912109375</v>
      </c>
      <c r="B2363">
        <v>534.28924560546875</v>
      </c>
    </row>
    <row r="2364" spans="1:2" ht="15" customHeight="1" x14ac:dyDescent="0.25">
      <c r="A2364">
        <v>633.901611328125</v>
      </c>
      <c r="B2364">
        <v>528.88189697265625</v>
      </c>
    </row>
    <row r="2365" spans="1:2" ht="15" customHeight="1" x14ac:dyDescent="0.25">
      <c r="A2365">
        <v>631.934814453125</v>
      </c>
      <c r="B2365">
        <v>525.569091796875</v>
      </c>
    </row>
    <row r="2366" spans="1:2" ht="15" customHeight="1" x14ac:dyDescent="0.25">
      <c r="A2366">
        <v>613.22991943359375</v>
      </c>
      <c r="B2366">
        <v>533.54193115234375</v>
      </c>
    </row>
    <row r="2367" spans="1:2" ht="15" customHeight="1" x14ac:dyDescent="0.25">
      <c r="A2367">
        <v>620.5263671875</v>
      </c>
      <c r="B2367">
        <v>528.315185546875</v>
      </c>
    </row>
    <row r="2368" spans="1:2" ht="15" customHeight="1" x14ac:dyDescent="0.25">
      <c r="A2368">
        <v>625.3707275390625</v>
      </c>
      <c r="B2368">
        <v>512.90704345703125</v>
      </c>
    </row>
    <row r="2369" spans="1:2" ht="15" customHeight="1" x14ac:dyDescent="0.25">
      <c r="A2369">
        <v>619.572021484375</v>
      </c>
      <c r="B2369">
        <v>450.42681884765625</v>
      </c>
    </row>
    <row r="2370" spans="1:2" ht="15" customHeight="1" x14ac:dyDescent="0.25">
      <c r="A2370">
        <v>616.759765625</v>
      </c>
      <c r="B2370">
        <v>309.29534912109375</v>
      </c>
    </row>
    <row r="2371" spans="1:2" ht="15" customHeight="1" x14ac:dyDescent="0.25">
      <c r="A2371">
        <v>634.08074951171875</v>
      </c>
      <c r="B2371">
        <v>209.77255249023437</v>
      </c>
    </row>
    <row r="2372" spans="1:2" ht="15" customHeight="1" x14ac:dyDescent="0.25">
      <c r="A2372">
        <v>635.58856201171875</v>
      </c>
      <c r="B2372">
        <v>200.01844787597656</v>
      </c>
    </row>
    <row r="2373" spans="1:2" ht="15" customHeight="1" x14ac:dyDescent="0.25">
      <c r="A2373">
        <v>607.1373291015625</v>
      </c>
      <c r="B2373">
        <v>201.09812927246094</v>
      </c>
    </row>
    <row r="2374" spans="1:2" ht="15" customHeight="1" x14ac:dyDescent="0.25">
      <c r="A2374">
        <v>512.1400146484375</v>
      </c>
      <c r="B2374">
        <v>202.90121459960937</v>
      </c>
    </row>
    <row r="2375" spans="1:2" ht="15" customHeight="1" x14ac:dyDescent="0.25">
      <c r="A2375">
        <v>346.23602294921875</v>
      </c>
      <c r="B2375">
        <v>202.46751403808594</v>
      </c>
    </row>
    <row r="2376" spans="1:2" ht="15" customHeight="1" x14ac:dyDescent="0.25">
      <c r="A2376">
        <v>244.51805114746094</v>
      </c>
      <c r="B2376">
        <v>202.72174072265625</v>
      </c>
    </row>
    <row r="2377" spans="1:2" ht="15" customHeight="1" x14ac:dyDescent="0.25">
      <c r="A2377">
        <v>239.71044921875</v>
      </c>
      <c r="B2377">
        <v>212.1943359375</v>
      </c>
    </row>
    <row r="2378" spans="1:2" ht="15" customHeight="1" x14ac:dyDescent="0.25">
      <c r="A2378">
        <v>243.48283386230469</v>
      </c>
      <c r="B2378">
        <v>291.60894775390625</v>
      </c>
    </row>
    <row r="2379" spans="1:2" ht="15" customHeight="1" x14ac:dyDescent="0.25">
      <c r="A2379">
        <v>243.51225280761719</v>
      </c>
      <c r="B2379">
        <v>361.97604370117187</v>
      </c>
    </row>
    <row r="2380" spans="1:2" ht="15" customHeight="1" x14ac:dyDescent="0.25">
      <c r="A2380">
        <v>243.25738525390625</v>
      </c>
      <c r="B2380">
        <v>415.927978515625</v>
      </c>
    </row>
    <row r="2381" spans="1:2" ht="15" customHeight="1" x14ac:dyDescent="0.25">
      <c r="A2381">
        <v>243.25459289550781</v>
      </c>
      <c r="B2381">
        <v>486.59829711914062</v>
      </c>
    </row>
    <row r="2382" spans="1:2" ht="15" customHeight="1" x14ac:dyDescent="0.25">
      <c r="A2382">
        <v>257.56735229492187</v>
      </c>
      <c r="B2382">
        <v>483.72042846679687</v>
      </c>
    </row>
    <row r="2383" spans="1:2" ht="15" customHeight="1" x14ac:dyDescent="0.25">
      <c r="A2383">
        <v>347.65194702148437</v>
      </c>
      <c r="B2383">
        <v>452.82769775390625</v>
      </c>
    </row>
    <row r="2384" spans="1:2" ht="15" customHeight="1" x14ac:dyDescent="0.25">
      <c r="A2384">
        <v>424.40933227539062</v>
      </c>
      <c r="B2384">
        <v>448.12322998046875</v>
      </c>
    </row>
    <row r="2385" spans="1:2" ht="15" customHeight="1" x14ac:dyDescent="0.25">
      <c r="A2385">
        <v>487.20205688476562</v>
      </c>
      <c r="B2385">
        <v>438.65771484375</v>
      </c>
    </row>
    <row r="2386" spans="1:2" ht="15" customHeight="1" x14ac:dyDescent="0.25">
      <c r="A2386">
        <v>560.84619140625</v>
      </c>
      <c r="B2386">
        <v>413.33926391601562</v>
      </c>
    </row>
    <row r="2387" spans="1:2" ht="15" customHeight="1" x14ac:dyDescent="0.25">
      <c r="A2387">
        <v>550.2293701171875</v>
      </c>
      <c r="B2387">
        <v>387.85675048828125</v>
      </c>
    </row>
    <row r="2388" spans="1:2" ht="15" customHeight="1" x14ac:dyDescent="0.25">
      <c r="A2388">
        <v>517.8011474609375</v>
      </c>
      <c r="B2388">
        <v>410.29086303710937</v>
      </c>
    </row>
    <row r="2389" spans="1:2" ht="15" customHeight="1" x14ac:dyDescent="0.25">
      <c r="A2389">
        <v>513.88775634765625</v>
      </c>
      <c r="B2389">
        <v>412.74053955078125</v>
      </c>
    </row>
    <row r="2390" spans="1:2" ht="15" customHeight="1" x14ac:dyDescent="0.25">
      <c r="A2390">
        <v>501.72698974609375</v>
      </c>
      <c r="B2390">
        <v>418.47824096679687</v>
      </c>
    </row>
    <row r="2391" spans="1:2" ht="15" customHeight="1" x14ac:dyDescent="0.25">
      <c r="A2391">
        <v>473.97073364257812</v>
      </c>
      <c r="B2391">
        <v>430.16812133789062</v>
      </c>
    </row>
    <row r="2392" spans="1:2" ht="15" customHeight="1" x14ac:dyDescent="0.25">
      <c r="A2392">
        <v>446.61941528320312</v>
      </c>
      <c r="B2392">
        <v>481.85546875</v>
      </c>
    </row>
    <row r="2393" spans="1:2" ht="15" customHeight="1" x14ac:dyDescent="0.25">
      <c r="A2393">
        <v>477.66064453125</v>
      </c>
      <c r="B2393">
        <v>464.97796630859375</v>
      </c>
    </row>
    <row r="2394" spans="1:2" ht="15" customHeight="1" x14ac:dyDescent="0.25">
      <c r="A2394">
        <v>480.61318969726562</v>
      </c>
      <c r="B2394">
        <v>368.03225708007813</v>
      </c>
    </row>
    <row r="2395" spans="1:2" ht="15" customHeight="1" x14ac:dyDescent="0.25">
      <c r="A2395">
        <v>486.68826293945312</v>
      </c>
      <c r="B2395">
        <v>259.40231323242187</v>
      </c>
    </row>
    <row r="2396" spans="1:2" ht="15" customHeight="1" x14ac:dyDescent="0.25">
      <c r="A2396">
        <v>504.73779296875</v>
      </c>
      <c r="B2396">
        <v>213.19026184082031</v>
      </c>
    </row>
    <row r="2397" spans="1:2" ht="15" customHeight="1" x14ac:dyDescent="0.25">
      <c r="A2397">
        <v>561.1546630859375</v>
      </c>
      <c r="B2397">
        <v>198.87757873535156</v>
      </c>
    </row>
    <row r="2398" spans="1:2" ht="15" customHeight="1" x14ac:dyDescent="0.25">
      <c r="A2398">
        <v>536.8358154296875</v>
      </c>
      <c r="B2398">
        <v>199.6796875</v>
      </c>
    </row>
    <row r="2399" spans="1:2" ht="15" customHeight="1" x14ac:dyDescent="0.25">
      <c r="A2399">
        <v>421.07113647460938</v>
      </c>
      <c r="B2399">
        <v>202.21719360351562</v>
      </c>
    </row>
    <row r="2400" spans="1:2" ht="15" customHeight="1" x14ac:dyDescent="0.25">
      <c r="A2400">
        <v>302.92434692382812</v>
      </c>
      <c r="B2400">
        <v>204.06930541992187</v>
      </c>
    </row>
    <row r="2401" spans="1:2" ht="15" customHeight="1" x14ac:dyDescent="0.25">
      <c r="A2401">
        <v>266.29412841796875</v>
      </c>
      <c r="B2401">
        <v>203.83186340332031</v>
      </c>
    </row>
    <row r="2402" spans="1:2" ht="15" customHeight="1" x14ac:dyDescent="0.25">
      <c r="A2402">
        <v>250.73628234863281</v>
      </c>
      <c r="B2402">
        <v>201.22563171386719</v>
      </c>
    </row>
    <row r="2403" spans="1:2" ht="15" customHeight="1" x14ac:dyDescent="0.25">
      <c r="A2403">
        <v>252.22702026367187</v>
      </c>
      <c r="B2403">
        <v>216.20655822753906</v>
      </c>
    </row>
    <row r="2404" spans="1:2" ht="15" customHeight="1" x14ac:dyDescent="0.25">
      <c r="A2404">
        <v>253.37286376953125</v>
      </c>
      <c r="B2404">
        <v>249.89460754394531</v>
      </c>
    </row>
    <row r="2405" spans="1:2" ht="15" customHeight="1" x14ac:dyDescent="0.25">
      <c r="A2405">
        <v>253.45167541503906</v>
      </c>
      <c r="B2405">
        <v>328.48434448242187</v>
      </c>
    </row>
    <row r="2406" spans="1:2" ht="15" customHeight="1" x14ac:dyDescent="0.25">
      <c r="A2406">
        <v>255.07447814941406</v>
      </c>
      <c r="B2406">
        <v>397.67657470703125</v>
      </c>
    </row>
    <row r="2407" spans="1:2" ht="15" customHeight="1" x14ac:dyDescent="0.25">
      <c r="A2407">
        <v>252.10482788085937</v>
      </c>
      <c r="B2407">
        <v>391.95880126953125</v>
      </c>
    </row>
    <row r="2408" spans="1:2" ht="15" customHeight="1" x14ac:dyDescent="0.25">
      <c r="A2408">
        <v>267.536376953125</v>
      </c>
      <c r="B2408">
        <v>340.34173583984375</v>
      </c>
    </row>
    <row r="2409" spans="1:2" ht="15" customHeight="1" x14ac:dyDescent="0.25">
      <c r="A2409">
        <v>309.90469360351562</v>
      </c>
      <c r="B2409">
        <v>280.53045654296875</v>
      </c>
    </row>
    <row r="2410" spans="1:2" ht="15" customHeight="1" x14ac:dyDescent="0.25">
      <c r="A2410">
        <v>401.04800415039062</v>
      </c>
      <c r="B2410">
        <v>222.80107116699219</v>
      </c>
    </row>
    <row r="2411" spans="1:2" ht="15" customHeight="1" x14ac:dyDescent="0.25">
      <c r="A2411">
        <v>468.99655151367187</v>
      </c>
      <c r="B2411">
        <v>203.98295593261719</v>
      </c>
    </row>
    <row r="2412" spans="1:2" ht="15" customHeight="1" x14ac:dyDescent="0.25">
      <c r="A2412">
        <v>455.26535034179687</v>
      </c>
      <c r="B2412">
        <v>201.26214599609375</v>
      </c>
    </row>
    <row r="2413" spans="1:2" ht="15" customHeight="1" x14ac:dyDescent="0.25">
      <c r="A2413">
        <v>392.0518798828125</v>
      </c>
      <c r="B2413">
        <v>225.88078308105469</v>
      </c>
    </row>
    <row r="2414" spans="1:2" ht="15" customHeight="1" x14ac:dyDescent="0.25">
      <c r="A2414">
        <v>327.48660278320312</v>
      </c>
      <c r="B2414">
        <v>225.61476135253906</v>
      </c>
    </row>
    <row r="2415" spans="1:2" ht="15" customHeight="1" x14ac:dyDescent="0.25">
      <c r="A2415">
        <v>263.59634399414062</v>
      </c>
      <c r="B2415">
        <v>234.41946411132812</v>
      </c>
    </row>
    <row r="2416" spans="1:2" ht="15" customHeight="1" x14ac:dyDescent="0.25">
      <c r="A2416">
        <v>254.00666809082031</v>
      </c>
      <c r="B2416">
        <v>286.40255737304687</v>
      </c>
    </row>
    <row r="2417" spans="1:2" ht="15" customHeight="1" x14ac:dyDescent="0.25">
      <c r="A2417">
        <v>250.64259338378906</v>
      </c>
      <c r="B2417">
        <v>248.37420654296875</v>
      </c>
    </row>
    <row r="2418" spans="1:2" ht="15" customHeight="1" x14ac:dyDescent="0.25">
      <c r="A2418">
        <v>267.11788940429687</v>
      </c>
      <c r="B2418">
        <v>204.63449096679687</v>
      </c>
    </row>
    <row r="2419" spans="1:2" ht="15" customHeight="1" x14ac:dyDescent="0.25">
      <c r="A2419">
        <v>258.05245971679687</v>
      </c>
      <c r="B2419">
        <v>199.54872131347656</v>
      </c>
    </row>
    <row r="2420" spans="1:2" ht="15" customHeight="1" x14ac:dyDescent="0.25">
      <c r="A2420">
        <v>271.22964477539063</v>
      </c>
      <c r="B2420">
        <v>199.62844848632812</v>
      </c>
    </row>
    <row r="2421" spans="1:2" ht="15" customHeight="1" x14ac:dyDescent="0.25">
      <c r="A2421">
        <v>321.816162109375</v>
      </c>
      <c r="B2421">
        <v>198.83265686035156</v>
      </c>
    </row>
    <row r="2422" spans="1:2" ht="15" customHeight="1" x14ac:dyDescent="0.25">
      <c r="A2422">
        <v>284.88613891601562</v>
      </c>
      <c r="B2422">
        <v>199.0948486328125</v>
      </c>
    </row>
    <row r="2423" spans="1:2" ht="15" customHeight="1" x14ac:dyDescent="0.25">
      <c r="A2423">
        <v>240.20787048339844</v>
      </c>
      <c r="B2423">
        <v>198.82379150390625</v>
      </c>
    </row>
    <row r="2424" spans="1:2" ht="15" customHeight="1" x14ac:dyDescent="0.25">
      <c r="A2424">
        <v>238.47726440429687</v>
      </c>
      <c r="B2424">
        <v>199.278564453125</v>
      </c>
    </row>
    <row r="2425" spans="1:2" ht="15" customHeight="1" x14ac:dyDescent="0.25">
      <c r="A2425">
        <v>240.59974670410156</v>
      </c>
      <c r="B2425">
        <v>201.206787109375</v>
      </c>
    </row>
    <row r="2426" spans="1:2" ht="15" customHeight="1" x14ac:dyDescent="0.25">
      <c r="A2426">
        <v>241.95561218261719</v>
      </c>
      <c r="B2426">
        <v>202.91911315917969</v>
      </c>
    </row>
    <row r="2427" spans="1:2" ht="15" customHeight="1" x14ac:dyDescent="0.25">
      <c r="A2427">
        <v>244.16416931152344</v>
      </c>
      <c r="B2427">
        <v>200.85786437988281</v>
      </c>
    </row>
    <row r="2428" spans="1:2" ht="15" customHeight="1" x14ac:dyDescent="0.25">
      <c r="A2428">
        <v>245.55247497558594</v>
      </c>
      <c r="B2428">
        <v>206.23008728027344</v>
      </c>
    </row>
    <row r="2429" spans="1:2" ht="15" customHeight="1" x14ac:dyDescent="0.25">
      <c r="A2429">
        <v>248.23150634765625</v>
      </c>
      <c r="B2429">
        <v>209.34114074707031</v>
      </c>
    </row>
    <row r="2430" spans="1:2" ht="15" customHeight="1" x14ac:dyDescent="0.25">
      <c r="A2430">
        <v>251.06143188476562</v>
      </c>
      <c r="B2430">
        <v>205.01181030273437</v>
      </c>
    </row>
    <row r="2431" spans="1:2" ht="15" customHeight="1" x14ac:dyDescent="0.25">
      <c r="A2431">
        <v>252.8228759765625</v>
      </c>
      <c r="B2431">
        <v>204.90859985351562</v>
      </c>
    </row>
    <row r="2432" spans="1:2" ht="15" customHeight="1" x14ac:dyDescent="0.25">
      <c r="A2432">
        <v>249.24678039550781</v>
      </c>
      <c r="B2432">
        <v>208.85215759277344</v>
      </c>
    </row>
    <row r="2433" spans="1:2" ht="15" customHeight="1" x14ac:dyDescent="0.25">
      <c r="A2433">
        <v>255.61439514160156</v>
      </c>
      <c r="B2433">
        <v>204.71128845214844</v>
      </c>
    </row>
    <row r="2434" spans="1:2" ht="15" customHeight="1" x14ac:dyDescent="0.25">
      <c r="A2434">
        <v>256.65545654296875</v>
      </c>
      <c r="B2434">
        <v>206.17098999023437</v>
      </c>
    </row>
    <row r="2435" spans="1:2" ht="15" customHeight="1" x14ac:dyDescent="0.25">
      <c r="A2435">
        <v>251.12486267089844</v>
      </c>
      <c r="B2435">
        <v>208.2198486328125</v>
      </c>
    </row>
    <row r="2436" spans="1:2" ht="15" customHeight="1" x14ac:dyDescent="0.25">
      <c r="A2436">
        <v>251.43470764160156</v>
      </c>
      <c r="B2436">
        <v>203.36550903320312</v>
      </c>
    </row>
    <row r="2437" spans="1:2" ht="15" customHeight="1" x14ac:dyDescent="0.25">
      <c r="A2437">
        <v>256.24185180664062</v>
      </c>
      <c r="B2437">
        <v>222.06370544433594</v>
      </c>
    </row>
    <row r="2438" spans="1:2" ht="15" customHeight="1" x14ac:dyDescent="0.25">
      <c r="A2438">
        <v>248.63876342773437</v>
      </c>
      <c r="B2438">
        <v>247.41032409667969</v>
      </c>
    </row>
    <row r="2439" spans="1:2" ht="15" customHeight="1" x14ac:dyDescent="0.25">
      <c r="A2439">
        <v>245.19355773925781</v>
      </c>
      <c r="B2439">
        <v>282.69583129882813</v>
      </c>
    </row>
    <row r="2440" spans="1:2" ht="15" customHeight="1" x14ac:dyDescent="0.25">
      <c r="A2440">
        <v>244.02792358398438</v>
      </c>
      <c r="B2440">
        <v>337.13226318359375</v>
      </c>
    </row>
    <row r="2441" spans="1:2" ht="15" customHeight="1" x14ac:dyDescent="0.25">
      <c r="A2441">
        <v>243.17034912109375</v>
      </c>
      <c r="B2441">
        <v>287.93173217773437</v>
      </c>
    </row>
    <row r="2442" spans="1:2" ht="15" customHeight="1" x14ac:dyDescent="0.25">
      <c r="A2442">
        <v>262.03219604492188</v>
      </c>
      <c r="B2442">
        <v>219.60234069824219</v>
      </c>
    </row>
    <row r="2443" spans="1:2" ht="15" customHeight="1" x14ac:dyDescent="0.25">
      <c r="A2443">
        <v>293.1898193359375</v>
      </c>
      <c r="B2443">
        <v>198.05740356445312</v>
      </c>
    </row>
    <row r="2444" spans="1:2" ht="15" customHeight="1" x14ac:dyDescent="0.25">
      <c r="A2444">
        <v>331.5775146484375</v>
      </c>
      <c r="B2444">
        <v>199.58213806152344</v>
      </c>
    </row>
    <row r="2445" spans="1:2" ht="15" customHeight="1" x14ac:dyDescent="0.25">
      <c r="A2445">
        <v>382.60369873046875</v>
      </c>
      <c r="B2445">
        <v>200.36936950683594</v>
      </c>
    </row>
    <row r="2446" spans="1:2" ht="15" customHeight="1" x14ac:dyDescent="0.25">
      <c r="A2446">
        <v>332.01113891601562</v>
      </c>
      <c r="B2446">
        <v>201.10934448242187</v>
      </c>
    </row>
    <row r="2447" spans="1:2" ht="15" customHeight="1" x14ac:dyDescent="0.25">
      <c r="A2447">
        <v>255.35551452636719</v>
      </c>
      <c r="B2447">
        <v>200.9493408203125</v>
      </c>
    </row>
    <row r="2448" spans="1:2" ht="15" customHeight="1" x14ac:dyDescent="0.25">
      <c r="A2448">
        <v>241.43717956542969</v>
      </c>
      <c r="B2448">
        <v>201.98684692382812</v>
      </c>
    </row>
    <row r="2449" spans="1:2" ht="15" customHeight="1" x14ac:dyDescent="0.25">
      <c r="A2449">
        <v>243.61518859863281</v>
      </c>
      <c r="B2449">
        <v>229.08869934082031</v>
      </c>
    </row>
    <row r="2450" spans="1:2" ht="15" customHeight="1" x14ac:dyDescent="0.25">
      <c r="A2450">
        <v>244.39979553222656</v>
      </c>
      <c r="B2450">
        <v>294.82623291015625</v>
      </c>
    </row>
    <row r="2451" spans="1:2" ht="15" customHeight="1" x14ac:dyDescent="0.25">
      <c r="A2451">
        <v>244.04737854003906</v>
      </c>
      <c r="B2451">
        <v>412.04638671875</v>
      </c>
    </row>
    <row r="2452" spans="1:2" ht="15" customHeight="1" x14ac:dyDescent="0.25">
      <c r="A2452">
        <v>244.69033813476562</v>
      </c>
      <c r="B2452">
        <v>487.8624267578125</v>
      </c>
    </row>
    <row r="2453" spans="1:2" ht="15" customHeight="1" x14ac:dyDescent="0.25">
      <c r="A2453">
        <v>247.77647399902344</v>
      </c>
      <c r="B2453">
        <v>499.38064575195312</v>
      </c>
    </row>
    <row r="2454" spans="1:2" ht="15" customHeight="1" x14ac:dyDescent="0.25">
      <c r="A2454">
        <v>277.62127685546875</v>
      </c>
      <c r="B2454">
        <v>487.17584228515625</v>
      </c>
    </row>
    <row r="2455" spans="1:2" ht="15" customHeight="1" x14ac:dyDescent="0.25">
      <c r="A2455">
        <v>347.50369262695312</v>
      </c>
      <c r="B2455">
        <v>468.59893798828125</v>
      </c>
    </row>
    <row r="2456" spans="1:2" ht="15" customHeight="1" x14ac:dyDescent="0.25">
      <c r="A2456">
        <v>476.43746948242187</v>
      </c>
      <c r="B2456">
        <v>496.96624755859375</v>
      </c>
    </row>
    <row r="2457" spans="1:2" ht="15" customHeight="1" x14ac:dyDescent="0.25">
      <c r="A2457">
        <v>555.36126708984375</v>
      </c>
      <c r="B2457">
        <v>529.83734130859375</v>
      </c>
    </row>
    <row r="2458" spans="1:2" ht="15" customHeight="1" x14ac:dyDescent="0.25">
      <c r="A2458">
        <v>564.98211669921875</v>
      </c>
      <c r="B2458">
        <v>510.93359375</v>
      </c>
    </row>
    <row r="2459" spans="1:2" ht="15" customHeight="1" x14ac:dyDescent="0.25">
      <c r="A2459">
        <v>546.59979248046875</v>
      </c>
      <c r="B2459">
        <v>528.7779541015625</v>
      </c>
    </row>
    <row r="2460" spans="1:2" ht="15" customHeight="1" x14ac:dyDescent="0.25">
      <c r="A2460">
        <v>524.17291259765625</v>
      </c>
      <c r="B2460">
        <v>507.72824096679687</v>
      </c>
    </row>
    <row r="2461" spans="1:2" ht="15" customHeight="1" x14ac:dyDescent="0.25">
      <c r="A2461">
        <v>554.91943359375</v>
      </c>
      <c r="B2461">
        <v>473.37222290039062</v>
      </c>
    </row>
    <row r="2462" spans="1:2" ht="15" customHeight="1" x14ac:dyDescent="0.25">
      <c r="A2462">
        <v>586.508544921875</v>
      </c>
      <c r="B2462">
        <v>479.99130249023437</v>
      </c>
    </row>
    <row r="2463" spans="1:2" ht="15" customHeight="1" x14ac:dyDescent="0.25">
      <c r="A2463">
        <v>567.58990478515625</v>
      </c>
      <c r="B2463">
        <v>484.81393432617187</v>
      </c>
    </row>
    <row r="2464" spans="1:2" ht="15" customHeight="1" x14ac:dyDescent="0.25">
      <c r="A2464">
        <v>589.7783203125</v>
      </c>
      <c r="B2464">
        <v>494.26986694335937</v>
      </c>
    </row>
    <row r="2465" spans="1:2" ht="15" customHeight="1" x14ac:dyDescent="0.25">
      <c r="A2465">
        <v>557.58673095703125</v>
      </c>
      <c r="B2465">
        <v>486.39666748046875</v>
      </c>
    </row>
    <row r="2466" spans="1:2" ht="15" customHeight="1" x14ac:dyDescent="0.25">
      <c r="A2466">
        <v>518.4246826171875</v>
      </c>
      <c r="B2466">
        <v>449.90167236328125</v>
      </c>
    </row>
    <row r="2467" spans="1:2" ht="15" customHeight="1" x14ac:dyDescent="0.25">
      <c r="A2467">
        <v>525.25628662109375</v>
      </c>
      <c r="B2467">
        <v>342.74591064453125</v>
      </c>
    </row>
    <row r="2468" spans="1:2" ht="15" customHeight="1" x14ac:dyDescent="0.25">
      <c r="A2468">
        <v>531.19549560546875</v>
      </c>
      <c r="B2468">
        <v>231.88693237304687</v>
      </c>
    </row>
    <row r="2469" spans="1:2" ht="15" customHeight="1" x14ac:dyDescent="0.25">
      <c r="A2469">
        <v>543.88116455078125</v>
      </c>
      <c r="B2469">
        <v>201.65220642089844</v>
      </c>
    </row>
    <row r="2470" spans="1:2" ht="15" customHeight="1" x14ac:dyDescent="0.25">
      <c r="A2470">
        <v>528.64013671875</v>
      </c>
      <c r="B2470">
        <v>206.38551330566406</v>
      </c>
    </row>
    <row r="2471" spans="1:2" ht="15" customHeight="1" x14ac:dyDescent="0.25">
      <c r="A2471">
        <v>483.92355346679687</v>
      </c>
      <c r="B2471">
        <v>203.2069091796875</v>
      </c>
    </row>
    <row r="2472" spans="1:2" ht="15" customHeight="1" x14ac:dyDescent="0.25">
      <c r="A2472">
        <v>369.54281616210937</v>
      </c>
      <c r="B2472">
        <v>213.39683532714844</v>
      </c>
    </row>
    <row r="2473" spans="1:2" ht="15" customHeight="1" x14ac:dyDescent="0.25">
      <c r="A2473">
        <v>257.17477416992187</v>
      </c>
      <c r="B2473">
        <v>260.18258666992187</v>
      </c>
    </row>
    <row r="2474" spans="1:2" ht="15" customHeight="1" x14ac:dyDescent="0.25">
      <c r="A2474">
        <v>243.59323120117187</v>
      </c>
      <c r="B2474">
        <v>403.786376953125</v>
      </c>
    </row>
    <row r="2475" spans="1:2" ht="15" customHeight="1" x14ac:dyDescent="0.25">
      <c r="A2475">
        <v>247.96244812011719</v>
      </c>
      <c r="B2475">
        <v>503.56475830078125</v>
      </c>
    </row>
    <row r="2476" spans="1:2" ht="15" customHeight="1" x14ac:dyDescent="0.25">
      <c r="A2476">
        <v>248.16737365722656</v>
      </c>
      <c r="B2476">
        <v>517.24267578125</v>
      </c>
    </row>
    <row r="2477" spans="1:2" ht="15" customHeight="1" x14ac:dyDescent="0.25">
      <c r="A2477">
        <v>256.26605224609375</v>
      </c>
      <c r="B2477">
        <v>522.638427734375</v>
      </c>
    </row>
    <row r="2478" spans="1:2" ht="15" customHeight="1" x14ac:dyDescent="0.25">
      <c r="A2478">
        <v>313.86209106445312</v>
      </c>
      <c r="B2478">
        <v>504.283935546875</v>
      </c>
    </row>
    <row r="2479" spans="1:2" ht="15" customHeight="1" x14ac:dyDescent="0.25">
      <c r="A2479">
        <v>474.75991821289062</v>
      </c>
      <c r="B2479">
        <v>501.283447265625</v>
      </c>
    </row>
    <row r="2480" spans="1:2" ht="15" customHeight="1" x14ac:dyDescent="0.25">
      <c r="A2480">
        <v>569.46771240234375</v>
      </c>
      <c r="B2480">
        <v>493.36538696289062</v>
      </c>
    </row>
    <row r="2481" spans="1:2" ht="15" customHeight="1" x14ac:dyDescent="0.25">
      <c r="A2481">
        <v>593.64398193359375</v>
      </c>
      <c r="B2481">
        <v>514.8280029296875</v>
      </c>
    </row>
    <row r="2482" spans="1:2" ht="15" customHeight="1" x14ac:dyDescent="0.25">
      <c r="A2482">
        <v>599.51361083984375</v>
      </c>
      <c r="B2482">
        <v>519.1572265625</v>
      </c>
    </row>
    <row r="2483" spans="1:2" ht="15" customHeight="1" x14ac:dyDescent="0.25">
      <c r="A2483">
        <v>573.38909912109375</v>
      </c>
      <c r="B2483">
        <v>509.38772583007812</v>
      </c>
    </row>
    <row r="2484" spans="1:2" ht="15" customHeight="1" x14ac:dyDescent="0.25">
      <c r="A2484">
        <v>569.1494140625</v>
      </c>
      <c r="B2484">
        <v>486.66677856445312</v>
      </c>
    </row>
    <row r="2485" spans="1:2" ht="15" customHeight="1" x14ac:dyDescent="0.25">
      <c r="A2485">
        <v>562.27850341796875</v>
      </c>
      <c r="B2485">
        <v>491.2540283203125</v>
      </c>
    </row>
    <row r="2486" spans="1:2" ht="15" customHeight="1" x14ac:dyDescent="0.25">
      <c r="A2486">
        <v>589.0184326171875</v>
      </c>
      <c r="B2486">
        <v>489.44140625</v>
      </c>
    </row>
    <row r="2487" spans="1:2" ht="15" customHeight="1" x14ac:dyDescent="0.25">
      <c r="A2487">
        <v>592.219970703125</v>
      </c>
      <c r="B2487">
        <v>505.46697998046875</v>
      </c>
    </row>
    <row r="2488" spans="1:2" ht="15" customHeight="1" x14ac:dyDescent="0.25">
      <c r="A2488">
        <v>578.1287841796875</v>
      </c>
      <c r="B2488">
        <v>528.78857421875</v>
      </c>
    </row>
    <row r="2489" spans="1:2" ht="15" customHeight="1" x14ac:dyDescent="0.25">
      <c r="A2489">
        <v>549.28411865234375</v>
      </c>
      <c r="B2489">
        <v>466.17196655273437</v>
      </c>
    </row>
    <row r="2490" spans="1:2" ht="15" customHeight="1" x14ac:dyDescent="0.25">
      <c r="A2490">
        <v>551.108154296875</v>
      </c>
      <c r="B2490">
        <v>348.23431396484375</v>
      </c>
    </row>
    <row r="2491" spans="1:2" ht="15" customHeight="1" x14ac:dyDescent="0.25">
      <c r="A2491">
        <v>553.728515625</v>
      </c>
      <c r="B2491">
        <v>240.32096862792969</v>
      </c>
    </row>
    <row r="2492" spans="1:2" ht="15" customHeight="1" x14ac:dyDescent="0.25">
      <c r="A2492">
        <v>574.544189453125</v>
      </c>
      <c r="B2492">
        <v>199.57383728027344</v>
      </c>
    </row>
    <row r="2493" spans="1:2" ht="15" customHeight="1" x14ac:dyDescent="0.25">
      <c r="A2493">
        <v>595.97119140625</v>
      </c>
      <c r="B2493">
        <v>199.87944030761719</v>
      </c>
    </row>
    <row r="2494" spans="1:2" ht="15" customHeight="1" x14ac:dyDescent="0.25">
      <c r="A2494">
        <v>518.19171142578125</v>
      </c>
      <c r="B2494">
        <v>200.68048095703125</v>
      </c>
    </row>
    <row r="2495" spans="1:2" ht="15" customHeight="1" x14ac:dyDescent="0.25">
      <c r="A2495">
        <v>385.01443481445312</v>
      </c>
      <c r="B2495">
        <v>201.05029296875</v>
      </c>
    </row>
    <row r="2496" spans="1:2" ht="15" customHeight="1" x14ac:dyDescent="0.25">
      <c r="A2496">
        <v>278.69232177734375</v>
      </c>
      <c r="B2496">
        <v>201.37596130371094</v>
      </c>
    </row>
    <row r="2497" spans="1:2" ht="15" customHeight="1" x14ac:dyDescent="0.25">
      <c r="A2497">
        <v>245.17852783203125</v>
      </c>
      <c r="B2497">
        <v>226.43435668945312</v>
      </c>
    </row>
    <row r="2498" spans="1:2" ht="15" customHeight="1" x14ac:dyDescent="0.25">
      <c r="A2498">
        <v>246.32968139648437</v>
      </c>
      <c r="B2498">
        <v>272.3572998046875</v>
      </c>
    </row>
    <row r="2499" spans="1:2" ht="15" customHeight="1" x14ac:dyDescent="0.25">
      <c r="A2499">
        <v>246.44009399414062</v>
      </c>
      <c r="B2499">
        <v>329.66094970703125</v>
      </c>
    </row>
    <row r="2500" spans="1:2" ht="15" customHeight="1" x14ac:dyDescent="0.25">
      <c r="A2500">
        <v>245.4404296875</v>
      </c>
      <c r="B2500">
        <v>383.16748046875</v>
      </c>
    </row>
    <row r="2501" spans="1:2" ht="15" customHeight="1" x14ac:dyDescent="0.25">
      <c r="A2501">
        <v>246.31434631347656</v>
      </c>
      <c r="B2501">
        <v>464.1776123046875</v>
      </c>
    </row>
    <row r="2502" spans="1:2" ht="15" customHeight="1" x14ac:dyDescent="0.25">
      <c r="A2502">
        <v>271.3192138671875</v>
      </c>
      <c r="B2502">
        <v>429.20904541015625</v>
      </c>
    </row>
    <row r="2503" spans="1:2" ht="15" customHeight="1" x14ac:dyDescent="0.25">
      <c r="A2503">
        <v>327.0859375</v>
      </c>
      <c r="B2503">
        <v>412.50918579101563</v>
      </c>
    </row>
    <row r="2504" spans="1:2" ht="15" customHeight="1" x14ac:dyDescent="0.25">
      <c r="A2504">
        <v>383.10748291015625</v>
      </c>
      <c r="B2504">
        <v>445.46475219726562</v>
      </c>
    </row>
    <row r="2505" spans="1:2" ht="15" customHeight="1" x14ac:dyDescent="0.25">
      <c r="A2505">
        <v>449.48004150390625</v>
      </c>
      <c r="B2505">
        <v>475.58169555664062</v>
      </c>
    </row>
    <row r="2506" spans="1:2" ht="15" customHeight="1" x14ac:dyDescent="0.25">
      <c r="A2506">
        <v>528.01715087890625</v>
      </c>
      <c r="B2506">
        <v>508.61480712890625</v>
      </c>
    </row>
    <row r="2507" spans="1:2" ht="15" customHeight="1" x14ac:dyDescent="0.25">
      <c r="A2507">
        <v>482.81948852539062</v>
      </c>
      <c r="B2507">
        <v>510.99148559570312</v>
      </c>
    </row>
    <row r="2508" spans="1:2" ht="15" customHeight="1" x14ac:dyDescent="0.25">
      <c r="A2508">
        <v>472.00140380859375</v>
      </c>
      <c r="B2508">
        <v>402.67123413085937</v>
      </c>
    </row>
    <row r="2509" spans="1:2" ht="15" customHeight="1" x14ac:dyDescent="0.25">
      <c r="A2509">
        <v>503.12496948242187</v>
      </c>
      <c r="B2509">
        <v>344.2342529296875</v>
      </c>
    </row>
    <row r="2510" spans="1:2" ht="15" customHeight="1" x14ac:dyDescent="0.25">
      <c r="A2510">
        <v>539.34686279296875</v>
      </c>
      <c r="B2510">
        <v>382.70657348632812</v>
      </c>
    </row>
    <row r="2511" spans="1:2" ht="15" customHeight="1" x14ac:dyDescent="0.25">
      <c r="A2511">
        <v>578.94775390625</v>
      </c>
      <c r="B2511">
        <v>408.69827270507812</v>
      </c>
    </row>
    <row r="2512" spans="1:2" ht="15" customHeight="1" x14ac:dyDescent="0.25">
      <c r="A2512">
        <v>572.57000732421875</v>
      </c>
      <c r="B2512">
        <v>504.07293701171875</v>
      </c>
    </row>
    <row r="2513" spans="1:2" ht="15" customHeight="1" x14ac:dyDescent="0.25">
      <c r="A2513">
        <v>449.22296142578125</v>
      </c>
      <c r="B2513">
        <v>475.72268676757812</v>
      </c>
    </row>
    <row r="2514" spans="1:2" ht="15" customHeight="1" x14ac:dyDescent="0.25">
      <c r="A2514">
        <v>390.5150146484375</v>
      </c>
      <c r="B2514">
        <v>326.04666137695312</v>
      </c>
    </row>
    <row r="2515" spans="1:2" ht="15" customHeight="1" x14ac:dyDescent="0.25">
      <c r="A2515">
        <v>434.5565185546875</v>
      </c>
      <c r="B2515">
        <v>215.68452453613281</v>
      </c>
    </row>
    <row r="2516" spans="1:2" ht="15" customHeight="1" x14ac:dyDescent="0.25">
      <c r="A2516">
        <v>471.21002197265625</v>
      </c>
      <c r="B2516">
        <v>198.64915466308594</v>
      </c>
    </row>
    <row r="2517" spans="1:2" ht="15" customHeight="1" x14ac:dyDescent="0.25">
      <c r="A2517">
        <v>575.543212890625</v>
      </c>
      <c r="B2517">
        <v>200.35676574707031</v>
      </c>
    </row>
    <row r="2518" spans="1:2" ht="15" customHeight="1" x14ac:dyDescent="0.25">
      <c r="A2518">
        <v>527.49090576171875</v>
      </c>
      <c r="B2518">
        <v>202.24087524414062</v>
      </c>
    </row>
    <row r="2519" spans="1:2" ht="15" customHeight="1" x14ac:dyDescent="0.25">
      <c r="A2519">
        <v>358.16329956054687</v>
      </c>
      <c r="B2519">
        <v>205.41799926757812</v>
      </c>
    </row>
    <row r="2520" spans="1:2" ht="15" customHeight="1" x14ac:dyDescent="0.25">
      <c r="A2520">
        <v>246.10733032226562</v>
      </c>
      <c r="B2520">
        <v>203.15475463867187</v>
      </c>
    </row>
    <row r="2521" spans="1:2" ht="15" customHeight="1" x14ac:dyDescent="0.25">
      <c r="A2521">
        <v>236.83433532714844</v>
      </c>
      <c r="B2521">
        <v>229.32258605957031</v>
      </c>
    </row>
    <row r="2522" spans="1:2" ht="15" customHeight="1" x14ac:dyDescent="0.25">
      <c r="A2522">
        <v>240.01129150390625</v>
      </c>
      <c r="B2522">
        <v>331.6851806640625</v>
      </c>
    </row>
    <row r="2523" spans="1:2" ht="15" customHeight="1" x14ac:dyDescent="0.25">
      <c r="A2523">
        <v>242.55523681640625</v>
      </c>
      <c r="B2523">
        <v>464.16448974609375</v>
      </c>
    </row>
    <row r="2524" spans="1:2" ht="15" customHeight="1" x14ac:dyDescent="0.25">
      <c r="A2524">
        <v>245.69769287109375</v>
      </c>
      <c r="B2524">
        <v>501.89114379882813</v>
      </c>
    </row>
    <row r="2525" spans="1:2" ht="15" customHeight="1" x14ac:dyDescent="0.25">
      <c r="A2525">
        <v>243.39306640625</v>
      </c>
      <c r="B2525">
        <v>525.1065673828125</v>
      </c>
    </row>
    <row r="2526" spans="1:2" ht="15" customHeight="1" x14ac:dyDescent="0.25">
      <c r="A2526">
        <v>278.13214111328125</v>
      </c>
      <c r="B2526">
        <v>527.51763916015625</v>
      </c>
    </row>
    <row r="2527" spans="1:2" ht="15" customHeight="1" x14ac:dyDescent="0.25">
      <c r="A2527">
        <v>396.58102416992187</v>
      </c>
      <c r="B2527">
        <v>527.1328125</v>
      </c>
    </row>
    <row r="2528" spans="1:2" ht="15" customHeight="1" x14ac:dyDescent="0.25">
      <c r="A2528">
        <v>536.791748046875</v>
      </c>
      <c r="B2528">
        <v>531.3309326171875</v>
      </c>
    </row>
    <row r="2529" spans="1:2" ht="15" customHeight="1" x14ac:dyDescent="0.25">
      <c r="A2529">
        <v>576.23406982421875</v>
      </c>
      <c r="B2529">
        <v>532.29669189453125</v>
      </c>
    </row>
    <row r="2530" spans="1:2" ht="15" customHeight="1" x14ac:dyDescent="0.25">
      <c r="A2530">
        <v>594.9261474609375</v>
      </c>
      <c r="B2530">
        <v>530.5029296875</v>
      </c>
    </row>
    <row r="2531" spans="1:2" ht="15" customHeight="1" x14ac:dyDescent="0.25">
      <c r="A2531">
        <v>596.37445068359375</v>
      </c>
      <c r="B2531">
        <v>528.67266845703125</v>
      </c>
    </row>
    <row r="2532" spans="1:2" ht="15" customHeight="1" x14ac:dyDescent="0.25">
      <c r="A2532">
        <v>597.37841796875</v>
      </c>
      <c r="B2532">
        <v>528.01422119140625</v>
      </c>
    </row>
    <row r="2533" spans="1:2" ht="15" customHeight="1" x14ac:dyDescent="0.25">
      <c r="A2533">
        <v>599.1405029296875</v>
      </c>
      <c r="B2533">
        <v>520.04962158203125</v>
      </c>
    </row>
    <row r="2534" spans="1:2" ht="15" customHeight="1" x14ac:dyDescent="0.25">
      <c r="A2534">
        <v>600.76031494140625</v>
      </c>
      <c r="B2534">
        <v>522.3917236328125</v>
      </c>
    </row>
    <row r="2535" spans="1:2" ht="15" customHeight="1" x14ac:dyDescent="0.25">
      <c r="A2535">
        <v>598.83245849609375</v>
      </c>
      <c r="B2535">
        <v>520.95025634765625</v>
      </c>
    </row>
    <row r="2536" spans="1:2" ht="15" customHeight="1" x14ac:dyDescent="0.25">
      <c r="A2536">
        <v>581.908203125</v>
      </c>
      <c r="B2536">
        <v>527.5526123046875</v>
      </c>
    </row>
    <row r="2537" spans="1:2" ht="15" customHeight="1" x14ac:dyDescent="0.25">
      <c r="A2537">
        <v>574.15411376953125</v>
      </c>
      <c r="B2537">
        <v>505.68606567382812</v>
      </c>
    </row>
    <row r="2538" spans="1:2" ht="15" customHeight="1" x14ac:dyDescent="0.25">
      <c r="A2538">
        <v>586.5074462890625</v>
      </c>
      <c r="B2538">
        <v>426.89340209960937</v>
      </c>
    </row>
    <row r="2539" spans="1:2" ht="15" customHeight="1" x14ac:dyDescent="0.25">
      <c r="A2539">
        <v>587.2747802734375</v>
      </c>
      <c r="B2539">
        <v>302.50485229492187</v>
      </c>
    </row>
    <row r="2540" spans="1:2" ht="15" customHeight="1" x14ac:dyDescent="0.25">
      <c r="A2540">
        <v>591.11688232421875</v>
      </c>
      <c r="B2540">
        <v>217.17242431640625</v>
      </c>
    </row>
    <row r="2541" spans="1:2" ht="15" customHeight="1" x14ac:dyDescent="0.25">
      <c r="A2541">
        <v>588.40484619140625</v>
      </c>
      <c r="B2541">
        <v>200.17304992675781</v>
      </c>
    </row>
    <row r="2542" spans="1:2" ht="15" customHeight="1" x14ac:dyDescent="0.25">
      <c r="A2542">
        <v>556.96697998046875</v>
      </c>
      <c r="B2542">
        <v>200.57087707519531</v>
      </c>
    </row>
    <row r="2543" spans="1:2" ht="15" customHeight="1" x14ac:dyDescent="0.25">
      <c r="A2543">
        <v>462.50421142578125</v>
      </c>
      <c r="B2543">
        <v>201.28773498535156</v>
      </c>
    </row>
    <row r="2544" spans="1:2" ht="15" customHeight="1" x14ac:dyDescent="0.25">
      <c r="A2544">
        <v>328.123046875</v>
      </c>
      <c r="B2544">
        <v>204.11808776855469</v>
      </c>
    </row>
    <row r="2545" spans="1:2" ht="15" customHeight="1" x14ac:dyDescent="0.25">
      <c r="A2545">
        <v>245.54144287109375</v>
      </c>
      <c r="B2545">
        <v>265.0418701171875</v>
      </c>
    </row>
    <row r="2546" spans="1:2" ht="15" customHeight="1" x14ac:dyDescent="0.25">
      <c r="A2546">
        <v>235.54646301269531</v>
      </c>
      <c r="B2546">
        <v>364.04318237304687</v>
      </c>
    </row>
    <row r="2547" spans="1:2" ht="15" customHeight="1" x14ac:dyDescent="0.25">
      <c r="A2547">
        <v>236.37806701660156</v>
      </c>
      <c r="B2547">
        <v>487.05670166015625</v>
      </c>
    </row>
    <row r="2548" spans="1:2" ht="15" customHeight="1" x14ac:dyDescent="0.25">
      <c r="A2548">
        <v>238.79151916503906</v>
      </c>
      <c r="B2548">
        <v>521.07684326171875</v>
      </c>
    </row>
    <row r="2549" spans="1:2" ht="15" customHeight="1" x14ac:dyDescent="0.25">
      <c r="A2549">
        <v>243.20042419433594</v>
      </c>
      <c r="B2549">
        <v>532.4278564453125</v>
      </c>
    </row>
    <row r="2550" spans="1:2" ht="15" customHeight="1" x14ac:dyDescent="0.25">
      <c r="A2550">
        <v>315.16485595703125</v>
      </c>
      <c r="B2550">
        <v>524.9105224609375</v>
      </c>
    </row>
    <row r="2551" spans="1:2" ht="15" customHeight="1" x14ac:dyDescent="0.25">
      <c r="A2551">
        <v>421.67379760742187</v>
      </c>
      <c r="B2551">
        <v>532.7628173828125</v>
      </c>
    </row>
    <row r="2552" spans="1:2" ht="15" customHeight="1" x14ac:dyDescent="0.25">
      <c r="A2552">
        <v>541.6773681640625</v>
      </c>
      <c r="B2552">
        <v>534.71636962890625</v>
      </c>
    </row>
    <row r="2553" spans="1:2" ht="15" customHeight="1" x14ac:dyDescent="0.25">
      <c r="A2553">
        <v>576.4095458984375</v>
      </c>
      <c r="B2553">
        <v>533.54901123046875</v>
      </c>
    </row>
    <row r="2554" spans="1:2" ht="15" customHeight="1" x14ac:dyDescent="0.25">
      <c r="A2554">
        <v>589.03082275390625</v>
      </c>
      <c r="B2554">
        <v>530.81817626953125</v>
      </c>
    </row>
    <row r="2555" spans="1:2" ht="15" customHeight="1" x14ac:dyDescent="0.25">
      <c r="A2555">
        <v>582.7828369140625</v>
      </c>
      <c r="B2555">
        <v>530.91632080078125</v>
      </c>
    </row>
    <row r="2556" spans="1:2" ht="15" customHeight="1" x14ac:dyDescent="0.25">
      <c r="A2556">
        <v>585.57733154296875</v>
      </c>
      <c r="B2556">
        <v>531.49188232421875</v>
      </c>
    </row>
    <row r="2557" spans="1:2" ht="15" customHeight="1" x14ac:dyDescent="0.25">
      <c r="A2557">
        <v>588.3826904296875</v>
      </c>
      <c r="B2557">
        <v>523.54815673828125</v>
      </c>
    </row>
    <row r="2558" spans="1:2" ht="15" customHeight="1" x14ac:dyDescent="0.25">
      <c r="A2558">
        <v>584.87579345703125</v>
      </c>
      <c r="B2558">
        <v>516.285888671875</v>
      </c>
    </row>
    <row r="2559" spans="1:2" ht="15" customHeight="1" x14ac:dyDescent="0.25">
      <c r="A2559">
        <v>585.56854248046875</v>
      </c>
      <c r="B2559">
        <v>520.76434326171875</v>
      </c>
    </row>
    <row r="2560" spans="1:2" ht="15" customHeight="1" x14ac:dyDescent="0.25">
      <c r="A2560">
        <v>589.55889892578125</v>
      </c>
      <c r="B2560">
        <v>521.56597900390625</v>
      </c>
    </row>
    <row r="2561" spans="1:2" ht="15" customHeight="1" x14ac:dyDescent="0.25">
      <c r="A2561">
        <v>589.45465087890625</v>
      </c>
      <c r="B2561">
        <v>511.254638671875</v>
      </c>
    </row>
    <row r="2562" spans="1:2" ht="15" customHeight="1" x14ac:dyDescent="0.25">
      <c r="A2562">
        <v>584.00701904296875</v>
      </c>
      <c r="B2562">
        <v>434.07998657226563</v>
      </c>
    </row>
    <row r="2563" spans="1:2" ht="15" customHeight="1" x14ac:dyDescent="0.25">
      <c r="A2563">
        <v>577.44287109375</v>
      </c>
      <c r="B2563">
        <v>299.76541137695312</v>
      </c>
    </row>
    <row r="2564" spans="1:2" ht="15" customHeight="1" x14ac:dyDescent="0.25">
      <c r="A2564">
        <v>585.28973388671875</v>
      </c>
      <c r="B2564">
        <v>226.38185119628906</v>
      </c>
    </row>
    <row r="2565" spans="1:2" ht="15" customHeight="1" x14ac:dyDescent="0.25">
      <c r="A2565">
        <v>580.94195556640625</v>
      </c>
      <c r="B2565">
        <v>199.1346435546875</v>
      </c>
    </row>
    <row r="2566" spans="1:2" ht="15" customHeight="1" x14ac:dyDescent="0.25">
      <c r="A2566">
        <v>565.99285888671875</v>
      </c>
      <c r="B2566">
        <v>201.11306762695312</v>
      </c>
    </row>
    <row r="2567" spans="1:2" ht="15" customHeight="1" x14ac:dyDescent="0.25">
      <c r="A2567">
        <v>475.06256103515625</v>
      </c>
      <c r="B2567">
        <v>200.15219116210937</v>
      </c>
    </row>
    <row r="2568" spans="1:2" ht="15" customHeight="1" x14ac:dyDescent="0.25">
      <c r="A2568">
        <v>329.43984985351562</v>
      </c>
      <c r="B2568">
        <v>201.51321411132812</v>
      </c>
    </row>
    <row r="2569" spans="1:2" ht="15" customHeight="1" x14ac:dyDescent="0.25">
      <c r="A2569">
        <v>260.67303466796875</v>
      </c>
      <c r="B2569">
        <v>202.41413879394531</v>
      </c>
    </row>
    <row r="2570" spans="1:2" ht="15" customHeight="1" x14ac:dyDescent="0.25">
      <c r="A2570">
        <v>241.87176513671875</v>
      </c>
      <c r="B2570">
        <v>199.78707885742187</v>
      </c>
    </row>
    <row r="2571" spans="1:2" ht="15" customHeight="1" x14ac:dyDescent="0.25">
      <c r="A2571">
        <v>241.54618835449219</v>
      </c>
      <c r="B2571">
        <v>216.87237548828125</v>
      </c>
    </row>
    <row r="2572" spans="1:2" ht="15" customHeight="1" x14ac:dyDescent="0.25">
      <c r="A2572">
        <v>241.384521484375</v>
      </c>
      <c r="B2572">
        <v>318.35421752929687</v>
      </c>
    </row>
    <row r="2573" spans="1:2" ht="15" customHeight="1" x14ac:dyDescent="0.25">
      <c r="A2573">
        <v>240.67005920410156</v>
      </c>
      <c r="B2573">
        <v>389.08831787109375</v>
      </c>
    </row>
    <row r="2574" spans="1:2" ht="15" customHeight="1" x14ac:dyDescent="0.25">
      <c r="A2574">
        <v>236.41777038574219</v>
      </c>
      <c r="B2574">
        <v>395.25</v>
      </c>
    </row>
    <row r="2575" spans="1:2" ht="15" customHeight="1" x14ac:dyDescent="0.25">
      <c r="A2575">
        <v>236.22589111328125</v>
      </c>
      <c r="B2575">
        <v>360.93630981445312</v>
      </c>
    </row>
    <row r="2576" spans="1:2" ht="15" customHeight="1" x14ac:dyDescent="0.25">
      <c r="A2576">
        <v>260.24838256835937</v>
      </c>
      <c r="B2576">
        <v>394.857177734375</v>
      </c>
    </row>
    <row r="2577" spans="1:2" ht="15" customHeight="1" x14ac:dyDescent="0.25">
      <c r="A2577">
        <v>378.15863037109375</v>
      </c>
      <c r="B2577">
        <v>427.92840576171875</v>
      </c>
    </row>
    <row r="2578" spans="1:2" ht="15" customHeight="1" x14ac:dyDescent="0.25">
      <c r="A2578">
        <v>446.43667602539062</v>
      </c>
      <c r="B2578">
        <v>436.9208984375</v>
      </c>
    </row>
    <row r="2579" spans="1:2" ht="15" customHeight="1" x14ac:dyDescent="0.25">
      <c r="A2579">
        <v>447.78887939453125</v>
      </c>
      <c r="B2579">
        <v>435.70046997070312</v>
      </c>
    </row>
    <row r="2580" spans="1:2" ht="15" customHeight="1" x14ac:dyDescent="0.25">
      <c r="A2580">
        <v>403.09176635742187</v>
      </c>
      <c r="B2580">
        <v>445.76742553710937</v>
      </c>
    </row>
    <row r="2581" spans="1:2" ht="15" customHeight="1" x14ac:dyDescent="0.25">
      <c r="A2581">
        <v>453.8931884765625</v>
      </c>
      <c r="B2581">
        <v>426.81314086914062</v>
      </c>
    </row>
    <row r="2582" spans="1:2" ht="15" customHeight="1" x14ac:dyDescent="0.25">
      <c r="A2582">
        <v>486.49832153320312</v>
      </c>
      <c r="B2582">
        <v>426.57284545898437</v>
      </c>
    </row>
    <row r="2583" spans="1:2" ht="15" customHeight="1" x14ac:dyDescent="0.25">
      <c r="A2583">
        <v>495.49575805664062</v>
      </c>
      <c r="B2583">
        <v>474.4857177734375</v>
      </c>
    </row>
    <row r="2584" spans="1:2" ht="15" customHeight="1" x14ac:dyDescent="0.25">
      <c r="A2584">
        <v>489.42098999023437</v>
      </c>
      <c r="B2584">
        <v>497.98974609375</v>
      </c>
    </row>
    <row r="2585" spans="1:2" ht="15" customHeight="1" x14ac:dyDescent="0.25">
      <c r="A2585">
        <v>501.57730102539062</v>
      </c>
      <c r="B2585">
        <v>431.12728881835937</v>
      </c>
    </row>
    <row r="2586" spans="1:2" ht="15" customHeight="1" x14ac:dyDescent="0.25">
      <c r="A2586">
        <v>476.96224975585938</v>
      </c>
      <c r="B2586">
        <v>313.48687744140625</v>
      </c>
    </row>
    <row r="2587" spans="1:2" ht="15" customHeight="1" x14ac:dyDescent="0.25">
      <c r="A2587">
        <v>479.23812866210937</v>
      </c>
      <c r="B2587">
        <v>218.81439208984375</v>
      </c>
    </row>
    <row r="2588" spans="1:2" ht="15" customHeight="1" x14ac:dyDescent="0.25">
      <c r="A2588">
        <v>534.21417236328125</v>
      </c>
      <c r="B2588">
        <v>215.69488525390625</v>
      </c>
    </row>
    <row r="2589" spans="1:2" ht="15" customHeight="1" x14ac:dyDescent="0.25">
      <c r="A2589">
        <v>555.927978515625</v>
      </c>
      <c r="B2589">
        <v>200.85176086425781</v>
      </c>
    </row>
    <row r="2590" spans="1:2" ht="15" customHeight="1" x14ac:dyDescent="0.25">
      <c r="A2590">
        <v>477.01901245117187</v>
      </c>
      <c r="B2590">
        <v>199.954833984375</v>
      </c>
    </row>
    <row r="2591" spans="1:2" ht="15" customHeight="1" x14ac:dyDescent="0.25">
      <c r="A2591">
        <v>347.22756958007812</v>
      </c>
      <c r="B2591">
        <v>200.66960144042969</v>
      </c>
    </row>
    <row r="2592" spans="1:2" ht="15" customHeight="1" x14ac:dyDescent="0.25">
      <c r="A2592">
        <v>253.77728271484375</v>
      </c>
      <c r="B2592">
        <v>201.0169677734375</v>
      </c>
    </row>
    <row r="2593" spans="1:2" ht="15" customHeight="1" x14ac:dyDescent="0.25">
      <c r="A2593">
        <v>254.48664855957031</v>
      </c>
      <c r="B2593">
        <v>200.92449951171875</v>
      </c>
    </row>
    <row r="2594" spans="1:2" ht="15" customHeight="1" x14ac:dyDescent="0.25">
      <c r="A2594">
        <v>243.45457458496094</v>
      </c>
      <c r="B2594">
        <v>206.02740478515625</v>
      </c>
    </row>
    <row r="2595" spans="1:2" ht="15" customHeight="1" x14ac:dyDescent="0.25">
      <c r="A2595">
        <v>244.26744079589844</v>
      </c>
      <c r="B2595">
        <v>210.96817016601562</v>
      </c>
    </row>
    <row r="2596" spans="1:2" ht="15" customHeight="1" x14ac:dyDescent="0.25">
      <c r="A2596">
        <v>243.01287841796875</v>
      </c>
      <c r="B2596">
        <v>218.67739868164062</v>
      </c>
    </row>
    <row r="2597" spans="1:2" ht="15" customHeight="1" x14ac:dyDescent="0.25">
      <c r="A2597">
        <v>242.00373840332031</v>
      </c>
      <c r="B2597">
        <v>234.34942626953125</v>
      </c>
    </row>
    <row r="2598" spans="1:2" ht="15" customHeight="1" x14ac:dyDescent="0.25">
      <c r="A2598">
        <v>244.09040832519531</v>
      </c>
      <c r="B2598">
        <v>265.23092651367187</v>
      </c>
    </row>
    <row r="2599" spans="1:2" ht="15" customHeight="1" x14ac:dyDescent="0.25">
      <c r="A2599">
        <v>248.64079284667969</v>
      </c>
      <c r="B2599">
        <v>301.0872802734375</v>
      </c>
    </row>
    <row r="2600" spans="1:2" ht="15" customHeight="1" x14ac:dyDescent="0.25">
      <c r="A2600">
        <v>255.99203491210937</v>
      </c>
      <c r="B2600">
        <v>304.48342895507812</v>
      </c>
    </row>
    <row r="2601" spans="1:2" ht="15" customHeight="1" x14ac:dyDescent="0.25">
      <c r="A2601">
        <v>264.21939086914062</v>
      </c>
      <c r="B2601">
        <v>252.4893798828125</v>
      </c>
    </row>
    <row r="2602" spans="1:2" ht="15" customHeight="1" x14ac:dyDescent="0.25">
      <c r="A2602">
        <v>284.7484130859375</v>
      </c>
      <c r="B2602">
        <v>214.65850830078125</v>
      </c>
    </row>
    <row r="2603" spans="1:2" ht="15" customHeight="1" x14ac:dyDescent="0.25">
      <c r="A2603">
        <v>319.810546875</v>
      </c>
      <c r="B2603">
        <v>210.21429443359375</v>
      </c>
    </row>
    <row r="2604" spans="1:2" ht="15" customHeight="1" x14ac:dyDescent="0.25">
      <c r="A2604">
        <v>359.116455078125</v>
      </c>
      <c r="B2604">
        <v>211.46614074707031</v>
      </c>
    </row>
    <row r="2605" spans="1:2" ht="15" customHeight="1" x14ac:dyDescent="0.25">
      <c r="A2605">
        <v>349.0960693359375</v>
      </c>
      <c r="B2605">
        <v>253.04393005371094</v>
      </c>
    </row>
    <row r="2606" spans="1:2" ht="15" customHeight="1" x14ac:dyDescent="0.25">
      <c r="A2606">
        <v>290.00836181640625</v>
      </c>
      <c r="B2606">
        <v>281.67825317382812</v>
      </c>
    </row>
    <row r="2607" spans="1:2" ht="15" customHeight="1" x14ac:dyDescent="0.25">
      <c r="A2607">
        <v>251.06025695800781</v>
      </c>
      <c r="B2607">
        <v>328.33682250976562</v>
      </c>
    </row>
    <row r="2608" spans="1:2" ht="15" customHeight="1" x14ac:dyDescent="0.25">
      <c r="A2608">
        <v>247.34175109863281</v>
      </c>
      <c r="B2608">
        <v>408.98379516601562</v>
      </c>
    </row>
    <row r="2609" spans="1:2" ht="15" customHeight="1" x14ac:dyDescent="0.25">
      <c r="A2609">
        <v>250.44331359863281</v>
      </c>
      <c r="B2609">
        <v>375.87277221679687</v>
      </c>
    </row>
    <row r="2610" spans="1:2" ht="15" customHeight="1" x14ac:dyDescent="0.25">
      <c r="A2610">
        <v>296.27633666992187</v>
      </c>
      <c r="B2610">
        <v>279.33441162109375</v>
      </c>
    </row>
    <row r="2611" spans="1:2" ht="15" customHeight="1" x14ac:dyDescent="0.25">
      <c r="A2611">
        <v>322.67514038085937</v>
      </c>
      <c r="B2611">
        <v>205.78799438476562</v>
      </c>
    </row>
    <row r="2612" spans="1:2" ht="15" customHeight="1" x14ac:dyDescent="0.25">
      <c r="A2612">
        <v>384.9232177734375</v>
      </c>
      <c r="B2612">
        <v>200.33097839355469</v>
      </c>
    </row>
    <row r="2613" spans="1:2" ht="15" customHeight="1" x14ac:dyDescent="0.25">
      <c r="A2613">
        <v>458.4351806640625</v>
      </c>
      <c r="B2613">
        <v>201.28388977050781</v>
      </c>
    </row>
    <row r="2614" spans="1:2" ht="15" customHeight="1" x14ac:dyDescent="0.25">
      <c r="A2614">
        <v>422.65914916992187</v>
      </c>
      <c r="B2614">
        <v>200.32772827148437</v>
      </c>
    </row>
    <row r="2615" spans="1:2" ht="15" customHeight="1" x14ac:dyDescent="0.25">
      <c r="A2615">
        <v>310.36932373046875</v>
      </c>
      <c r="B2615">
        <v>201.59117126464844</v>
      </c>
    </row>
    <row r="2616" spans="1:2" ht="15" customHeight="1" x14ac:dyDescent="0.25">
      <c r="A2616">
        <v>240.58074951171875</v>
      </c>
      <c r="B2616">
        <v>202.40963745117187</v>
      </c>
    </row>
    <row r="2617" spans="1:2" ht="15" customHeight="1" x14ac:dyDescent="0.25">
      <c r="A2617">
        <v>242.58746337890625</v>
      </c>
      <c r="B2617">
        <v>230.3533935546875</v>
      </c>
    </row>
    <row r="2618" spans="1:2" ht="15" customHeight="1" x14ac:dyDescent="0.25">
      <c r="A2618">
        <v>242.13253784179687</v>
      </c>
      <c r="B2618">
        <v>256.97845458984375</v>
      </c>
    </row>
    <row r="2619" spans="1:2" ht="15" customHeight="1" x14ac:dyDescent="0.25">
      <c r="A2619">
        <v>242.63304138183594</v>
      </c>
      <c r="B2619">
        <v>333.55062866210937</v>
      </c>
    </row>
    <row r="2620" spans="1:2" ht="15" customHeight="1" x14ac:dyDescent="0.25">
      <c r="A2620">
        <v>242.49253845214844</v>
      </c>
      <c r="B2620">
        <v>377.72708129882812</v>
      </c>
    </row>
    <row r="2621" spans="1:2" ht="15" customHeight="1" x14ac:dyDescent="0.25">
      <c r="A2621">
        <v>242.47291564941406</v>
      </c>
      <c r="B2621">
        <v>367.29403686523437</v>
      </c>
    </row>
    <row r="2622" spans="1:2" ht="15" customHeight="1" x14ac:dyDescent="0.25">
      <c r="A2622">
        <v>271.73193359375</v>
      </c>
      <c r="B2622">
        <v>305.41152954101562</v>
      </c>
    </row>
    <row r="2623" spans="1:2" ht="15" customHeight="1" x14ac:dyDescent="0.25">
      <c r="A2623">
        <v>306.36737060546875</v>
      </c>
      <c r="B2623">
        <v>351.97128295898437</v>
      </c>
    </row>
    <row r="2624" spans="1:2" ht="15" customHeight="1" x14ac:dyDescent="0.25">
      <c r="A2624">
        <v>383.35064697265625</v>
      </c>
      <c r="B2624">
        <v>317.14703369140625</v>
      </c>
    </row>
    <row r="2625" spans="1:2" ht="15" customHeight="1" x14ac:dyDescent="0.25">
      <c r="A2625">
        <v>432.19515991210937</v>
      </c>
      <c r="B2625">
        <v>313.6285400390625</v>
      </c>
    </row>
    <row r="2626" spans="1:2" ht="15" customHeight="1" x14ac:dyDescent="0.25">
      <c r="A2626">
        <v>412.28298950195312</v>
      </c>
      <c r="B2626">
        <v>316.75070190429687</v>
      </c>
    </row>
    <row r="2627" spans="1:2" ht="15" customHeight="1" x14ac:dyDescent="0.25">
      <c r="A2627">
        <v>354.56289672851562</v>
      </c>
      <c r="B2627">
        <v>271.38693237304687</v>
      </c>
    </row>
    <row r="2628" spans="1:2" ht="15" customHeight="1" x14ac:dyDescent="0.25">
      <c r="A2628">
        <v>403.4615478515625</v>
      </c>
      <c r="B2628">
        <v>250.49934387207031</v>
      </c>
    </row>
    <row r="2629" spans="1:2" ht="15" customHeight="1" x14ac:dyDescent="0.25">
      <c r="A2629">
        <v>363.67965698242187</v>
      </c>
      <c r="B2629">
        <v>250.11822509765625</v>
      </c>
    </row>
    <row r="2630" spans="1:2" ht="15" customHeight="1" x14ac:dyDescent="0.25">
      <c r="A2630">
        <v>358.73446655273437</v>
      </c>
      <c r="B2630">
        <v>250.74317932128906</v>
      </c>
    </row>
    <row r="2631" spans="1:2" ht="15" customHeight="1" x14ac:dyDescent="0.25">
      <c r="A2631">
        <v>366.35922241210937</v>
      </c>
      <c r="B2631">
        <v>268.64599609375</v>
      </c>
    </row>
    <row r="2632" spans="1:2" ht="15" customHeight="1" x14ac:dyDescent="0.25">
      <c r="A2632">
        <v>312.18209838867187</v>
      </c>
      <c r="B2632">
        <v>393.1436767578125</v>
      </c>
    </row>
    <row r="2633" spans="1:2" ht="15" customHeight="1" x14ac:dyDescent="0.25">
      <c r="A2633">
        <v>292.61642456054687</v>
      </c>
      <c r="B2633">
        <v>445.62234497070312</v>
      </c>
    </row>
    <row r="2634" spans="1:2" ht="15" customHeight="1" x14ac:dyDescent="0.25">
      <c r="A2634">
        <v>298.13528442382812</v>
      </c>
      <c r="B2634">
        <v>316.33013916015625</v>
      </c>
    </row>
    <row r="2635" spans="1:2" ht="15" customHeight="1" x14ac:dyDescent="0.25">
      <c r="A2635">
        <v>294.25949096679688</v>
      </c>
      <c r="B2635">
        <v>214.45057678222656</v>
      </c>
    </row>
    <row r="2636" spans="1:2" ht="15" customHeight="1" x14ac:dyDescent="0.25">
      <c r="A2636">
        <v>319.08981323242187</v>
      </c>
      <c r="B2636">
        <v>199.86248779296875</v>
      </c>
    </row>
    <row r="2637" spans="1:2" ht="15" customHeight="1" x14ac:dyDescent="0.25">
      <c r="A2637">
        <v>465.90972900390625</v>
      </c>
      <c r="B2637">
        <v>201.123779296875</v>
      </c>
    </row>
    <row r="2638" spans="1:2" ht="15" customHeight="1" x14ac:dyDescent="0.25">
      <c r="A2638">
        <v>502.05911254882812</v>
      </c>
      <c r="B2638">
        <v>201.36903381347656</v>
      </c>
    </row>
    <row r="2639" spans="1:2" ht="15" customHeight="1" x14ac:dyDescent="0.25">
      <c r="A2639">
        <v>355.57522583007812</v>
      </c>
      <c r="B2639">
        <v>200.92613220214844</v>
      </c>
    </row>
    <row r="2640" spans="1:2" ht="15" customHeight="1" x14ac:dyDescent="0.25">
      <c r="A2640">
        <v>247.68742370605469</v>
      </c>
      <c r="B2640">
        <v>202.04617309570312</v>
      </c>
    </row>
    <row r="2641" spans="1:2" ht="15" customHeight="1" x14ac:dyDescent="0.25">
      <c r="A2641">
        <v>239.55825805664062</v>
      </c>
      <c r="B2641">
        <v>209.58906555175781</v>
      </c>
    </row>
    <row r="2642" spans="1:2" ht="15" customHeight="1" x14ac:dyDescent="0.25">
      <c r="A2642">
        <v>240.65010070800781</v>
      </c>
      <c r="B2642">
        <v>294.42068481445312</v>
      </c>
    </row>
    <row r="2643" spans="1:2" ht="15" customHeight="1" x14ac:dyDescent="0.25">
      <c r="A2643">
        <v>241.45367431640625</v>
      </c>
      <c r="B2643">
        <v>400.25811767578125</v>
      </c>
    </row>
    <row r="2644" spans="1:2" ht="15" customHeight="1" x14ac:dyDescent="0.25">
      <c r="A2644">
        <v>243.48750305175781</v>
      </c>
      <c r="B2644">
        <v>441.04827880859375</v>
      </c>
    </row>
    <row r="2645" spans="1:2" ht="15" customHeight="1" x14ac:dyDescent="0.25">
      <c r="A2645">
        <v>245.02528381347656</v>
      </c>
      <c r="B2645">
        <v>481.40032958984375</v>
      </c>
    </row>
    <row r="2646" spans="1:2" ht="15" customHeight="1" x14ac:dyDescent="0.25">
      <c r="A2646">
        <v>253.46087646484375</v>
      </c>
      <c r="B2646">
        <v>533.80828857421875</v>
      </c>
    </row>
    <row r="2647" spans="1:2" ht="15" customHeight="1" x14ac:dyDescent="0.25">
      <c r="A2647">
        <v>344.35830688476562</v>
      </c>
      <c r="B2647">
        <v>530.36370849609375</v>
      </c>
    </row>
    <row r="2648" spans="1:2" ht="15" customHeight="1" x14ac:dyDescent="0.25">
      <c r="A2648">
        <v>464.9881591796875</v>
      </c>
      <c r="B2648">
        <v>525.943115234375</v>
      </c>
    </row>
    <row r="2649" spans="1:2" ht="15" customHeight="1" x14ac:dyDescent="0.25">
      <c r="A2649">
        <v>505.17422485351562</v>
      </c>
      <c r="B2649">
        <v>482.16989135742187</v>
      </c>
    </row>
    <row r="2650" spans="1:2" ht="15" customHeight="1" x14ac:dyDescent="0.25">
      <c r="A2650">
        <v>553.2222900390625</v>
      </c>
      <c r="B2650">
        <v>341.15396118164062</v>
      </c>
    </row>
    <row r="2651" spans="1:2" ht="15" customHeight="1" x14ac:dyDescent="0.25">
      <c r="A2651">
        <v>610.953369140625</v>
      </c>
      <c r="B2651">
        <v>248.61465454101562</v>
      </c>
    </row>
    <row r="2652" spans="1:2" ht="15" customHeight="1" x14ac:dyDescent="0.25">
      <c r="A2652">
        <v>599.3138427734375</v>
      </c>
      <c r="B2652">
        <v>200.30052185058594</v>
      </c>
    </row>
    <row r="2653" spans="1:2" ht="15" customHeight="1" x14ac:dyDescent="0.25">
      <c r="A2653">
        <v>608.6943359375</v>
      </c>
      <c r="B2653">
        <v>210.20967102050781</v>
      </c>
    </row>
    <row r="2654" spans="1:2" ht="15" customHeight="1" x14ac:dyDescent="0.25">
      <c r="A2654">
        <v>550.28106689453125</v>
      </c>
      <c r="B2654">
        <v>211.55264282226562</v>
      </c>
    </row>
    <row r="2655" spans="1:2" ht="15" customHeight="1" x14ac:dyDescent="0.25">
      <c r="A2655">
        <v>388.71270751953125</v>
      </c>
      <c r="B2655">
        <v>229.30043029785156</v>
      </c>
    </row>
    <row r="2656" spans="1:2" ht="15" customHeight="1" x14ac:dyDescent="0.25">
      <c r="A2656">
        <v>290.63674926757812</v>
      </c>
      <c r="B2656">
        <v>347.42868041992187</v>
      </c>
    </row>
    <row r="2657" spans="1:2" ht="15" customHeight="1" x14ac:dyDescent="0.25">
      <c r="A2657">
        <v>246.82400512695312</v>
      </c>
      <c r="B2657">
        <v>406.55264282226562</v>
      </c>
    </row>
    <row r="2658" spans="1:2" ht="15" customHeight="1" x14ac:dyDescent="0.25">
      <c r="A2658">
        <v>256.7923583984375</v>
      </c>
      <c r="B2658">
        <v>295.44851684570312</v>
      </c>
    </row>
    <row r="2659" spans="1:2" ht="15" customHeight="1" x14ac:dyDescent="0.25">
      <c r="A2659">
        <v>258.22528076171875</v>
      </c>
      <c r="B2659">
        <v>202.98562622070312</v>
      </c>
    </row>
    <row r="2660" spans="1:2" ht="15" customHeight="1" x14ac:dyDescent="0.25">
      <c r="A2660">
        <v>286.2901611328125</v>
      </c>
      <c r="B2660">
        <v>198.38453674316406</v>
      </c>
    </row>
    <row r="2661" spans="1:2" ht="15" customHeight="1" x14ac:dyDescent="0.25">
      <c r="A2661">
        <v>419.52285766601562</v>
      </c>
      <c r="B2661">
        <v>200.84062194824219</v>
      </c>
    </row>
    <row r="2662" spans="1:2" ht="15" customHeight="1" x14ac:dyDescent="0.25">
      <c r="A2662">
        <v>475.39581298828125</v>
      </c>
      <c r="B2662">
        <v>201.74972534179687</v>
      </c>
    </row>
    <row r="2663" spans="1:2" ht="15" customHeight="1" x14ac:dyDescent="0.25">
      <c r="A2663">
        <v>342.28887939453125</v>
      </c>
      <c r="B2663">
        <v>201.83866882324219</v>
      </c>
    </row>
    <row r="2664" spans="1:2" ht="15" customHeight="1" x14ac:dyDescent="0.25">
      <c r="A2664">
        <v>247.22207641601562</v>
      </c>
      <c r="B2664">
        <v>201.92855834960937</v>
      </c>
    </row>
    <row r="2665" spans="1:2" ht="15" customHeight="1" x14ac:dyDescent="0.25">
      <c r="A2665">
        <v>249.15980529785156</v>
      </c>
      <c r="B2665">
        <v>213.88798522949219</v>
      </c>
    </row>
    <row r="2666" spans="1:2" ht="15" customHeight="1" x14ac:dyDescent="0.25">
      <c r="A2666">
        <v>251.99566650390625</v>
      </c>
      <c r="B2666">
        <v>318.78091430664062</v>
      </c>
    </row>
    <row r="2667" spans="1:2" ht="15" customHeight="1" x14ac:dyDescent="0.25">
      <c r="A2667">
        <v>252.12652587890625</v>
      </c>
      <c r="B2667">
        <v>451.8148193359375</v>
      </c>
    </row>
    <row r="2668" spans="1:2" ht="15" customHeight="1" x14ac:dyDescent="0.25">
      <c r="A2668">
        <v>253.10911560058594</v>
      </c>
      <c r="B2668">
        <v>500.30514526367188</v>
      </c>
    </row>
    <row r="2669" spans="1:2" ht="15" customHeight="1" x14ac:dyDescent="0.25">
      <c r="A2669">
        <v>253.86689758300781</v>
      </c>
      <c r="B2669">
        <v>460.86138916015625</v>
      </c>
    </row>
    <row r="2670" spans="1:2" ht="15" customHeight="1" x14ac:dyDescent="0.25">
      <c r="A2670">
        <v>271.43264770507812</v>
      </c>
      <c r="B2670">
        <v>520.36407470703125</v>
      </c>
    </row>
    <row r="2671" spans="1:2" ht="15" customHeight="1" x14ac:dyDescent="0.25">
      <c r="A2671">
        <v>393.11553955078125</v>
      </c>
      <c r="B2671">
        <v>531.82000732421875</v>
      </c>
    </row>
    <row r="2672" spans="1:2" ht="15" customHeight="1" x14ac:dyDescent="0.25">
      <c r="A2672">
        <v>544.97637939453125</v>
      </c>
      <c r="B2672">
        <v>518.86431884765625</v>
      </c>
    </row>
    <row r="2673" spans="1:2" ht="15" customHeight="1" x14ac:dyDescent="0.25">
      <c r="A2673">
        <v>587.30889892578125</v>
      </c>
      <c r="B2673">
        <v>493.998291015625</v>
      </c>
    </row>
    <row r="2674" spans="1:2" ht="15" customHeight="1" x14ac:dyDescent="0.25">
      <c r="A2674">
        <v>542.862060546875</v>
      </c>
      <c r="B2674">
        <v>435.7313232421875</v>
      </c>
    </row>
    <row r="2675" spans="1:2" ht="15" customHeight="1" x14ac:dyDescent="0.25">
      <c r="A2675">
        <v>619.90179443359375</v>
      </c>
      <c r="B2675">
        <v>407.26300048828125</v>
      </c>
    </row>
    <row r="2676" spans="1:2" ht="15" customHeight="1" x14ac:dyDescent="0.25">
      <c r="A2676">
        <v>628.5643310546875</v>
      </c>
      <c r="B2676">
        <v>376.74533081054687</v>
      </c>
    </row>
    <row r="2677" spans="1:2" ht="15" customHeight="1" x14ac:dyDescent="0.25">
      <c r="A2677">
        <v>605.95269775390625</v>
      </c>
      <c r="B2677">
        <v>318.56549072265625</v>
      </c>
    </row>
    <row r="2678" spans="1:2" ht="15" customHeight="1" x14ac:dyDescent="0.25">
      <c r="A2678">
        <v>567.6622314453125</v>
      </c>
      <c r="B2678">
        <v>292.31967163085937</v>
      </c>
    </row>
    <row r="2679" spans="1:2" ht="15" customHeight="1" x14ac:dyDescent="0.25">
      <c r="A2679">
        <v>490.66891479492187</v>
      </c>
      <c r="B2679">
        <v>297.7598876953125</v>
      </c>
    </row>
    <row r="2680" spans="1:2" ht="15" customHeight="1" x14ac:dyDescent="0.25">
      <c r="A2680">
        <v>454.96624755859375</v>
      </c>
      <c r="B2680">
        <v>448.81494140625</v>
      </c>
    </row>
    <row r="2681" spans="1:2" ht="15" customHeight="1" x14ac:dyDescent="0.25">
      <c r="A2681">
        <v>413.73019409179687</v>
      </c>
      <c r="B2681">
        <v>497.51162719726562</v>
      </c>
    </row>
    <row r="2682" spans="1:2" ht="15" customHeight="1" x14ac:dyDescent="0.25">
      <c r="A2682">
        <v>359.33499145507812</v>
      </c>
      <c r="B2682">
        <v>420.89794921875</v>
      </c>
    </row>
    <row r="2683" spans="1:2" ht="15" customHeight="1" x14ac:dyDescent="0.25">
      <c r="A2683">
        <v>321.80926513671875</v>
      </c>
      <c r="B2683">
        <v>300.32571411132812</v>
      </c>
    </row>
    <row r="2684" spans="1:2" ht="15" customHeight="1" x14ac:dyDescent="0.25">
      <c r="A2684">
        <v>337.85763549804687</v>
      </c>
      <c r="B2684">
        <v>218.51387023925781</v>
      </c>
    </row>
    <row r="2685" spans="1:2" ht="15" customHeight="1" x14ac:dyDescent="0.25">
      <c r="A2685">
        <v>508.88729858398437</v>
      </c>
      <c r="B2685">
        <v>200.6298828125</v>
      </c>
    </row>
    <row r="2686" spans="1:2" ht="15" customHeight="1" x14ac:dyDescent="0.25">
      <c r="A2686">
        <v>549.3033447265625</v>
      </c>
      <c r="B2686">
        <v>203.6854248046875</v>
      </c>
    </row>
    <row r="2687" spans="1:2" ht="15" customHeight="1" x14ac:dyDescent="0.25">
      <c r="A2687">
        <v>451.08688354492187</v>
      </c>
      <c r="B2687">
        <v>202.68966674804687</v>
      </c>
    </row>
    <row r="2688" spans="1:2" ht="15" customHeight="1" x14ac:dyDescent="0.25">
      <c r="A2688">
        <v>324.97628784179687</v>
      </c>
      <c r="B2688">
        <v>211.68394470214844</v>
      </c>
    </row>
    <row r="2689" spans="1:2" ht="15" customHeight="1" x14ac:dyDescent="0.25">
      <c r="A2689">
        <v>243.25439453125</v>
      </c>
      <c r="B2689">
        <v>223.81607055664062</v>
      </c>
    </row>
    <row r="2690" spans="1:2" ht="15" customHeight="1" x14ac:dyDescent="0.25">
      <c r="A2690">
        <v>231.21347045898437</v>
      </c>
      <c r="B2690">
        <v>359.6414794921875</v>
      </c>
    </row>
    <row r="2691" spans="1:2" ht="15" customHeight="1" x14ac:dyDescent="0.25">
      <c r="A2691">
        <v>234.67645263671875</v>
      </c>
      <c r="B2691">
        <v>513.16461181640625</v>
      </c>
    </row>
    <row r="2692" spans="1:2" ht="15" customHeight="1" x14ac:dyDescent="0.25">
      <c r="A2692">
        <v>233.39732360839844</v>
      </c>
      <c r="B2692">
        <v>530.5565185546875</v>
      </c>
    </row>
    <row r="2693" spans="1:2" ht="15" customHeight="1" x14ac:dyDescent="0.25">
      <c r="A2693">
        <v>243.68649291992187</v>
      </c>
      <c r="B2693">
        <v>528.26531982421875</v>
      </c>
    </row>
    <row r="2694" spans="1:2" ht="15" customHeight="1" x14ac:dyDescent="0.25">
      <c r="A2694">
        <v>264.31790161132812</v>
      </c>
      <c r="B2694">
        <v>516.94940185546875</v>
      </c>
    </row>
    <row r="2695" spans="1:2" ht="15" customHeight="1" x14ac:dyDescent="0.25">
      <c r="A2695">
        <v>417.7489013671875</v>
      </c>
      <c r="B2695">
        <v>521.3704833984375</v>
      </c>
    </row>
    <row r="2696" spans="1:2" ht="15" customHeight="1" x14ac:dyDescent="0.25">
      <c r="A2696">
        <v>581.5740966796875</v>
      </c>
      <c r="B2696">
        <v>510.45208740234375</v>
      </c>
    </row>
    <row r="2697" spans="1:2" ht="15" customHeight="1" x14ac:dyDescent="0.25">
      <c r="A2697">
        <v>591.0054931640625</v>
      </c>
      <c r="B2697">
        <v>516.15936279296875</v>
      </c>
    </row>
    <row r="2698" spans="1:2" ht="15" customHeight="1" x14ac:dyDescent="0.25">
      <c r="A2698">
        <v>584.8211669921875</v>
      </c>
      <c r="B2698">
        <v>503.25619506835937</v>
      </c>
    </row>
    <row r="2699" spans="1:2" ht="15" customHeight="1" x14ac:dyDescent="0.25">
      <c r="A2699">
        <v>567.99932861328125</v>
      </c>
      <c r="B2699">
        <v>486.65457153320312</v>
      </c>
    </row>
    <row r="2700" spans="1:2" ht="15" customHeight="1" x14ac:dyDescent="0.25">
      <c r="A2700">
        <v>574.78326416015625</v>
      </c>
      <c r="B2700">
        <v>445.70675659179687</v>
      </c>
    </row>
    <row r="2701" spans="1:2" ht="15" customHeight="1" x14ac:dyDescent="0.25">
      <c r="A2701">
        <v>559.25616455078125</v>
      </c>
      <c r="B2701">
        <v>401.27505493164062</v>
      </c>
    </row>
    <row r="2702" spans="1:2" ht="15" customHeight="1" x14ac:dyDescent="0.25">
      <c r="A2702">
        <v>567.6495361328125</v>
      </c>
      <c r="B2702">
        <v>347.056884765625</v>
      </c>
    </row>
    <row r="2703" spans="1:2" ht="15" customHeight="1" x14ac:dyDescent="0.25">
      <c r="A2703">
        <v>551.2369384765625</v>
      </c>
      <c r="B2703">
        <v>349.92510986328125</v>
      </c>
    </row>
    <row r="2704" spans="1:2" ht="15" customHeight="1" x14ac:dyDescent="0.25">
      <c r="A2704">
        <v>536.78790283203125</v>
      </c>
      <c r="B2704">
        <v>460.900146484375</v>
      </c>
    </row>
    <row r="2705" spans="1:2" ht="15" customHeight="1" x14ac:dyDescent="0.25">
      <c r="A2705">
        <v>492.82977294921875</v>
      </c>
      <c r="B2705">
        <v>484.68121337890625</v>
      </c>
    </row>
    <row r="2706" spans="1:2" ht="15" customHeight="1" x14ac:dyDescent="0.25">
      <c r="A2706">
        <v>441.87911987304687</v>
      </c>
      <c r="B2706">
        <v>355.19354248046875</v>
      </c>
    </row>
    <row r="2707" spans="1:2" ht="15" customHeight="1" x14ac:dyDescent="0.25">
      <c r="A2707">
        <v>383.453857421875</v>
      </c>
      <c r="B2707">
        <v>227.61532592773437</v>
      </c>
    </row>
    <row r="2708" spans="1:2" ht="15" customHeight="1" x14ac:dyDescent="0.25">
      <c r="A2708">
        <v>399.15682983398438</v>
      </c>
      <c r="B2708">
        <v>200.17825317382812</v>
      </c>
    </row>
    <row r="2709" spans="1:2" ht="15" customHeight="1" x14ac:dyDescent="0.25">
      <c r="A2709">
        <v>520.69647216796875</v>
      </c>
      <c r="B2709">
        <v>200.79074096679687</v>
      </c>
    </row>
    <row r="2710" spans="1:2" ht="15" customHeight="1" x14ac:dyDescent="0.25">
      <c r="A2710">
        <v>538.22052001953125</v>
      </c>
      <c r="B2710">
        <v>201.86085510253906</v>
      </c>
    </row>
    <row r="2711" spans="1:2" ht="15" customHeight="1" x14ac:dyDescent="0.25">
      <c r="A2711">
        <v>385.31964111328125</v>
      </c>
      <c r="B2711">
        <v>201.66079711914062</v>
      </c>
    </row>
    <row r="2712" spans="1:2" ht="15" customHeight="1" x14ac:dyDescent="0.25">
      <c r="A2712">
        <v>251.01594543457031</v>
      </c>
      <c r="B2712">
        <v>202.07095336914063</v>
      </c>
    </row>
    <row r="2713" spans="1:2" ht="15" customHeight="1" x14ac:dyDescent="0.25">
      <c r="A2713">
        <v>235.06355285644531</v>
      </c>
      <c r="B2713">
        <v>219.45658874511719</v>
      </c>
    </row>
    <row r="2714" spans="1:2" ht="15" customHeight="1" x14ac:dyDescent="0.25">
      <c r="A2714">
        <v>235.76399230957031</v>
      </c>
      <c r="B2714">
        <v>271.50799560546875</v>
      </c>
    </row>
    <row r="2715" spans="1:2" ht="15" customHeight="1" x14ac:dyDescent="0.25">
      <c r="A2715">
        <v>237.92047119140625</v>
      </c>
      <c r="B2715">
        <v>394.79592895507812</v>
      </c>
    </row>
    <row r="2716" spans="1:2" ht="15" customHeight="1" x14ac:dyDescent="0.25">
      <c r="A2716">
        <v>238.97212219238281</v>
      </c>
      <c r="B2716">
        <v>496.11721801757813</v>
      </c>
    </row>
    <row r="2717" spans="1:2" ht="15" customHeight="1" x14ac:dyDescent="0.25">
      <c r="A2717">
        <v>237.70553588867187</v>
      </c>
      <c r="B2717">
        <v>490.49917602539062</v>
      </c>
    </row>
    <row r="2718" spans="1:2" ht="15" customHeight="1" x14ac:dyDescent="0.25">
      <c r="A2718">
        <v>261.34552001953125</v>
      </c>
      <c r="B2718">
        <v>402.68765258789063</v>
      </c>
    </row>
    <row r="2719" spans="1:2" ht="15" customHeight="1" x14ac:dyDescent="0.25">
      <c r="A2719">
        <v>320.86862182617187</v>
      </c>
      <c r="B2719">
        <v>418.89675903320312</v>
      </c>
    </row>
    <row r="2720" spans="1:2" ht="15" customHeight="1" x14ac:dyDescent="0.25">
      <c r="A2720">
        <v>459.32427978515625</v>
      </c>
      <c r="B2720">
        <v>367.54684448242187</v>
      </c>
    </row>
    <row r="2721" spans="1:2" ht="15" customHeight="1" x14ac:dyDescent="0.25">
      <c r="A2721">
        <v>558.9439697265625</v>
      </c>
      <c r="B2721">
        <v>397.05288696289062</v>
      </c>
    </row>
    <row r="2722" spans="1:2" ht="15" customHeight="1" x14ac:dyDescent="0.25">
      <c r="A2722">
        <v>538.51824951171875</v>
      </c>
      <c r="B2722">
        <v>374.66299438476562</v>
      </c>
    </row>
    <row r="2723" spans="1:2" ht="15" customHeight="1" x14ac:dyDescent="0.25">
      <c r="A2723">
        <v>436.85543823242187</v>
      </c>
      <c r="B2723">
        <v>320.47915649414063</v>
      </c>
    </row>
    <row r="2724" spans="1:2" ht="15" customHeight="1" x14ac:dyDescent="0.25">
      <c r="A2724">
        <v>465.16650390625</v>
      </c>
      <c r="B2724">
        <v>243.00605773925781</v>
      </c>
    </row>
    <row r="2725" spans="1:2" ht="15" customHeight="1" x14ac:dyDescent="0.25">
      <c r="A2725">
        <v>399.10720825195312</v>
      </c>
      <c r="B2725">
        <v>238.2694091796875</v>
      </c>
    </row>
    <row r="2726" spans="1:2" ht="15" customHeight="1" x14ac:dyDescent="0.25">
      <c r="A2726">
        <v>444.3121337890625</v>
      </c>
      <c r="B2726">
        <v>285.7025146484375</v>
      </c>
    </row>
    <row r="2727" spans="1:2" ht="15" customHeight="1" x14ac:dyDescent="0.25">
      <c r="A2727">
        <v>408.07089233398437</v>
      </c>
      <c r="B2727">
        <v>327.01068115234375</v>
      </c>
    </row>
    <row r="2728" spans="1:2" ht="15" customHeight="1" x14ac:dyDescent="0.25">
      <c r="A2728">
        <v>348.66506958007812</v>
      </c>
      <c r="B2728">
        <v>385.1536865234375</v>
      </c>
    </row>
    <row r="2729" spans="1:2" ht="15" customHeight="1" x14ac:dyDescent="0.25">
      <c r="A2729">
        <v>266.853271484375</v>
      </c>
      <c r="B2729">
        <v>340.64584350585937</v>
      </c>
    </row>
    <row r="2730" spans="1:2" ht="15" customHeight="1" x14ac:dyDescent="0.25">
      <c r="A2730">
        <v>275.50918579101562</v>
      </c>
      <c r="B2730">
        <v>267.65777587890625</v>
      </c>
    </row>
    <row r="2731" spans="1:2" ht="15" customHeight="1" x14ac:dyDescent="0.25">
      <c r="A2731">
        <v>321.55133056640625</v>
      </c>
      <c r="B2731">
        <v>203.9410400390625</v>
      </c>
    </row>
    <row r="2732" spans="1:2" ht="15" customHeight="1" x14ac:dyDescent="0.25">
      <c r="A2732">
        <v>370.41378784179687</v>
      </c>
      <c r="B2732">
        <v>217.37553405761719</v>
      </c>
    </row>
    <row r="2733" spans="1:2" ht="15" customHeight="1" x14ac:dyDescent="0.25">
      <c r="A2733">
        <v>425.76669311523437</v>
      </c>
      <c r="B2733">
        <v>199.31964111328125</v>
      </c>
    </row>
    <row r="2734" spans="1:2" ht="15" customHeight="1" x14ac:dyDescent="0.25">
      <c r="A2734">
        <v>375.47598266601562</v>
      </c>
      <c r="B2734">
        <v>200.04866027832031</v>
      </c>
    </row>
    <row r="2735" spans="1:2" ht="15" customHeight="1" x14ac:dyDescent="0.25">
      <c r="A2735">
        <v>294.74563598632812</v>
      </c>
      <c r="B2735">
        <v>201.20344543457031</v>
      </c>
    </row>
    <row r="2736" spans="1:2" ht="15" customHeight="1" x14ac:dyDescent="0.25">
      <c r="A2736">
        <v>236.44023132324219</v>
      </c>
      <c r="B2736">
        <v>213.98625183105469</v>
      </c>
    </row>
    <row r="2737" spans="1:2" ht="15" customHeight="1" x14ac:dyDescent="0.25">
      <c r="A2737">
        <v>253.37800598144531</v>
      </c>
      <c r="B2737">
        <v>204.12577819824219</v>
      </c>
    </row>
    <row r="2738" spans="1:2" ht="15" customHeight="1" x14ac:dyDescent="0.25">
      <c r="A2738">
        <v>235.19905090332031</v>
      </c>
      <c r="B2738">
        <v>215.04133605957031</v>
      </c>
    </row>
    <row r="2739" spans="1:2" ht="15" customHeight="1" x14ac:dyDescent="0.25">
      <c r="A2739">
        <v>237.56639099121094</v>
      </c>
      <c r="B2739">
        <v>225.60171508789063</v>
      </c>
    </row>
    <row r="2740" spans="1:2" ht="15" customHeight="1" x14ac:dyDescent="0.25">
      <c r="A2740">
        <v>237.85919189453125</v>
      </c>
      <c r="B2740">
        <v>346.89309692382812</v>
      </c>
    </row>
    <row r="2741" spans="1:2" ht="15" customHeight="1" x14ac:dyDescent="0.25">
      <c r="A2741">
        <v>253.13130187988281</v>
      </c>
      <c r="B2741">
        <v>417.32073974609375</v>
      </c>
    </row>
    <row r="2742" spans="1:2" ht="15" customHeight="1" x14ac:dyDescent="0.25">
      <c r="A2742">
        <v>241.73652648925781</v>
      </c>
      <c r="B2742">
        <v>440.40457153320312</v>
      </c>
    </row>
    <row r="2743" spans="1:2" ht="15" customHeight="1" x14ac:dyDescent="0.25">
      <c r="A2743">
        <v>256.79425048828125</v>
      </c>
      <c r="B2743">
        <v>421.460205078125</v>
      </c>
    </row>
    <row r="2744" spans="1:2" ht="15" customHeight="1" x14ac:dyDescent="0.25">
      <c r="A2744">
        <v>278.42877197265625</v>
      </c>
      <c r="B2744">
        <v>380.01104736328125</v>
      </c>
    </row>
    <row r="2745" spans="1:2" ht="15" customHeight="1" x14ac:dyDescent="0.25">
      <c r="A2745">
        <v>411.7763671875</v>
      </c>
      <c r="B2745">
        <v>288.06689453125</v>
      </c>
    </row>
    <row r="2746" spans="1:2" ht="15" customHeight="1" x14ac:dyDescent="0.25">
      <c r="A2746">
        <v>481.98785400390625</v>
      </c>
      <c r="B2746">
        <v>243.52738952636719</v>
      </c>
    </row>
    <row r="2747" spans="1:2" ht="15" customHeight="1" x14ac:dyDescent="0.25">
      <c r="A2747">
        <v>501.29891967773437</v>
      </c>
      <c r="B2747">
        <v>234.43069458007812</v>
      </c>
    </row>
    <row r="2748" spans="1:2" ht="15" customHeight="1" x14ac:dyDescent="0.25">
      <c r="A2748">
        <v>476.83602905273438</v>
      </c>
      <c r="B2748">
        <v>219.14826965332031</v>
      </c>
    </row>
    <row r="2749" spans="1:2" ht="15" customHeight="1" x14ac:dyDescent="0.25">
      <c r="A2749">
        <v>424.14071655273438</v>
      </c>
      <c r="B2749">
        <v>262.906982421875</v>
      </c>
    </row>
    <row r="2750" spans="1:2" ht="15" customHeight="1" x14ac:dyDescent="0.25">
      <c r="A2750">
        <v>323.83822631835937</v>
      </c>
      <c r="B2750">
        <v>297.5787353515625</v>
      </c>
    </row>
    <row r="2751" spans="1:2" ht="15" customHeight="1" x14ac:dyDescent="0.25">
      <c r="A2751">
        <v>278.21737670898437</v>
      </c>
      <c r="B2751">
        <v>370.9925537109375</v>
      </c>
    </row>
    <row r="2752" spans="1:2" ht="15" customHeight="1" x14ac:dyDescent="0.25">
      <c r="A2752">
        <v>272.84359741210937</v>
      </c>
      <c r="B2752">
        <v>426.496337890625</v>
      </c>
    </row>
    <row r="2753" spans="1:2" ht="15" customHeight="1" x14ac:dyDescent="0.25">
      <c r="A2753">
        <v>261.00466918945312</v>
      </c>
      <c r="B2753">
        <v>441.33428955078125</v>
      </c>
    </row>
    <row r="2754" spans="1:2" ht="15" customHeight="1" x14ac:dyDescent="0.25">
      <c r="A2754">
        <v>308.52340698242187</v>
      </c>
      <c r="B2754">
        <v>402.76416015625</v>
      </c>
    </row>
    <row r="2755" spans="1:2" ht="15" customHeight="1" x14ac:dyDescent="0.25">
      <c r="A2755">
        <v>343.23977661132812</v>
      </c>
      <c r="B2755">
        <v>325.91677856445312</v>
      </c>
    </row>
    <row r="2756" spans="1:2" ht="15" customHeight="1" x14ac:dyDescent="0.25">
      <c r="A2756">
        <v>430.20095825195312</v>
      </c>
      <c r="B2756">
        <v>250.164306640625</v>
      </c>
    </row>
    <row r="2757" spans="1:2" ht="15" customHeight="1" x14ac:dyDescent="0.25">
      <c r="A2757">
        <v>488.13494873046875</v>
      </c>
      <c r="B2757">
        <v>209.43728637695312</v>
      </c>
    </row>
    <row r="2758" spans="1:2" ht="15" customHeight="1" x14ac:dyDescent="0.25">
      <c r="A2758">
        <v>491.16787719726562</v>
      </c>
      <c r="B2758">
        <v>209.68202209472656</v>
      </c>
    </row>
    <row r="2759" spans="1:2" ht="15" customHeight="1" x14ac:dyDescent="0.25">
      <c r="A2759">
        <v>442.97268676757812</v>
      </c>
      <c r="B2759">
        <v>210.15524291992187</v>
      </c>
    </row>
    <row r="2760" spans="1:2" ht="15" customHeight="1" x14ac:dyDescent="0.25">
      <c r="A2760">
        <v>353.12423706054687</v>
      </c>
      <c r="B2760">
        <v>211.91899108886719</v>
      </c>
    </row>
    <row r="2761" spans="1:2" ht="15" customHeight="1" x14ac:dyDescent="0.25">
      <c r="A2761">
        <v>274.2327880859375</v>
      </c>
      <c r="B2761">
        <v>206.92073059082031</v>
      </c>
    </row>
    <row r="2762" spans="1:2" ht="15" customHeight="1" x14ac:dyDescent="0.25">
      <c r="A2762">
        <v>237.78767395019531</v>
      </c>
      <c r="B2762">
        <v>213.76541137695312</v>
      </c>
    </row>
    <row r="2763" spans="1:2" ht="15" customHeight="1" x14ac:dyDescent="0.25">
      <c r="A2763">
        <v>240.63923645019531</v>
      </c>
      <c r="B2763">
        <v>241.18287658691406</v>
      </c>
    </row>
    <row r="2764" spans="1:2" ht="15" customHeight="1" x14ac:dyDescent="0.25">
      <c r="A2764">
        <v>244.76188659667969</v>
      </c>
      <c r="B2764">
        <v>354.45858764648437</v>
      </c>
    </row>
    <row r="2765" spans="1:2" ht="15" customHeight="1" x14ac:dyDescent="0.25">
      <c r="A2765">
        <v>244.58001708984375</v>
      </c>
      <c r="B2765">
        <v>368.02593994140625</v>
      </c>
    </row>
    <row r="2766" spans="1:2" ht="15" customHeight="1" x14ac:dyDescent="0.25">
      <c r="A2766">
        <v>238.05940246582031</v>
      </c>
      <c r="B2766">
        <v>394.46884155273437</v>
      </c>
    </row>
    <row r="2767" spans="1:2" ht="15" customHeight="1" x14ac:dyDescent="0.25">
      <c r="A2767">
        <v>246.33514404296875</v>
      </c>
      <c r="B2767">
        <v>374.54000854492187</v>
      </c>
    </row>
    <row r="2768" spans="1:2" ht="15" customHeight="1" x14ac:dyDescent="0.25">
      <c r="A2768">
        <v>276.17807006835937</v>
      </c>
      <c r="B2768">
        <v>305.03717041015625</v>
      </c>
    </row>
    <row r="2769" spans="1:2" ht="15" customHeight="1" x14ac:dyDescent="0.25">
      <c r="A2769">
        <v>403.64935302734375</v>
      </c>
      <c r="B2769">
        <v>235.41262817382812</v>
      </c>
    </row>
    <row r="2770" spans="1:2" ht="15" customHeight="1" x14ac:dyDescent="0.25">
      <c r="A2770">
        <v>407.6510009765625</v>
      </c>
      <c r="B2770">
        <v>206.10826110839844</v>
      </c>
    </row>
    <row r="2771" spans="1:2" ht="15" customHeight="1" x14ac:dyDescent="0.25">
      <c r="A2771">
        <v>436.86215209960937</v>
      </c>
      <c r="B2771">
        <v>215.37130737304687</v>
      </c>
    </row>
    <row r="2772" spans="1:2" ht="15" customHeight="1" x14ac:dyDescent="0.25">
      <c r="A2772">
        <v>409.380859375</v>
      </c>
      <c r="B2772">
        <v>212.02154541015625</v>
      </c>
    </row>
    <row r="2773" spans="1:2" ht="15" customHeight="1" x14ac:dyDescent="0.25">
      <c r="A2773">
        <v>334.161865234375</v>
      </c>
      <c r="B2773">
        <v>259.919677734375</v>
      </c>
    </row>
    <row r="2774" spans="1:2" ht="15" customHeight="1" x14ac:dyDescent="0.25">
      <c r="A2774">
        <v>257.22894287109375</v>
      </c>
      <c r="B2774">
        <v>324.75479125976562</v>
      </c>
    </row>
    <row r="2775" spans="1:2" ht="15" customHeight="1" x14ac:dyDescent="0.25">
      <c r="A2775">
        <v>236.52078247070312</v>
      </c>
      <c r="B2775">
        <v>380.79550170898437</v>
      </c>
    </row>
    <row r="2776" spans="1:2" ht="15" customHeight="1" x14ac:dyDescent="0.25">
      <c r="A2776">
        <v>243.15837097167969</v>
      </c>
      <c r="B2776">
        <v>465.54226684570312</v>
      </c>
    </row>
    <row r="2777" spans="1:2" ht="15" customHeight="1" x14ac:dyDescent="0.25">
      <c r="A2777">
        <v>242.32685852050781</v>
      </c>
      <c r="B2777">
        <v>433.3304443359375</v>
      </c>
    </row>
    <row r="2778" spans="1:2" ht="15" customHeight="1" x14ac:dyDescent="0.25">
      <c r="A2778">
        <v>298.9954833984375</v>
      </c>
      <c r="B2778">
        <v>326.96432495117187</v>
      </c>
    </row>
    <row r="2779" spans="1:2" ht="15" customHeight="1" x14ac:dyDescent="0.25">
      <c r="A2779">
        <v>362.61395263671875</v>
      </c>
      <c r="B2779">
        <v>229.23426818847656</v>
      </c>
    </row>
    <row r="2780" spans="1:2" ht="15" customHeight="1" x14ac:dyDescent="0.25">
      <c r="A2780">
        <v>425.43408203125</v>
      </c>
      <c r="B2780">
        <v>200.39590454101562</v>
      </c>
    </row>
    <row r="2781" spans="1:2" ht="15" customHeight="1" x14ac:dyDescent="0.25">
      <c r="A2781">
        <v>513.64788818359375</v>
      </c>
      <c r="B2781">
        <v>201.29013061523438</v>
      </c>
    </row>
    <row r="2782" spans="1:2" ht="15" customHeight="1" x14ac:dyDescent="0.25">
      <c r="A2782">
        <v>474.482421875</v>
      </c>
      <c r="B2782">
        <v>201.3494873046875</v>
      </c>
    </row>
    <row r="2783" spans="1:2" ht="15" customHeight="1" x14ac:dyDescent="0.25">
      <c r="A2783">
        <v>357.84869384765625</v>
      </c>
      <c r="B2783">
        <v>286.74777221679687</v>
      </c>
    </row>
    <row r="2784" spans="1:2" ht="15" customHeight="1" x14ac:dyDescent="0.25">
      <c r="A2784">
        <v>257.47116088867187</v>
      </c>
      <c r="B2784">
        <v>324.01019287109375</v>
      </c>
    </row>
    <row r="2785" spans="1:2" ht="15" customHeight="1" x14ac:dyDescent="0.25">
      <c r="A2785">
        <v>232.57757568359375</v>
      </c>
      <c r="B2785">
        <v>390.04879760742187</v>
      </c>
    </row>
    <row r="2786" spans="1:2" ht="15" customHeight="1" x14ac:dyDescent="0.25">
      <c r="A2786">
        <v>232.96595764160156</v>
      </c>
      <c r="B2786">
        <v>517.03436279296875</v>
      </c>
    </row>
    <row r="2787" spans="1:2" ht="15" customHeight="1" x14ac:dyDescent="0.25">
      <c r="A2787">
        <v>235.27310180664062</v>
      </c>
      <c r="B2787">
        <v>531.12384033203125</v>
      </c>
    </row>
    <row r="2788" spans="1:2" ht="15" customHeight="1" x14ac:dyDescent="0.25">
      <c r="A2788">
        <v>332.90289306640625</v>
      </c>
      <c r="B2788">
        <v>524.9901123046875</v>
      </c>
    </row>
    <row r="2789" spans="1:2" ht="15" customHeight="1" x14ac:dyDescent="0.25">
      <c r="A2789">
        <v>361.344482421875</v>
      </c>
      <c r="B2789">
        <v>522.4404296875</v>
      </c>
    </row>
    <row r="2790" spans="1:2" ht="15" customHeight="1" x14ac:dyDescent="0.25">
      <c r="A2790">
        <v>438.29034423828125</v>
      </c>
      <c r="B2790">
        <v>534.4052734375</v>
      </c>
    </row>
    <row r="2791" spans="1:2" ht="15" customHeight="1" x14ac:dyDescent="0.25">
      <c r="A2791">
        <v>581.05230712890625</v>
      </c>
      <c r="B2791">
        <v>528.53759765625</v>
      </c>
    </row>
    <row r="2792" spans="1:2" ht="15" customHeight="1" x14ac:dyDescent="0.25">
      <c r="A2792">
        <v>593.1412353515625</v>
      </c>
      <c r="B2792">
        <v>521.742919921875</v>
      </c>
    </row>
    <row r="2793" spans="1:2" ht="15" customHeight="1" x14ac:dyDescent="0.25">
      <c r="A2793">
        <v>583.90191650390625</v>
      </c>
      <c r="B2793">
        <v>519.8131103515625</v>
      </c>
    </row>
    <row r="2794" spans="1:2" ht="15" customHeight="1" x14ac:dyDescent="0.25">
      <c r="A2794">
        <v>580.58477783203125</v>
      </c>
      <c r="B2794">
        <v>530.17364501953125</v>
      </c>
    </row>
    <row r="2795" spans="1:2" ht="15" customHeight="1" x14ac:dyDescent="0.25">
      <c r="A2795">
        <v>589.75146484375</v>
      </c>
      <c r="B2795">
        <v>522.03173828125</v>
      </c>
    </row>
    <row r="2796" spans="1:2" ht="15" customHeight="1" x14ac:dyDescent="0.25">
      <c r="A2796">
        <v>580.22686767578125</v>
      </c>
      <c r="B2796">
        <v>475.23361206054687</v>
      </c>
    </row>
    <row r="2797" spans="1:2" ht="15" customHeight="1" x14ac:dyDescent="0.25">
      <c r="A2797">
        <v>572.57843017578125</v>
      </c>
      <c r="B2797">
        <v>424.78347778320312</v>
      </c>
    </row>
    <row r="2798" spans="1:2" ht="15" customHeight="1" x14ac:dyDescent="0.25">
      <c r="A2798">
        <v>571.1849365234375</v>
      </c>
      <c r="B2798">
        <v>421.80023193359375</v>
      </c>
    </row>
    <row r="2799" spans="1:2" ht="15" customHeight="1" x14ac:dyDescent="0.25">
      <c r="A2799">
        <v>580.76226806640625</v>
      </c>
      <c r="B2799">
        <v>446.04598999023437</v>
      </c>
    </row>
    <row r="2800" spans="1:2" ht="15" customHeight="1" x14ac:dyDescent="0.25">
      <c r="A2800">
        <v>568.28778076171875</v>
      </c>
      <c r="B2800">
        <v>498.75555419921875</v>
      </c>
    </row>
    <row r="2801" spans="1:2" ht="15" customHeight="1" x14ac:dyDescent="0.25">
      <c r="A2801">
        <v>512.15838623046875</v>
      </c>
      <c r="B2801">
        <v>496.42330932617187</v>
      </c>
    </row>
    <row r="2802" spans="1:2" ht="15" customHeight="1" x14ac:dyDescent="0.25">
      <c r="A2802">
        <v>460.134033203125</v>
      </c>
      <c r="B2802">
        <v>380.53790283203125</v>
      </c>
    </row>
    <row r="2803" spans="1:2" ht="15" customHeight="1" x14ac:dyDescent="0.25">
      <c r="A2803">
        <v>454.5965576171875</v>
      </c>
      <c r="B2803">
        <v>341.47433471679687</v>
      </c>
    </row>
    <row r="2804" spans="1:2" ht="15" customHeight="1" x14ac:dyDescent="0.25">
      <c r="A2804">
        <v>485.89593505859375</v>
      </c>
      <c r="B2804">
        <v>296.800048828125</v>
      </c>
    </row>
    <row r="2805" spans="1:2" ht="15" customHeight="1" x14ac:dyDescent="0.25">
      <c r="A2805">
        <v>552.5567626953125</v>
      </c>
      <c r="B2805">
        <v>289.00283813476562</v>
      </c>
    </row>
    <row r="2806" spans="1:2" ht="15" customHeight="1" x14ac:dyDescent="0.25">
      <c r="A2806">
        <v>534.9940185546875</v>
      </c>
      <c r="B2806">
        <v>286.292236328125</v>
      </c>
    </row>
    <row r="2807" spans="1:2" ht="15" customHeight="1" x14ac:dyDescent="0.25">
      <c r="A2807">
        <v>424.63058471679687</v>
      </c>
      <c r="B2807">
        <v>285.5797119140625</v>
      </c>
    </row>
    <row r="2808" spans="1:2" ht="15" customHeight="1" x14ac:dyDescent="0.25">
      <c r="A2808">
        <v>393.42037963867187</v>
      </c>
      <c r="B2808">
        <v>288.30712890625</v>
      </c>
    </row>
    <row r="2809" spans="1:2" ht="15" customHeight="1" x14ac:dyDescent="0.25">
      <c r="A2809">
        <v>347.82095336914062</v>
      </c>
      <c r="B2809">
        <v>297.52801513671875</v>
      </c>
    </row>
    <row r="2810" spans="1:2" ht="15" customHeight="1" x14ac:dyDescent="0.25">
      <c r="A2810">
        <v>339.63125610351562</v>
      </c>
      <c r="B2810">
        <v>389.88192749023437</v>
      </c>
    </row>
    <row r="2811" spans="1:2" ht="15" customHeight="1" x14ac:dyDescent="0.25">
      <c r="A2811">
        <v>339.95742797851562</v>
      </c>
      <c r="B2811">
        <v>462.89096069335937</v>
      </c>
    </row>
    <row r="2812" spans="1:2" ht="15" customHeight="1" x14ac:dyDescent="0.25">
      <c r="A2812">
        <v>342.32022094726562</v>
      </c>
      <c r="B2812">
        <v>483.85043334960937</v>
      </c>
    </row>
    <row r="2813" spans="1:2" ht="15" customHeight="1" x14ac:dyDescent="0.25">
      <c r="A2813">
        <v>345.69171142578125</v>
      </c>
      <c r="B2813">
        <v>521.32501220703125</v>
      </c>
    </row>
    <row r="2814" spans="1:2" ht="15" customHeight="1" x14ac:dyDescent="0.25">
      <c r="A2814">
        <v>350.52932739257812</v>
      </c>
      <c r="B2814">
        <v>521.986328125</v>
      </c>
    </row>
    <row r="2815" spans="1:2" ht="15" customHeight="1" x14ac:dyDescent="0.25">
      <c r="A2815">
        <v>443.72854614257812</v>
      </c>
      <c r="B2815">
        <v>486.87509155273437</v>
      </c>
    </row>
    <row r="2816" spans="1:2" ht="15" customHeight="1" x14ac:dyDescent="0.25">
      <c r="A2816">
        <v>522.30682373046875</v>
      </c>
      <c r="B2816">
        <v>499.81060791015625</v>
      </c>
    </row>
    <row r="2817" spans="1:2" ht="15" customHeight="1" x14ac:dyDescent="0.25">
      <c r="A2817">
        <v>545.54071044921875</v>
      </c>
      <c r="B2817">
        <v>470.12619018554687</v>
      </c>
    </row>
    <row r="2818" spans="1:2" ht="15" customHeight="1" x14ac:dyDescent="0.25">
      <c r="A2818">
        <v>571.20025634765625</v>
      </c>
      <c r="B2818">
        <v>373.80548095703125</v>
      </c>
    </row>
    <row r="2819" spans="1:2" ht="15" customHeight="1" x14ac:dyDescent="0.25">
      <c r="A2819">
        <v>579.7960205078125</v>
      </c>
      <c r="B2819">
        <v>339.22332763671875</v>
      </c>
    </row>
    <row r="2820" spans="1:2" ht="15" customHeight="1" x14ac:dyDescent="0.25">
      <c r="A2820">
        <v>537.1416015625</v>
      </c>
      <c r="B2820">
        <v>327.20028686523437</v>
      </c>
    </row>
    <row r="2821" spans="1:2" ht="15" customHeight="1" x14ac:dyDescent="0.25">
      <c r="A2821">
        <v>551.5538330078125</v>
      </c>
      <c r="B2821">
        <v>293.31521606445312</v>
      </c>
    </row>
    <row r="2822" spans="1:2" ht="15" customHeight="1" x14ac:dyDescent="0.25">
      <c r="A2822">
        <v>516.152099609375</v>
      </c>
      <c r="B2822">
        <v>299.45986938476562</v>
      </c>
    </row>
    <row r="2823" spans="1:2" ht="15" customHeight="1" x14ac:dyDescent="0.25">
      <c r="A2823">
        <v>405.50759887695312</v>
      </c>
      <c r="B2823">
        <v>319.68798828125</v>
      </c>
    </row>
    <row r="2824" spans="1:2" ht="15" customHeight="1" x14ac:dyDescent="0.25">
      <c r="A2824">
        <v>377.10916137695312</v>
      </c>
      <c r="B2824">
        <v>422.26983642578125</v>
      </c>
    </row>
    <row r="2825" spans="1:2" ht="15" customHeight="1" x14ac:dyDescent="0.25">
      <c r="A2825">
        <v>360.70745849609375</v>
      </c>
      <c r="B2825">
        <v>391.56613159179687</v>
      </c>
    </row>
    <row r="2826" spans="1:2" ht="15" customHeight="1" x14ac:dyDescent="0.25">
      <c r="A2826">
        <v>327.9075927734375</v>
      </c>
      <c r="B2826">
        <v>298.6990966796875</v>
      </c>
    </row>
    <row r="2827" spans="1:2" ht="15" customHeight="1" x14ac:dyDescent="0.25">
      <c r="A2827">
        <v>336.09396362304688</v>
      </c>
      <c r="B2827">
        <v>285.83135986328125</v>
      </c>
    </row>
    <row r="2828" spans="1:2" ht="15" customHeight="1" x14ac:dyDescent="0.25">
      <c r="A2828">
        <v>359.8662109375</v>
      </c>
      <c r="B2828">
        <v>228.572021484375</v>
      </c>
    </row>
    <row r="2829" spans="1:2" ht="15" customHeight="1" x14ac:dyDescent="0.25">
      <c r="A2829">
        <v>467.97125244140625</v>
      </c>
      <c r="B2829">
        <v>197.00881958007813</v>
      </c>
    </row>
    <row r="2830" spans="1:2" ht="15" customHeight="1" x14ac:dyDescent="0.25">
      <c r="A2830">
        <v>423.51165771484375</v>
      </c>
      <c r="B2830">
        <v>199.16510009765625</v>
      </c>
    </row>
    <row r="2831" spans="1:2" ht="15" customHeight="1" x14ac:dyDescent="0.25">
      <c r="A2831">
        <v>334.73193359375</v>
      </c>
      <c r="B2831">
        <v>200.75254821777344</v>
      </c>
    </row>
    <row r="2832" spans="1:2" ht="15" customHeight="1" x14ac:dyDescent="0.25">
      <c r="A2832">
        <v>338.50259399414062</v>
      </c>
      <c r="B2832">
        <v>202.32099914550781</v>
      </c>
    </row>
    <row r="2833" spans="1:2" ht="15" customHeight="1" x14ac:dyDescent="0.25">
      <c r="A2833">
        <v>270.32769775390625</v>
      </c>
      <c r="B2833">
        <v>205.78411865234375</v>
      </c>
    </row>
    <row r="2834" spans="1:2" ht="15" customHeight="1" x14ac:dyDescent="0.25">
      <c r="A2834">
        <v>243.92558288574219</v>
      </c>
      <c r="B2834">
        <v>227.26676940917969</v>
      </c>
    </row>
    <row r="2835" spans="1:2" ht="15" customHeight="1" x14ac:dyDescent="0.25">
      <c r="A2835">
        <v>246.59902954101562</v>
      </c>
      <c r="B2835">
        <v>297.21182250976562</v>
      </c>
    </row>
    <row r="2836" spans="1:2" ht="15" customHeight="1" x14ac:dyDescent="0.25">
      <c r="A2836">
        <v>250.05162048339844</v>
      </c>
      <c r="B2836">
        <v>394.45162963867187</v>
      </c>
    </row>
    <row r="2837" spans="1:2" ht="15" customHeight="1" x14ac:dyDescent="0.25">
      <c r="A2837">
        <v>250.18011474609375</v>
      </c>
      <c r="B2837">
        <v>424.67184448242187</v>
      </c>
    </row>
    <row r="2838" spans="1:2" ht="15" customHeight="1" x14ac:dyDescent="0.25">
      <c r="A2838">
        <v>246.37188720703125</v>
      </c>
      <c r="B2838">
        <v>390.44940185546875</v>
      </c>
    </row>
    <row r="2839" spans="1:2" ht="15" customHeight="1" x14ac:dyDescent="0.25">
      <c r="A2839">
        <v>271.53854370117187</v>
      </c>
      <c r="B2839">
        <v>326.91488647460937</v>
      </c>
    </row>
    <row r="2840" spans="1:2" ht="15" customHeight="1" x14ac:dyDescent="0.25">
      <c r="A2840">
        <v>337.8443603515625</v>
      </c>
      <c r="B2840">
        <v>362.808349609375</v>
      </c>
    </row>
    <row r="2841" spans="1:2" ht="15" customHeight="1" x14ac:dyDescent="0.25">
      <c r="A2841">
        <v>455.184814453125</v>
      </c>
      <c r="B2841">
        <v>403.98410034179687</v>
      </c>
    </row>
    <row r="2842" spans="1:2" ht="15" customHeight="1" x14ac:dyDescent="0.25">
      <c r="A2842">
        <v>482.85763549804687</v>
      </c>
      <c r="B2842">
        <v>372.72085571289062</v>
      </c>
    </row>
    <row r="2843" spans="1:2" ht="15" customHeight="1" x14ac:dyDescent="0.25">
      <c r="A2843">
        <v>440.9820556640625</v>
      </c>
      <c r="B2843">
        <v>342.42050170898437</v>
      </c>
    </row>
    <row r="2844" spans="1:2" ht="15" customHeight="1" x14ac:dyDescent="0.25">
      <c r="A2844">
        <v>368.22198486328125</v>
      </c>
      <c r="B2844">
        <v>317.19094848632812</v>
      </c>
    </row>
    <row r="2845" spans="1:2" ht="15" customHeight="1" x14ac:dyDescent="0.25">
      <c r="A2845">
        <v>422.88134765625</v>
      </c>
      <c r="B2845">
        <v>291.39971923828125</v>
      </c>
    </row>
    <row r="2846" spans="1:2" ht="15" customHeight="1" x14ac:dyDescent="0.25">
      <c r="A2846">
        <v>464.04937744140625</v>
      </c>
      <c r="B2846">
        <v>245.56268310546875</v>
      </c>
    </row>
    <row r="2847" spans="1:2" ht="15" customHeight="1" x14ac:dyDescent="0.25">
      <c r="A2847">
        <v>421.22933959960937</v>
      </c>
      <c r="B2847">
        <v>263.90213012695312</v>
      </c>
    </row>
    <row r="2848" spans="1:2" ht="15" customHeight="1" x14ac:dyDescent="0.25">
      <c r="A2848">
        <v>383.5482177734375</v>
      </c>
      <c r="B2848">
        <v>366.69189453125</v>
      </c>
    </row>
    <row r="2849" spans="1:2" ht="15" customHeight="1" x14ac:dyDescent="0.25">
      <c r="A2849">
        <v>362.87655639648438</v>
      </c>
      <c r="B2849">
        <v>334.15200805664062</v>
      </c>
    </row>
    <row r="2850" spans="1:2" ht="15" customHeight="1" x14ac:dyDescent="0.25">
      <c r="A2850">
        <v>326.4598388671875</v>
      </c>
      <c r="B2850">
        <v>243.76860046386719</v>
      </c>
    </row>
    <row r="2851" spans="1:2" ht="15" customHeight="1" x14ac:dyDescent="0.25">
      <c r="A2851">
        <v>280.75823974609375</v>
      </c>
      <c r="B2851">
        <v>197.5347900390625</v>
      </c>
    </row>
    <row r="2852" spans="1:2" ht="15" customHeight="1" x14ac:dyDescent="0.25">
      <c r="A2852">
        <v>308.87319946289062</v>
      </c>
      <c r="B2852">
        <v>201.81376647949219</v>
      </c>
    </row>
    <row r="2853" spans="1:2" ht="15" customHeight="1" x14ac:dyDescent="0.25">
      <c r="A2853">
        <v>417.61697387695312</v>
      </c>
      <c r="B2853">
        <v>203.15696716308594</v>
      </c>
    </row>
    <row r="2854" spans="1:2" ht="15" customHeight="1" x14ac:dyDescent="0.25">
      <c r="A2854">
        <v>376.152099609375</v>
      </c>
      <c r="B2854">
        <v>199.17085266113281</v>
      </c>
    </row>
    <row r="2855" spans="1:2" ht="15" customHeight="1" x14ac:dyDescent="0.25">
      <c r="A2855">
        <v>281.28094482421875</v>
      </c>
      <c r="B2855">
        <v>199.63211059570312</v>
      </c>
    </row>
    <row r="2856" spans="1:2" ht="15" customHeight="1" x14ac:dyDescent="0.25">
      <c r="A2856">
        <v>242.6025390625</v>
      </c>
      <c r="B2856">
        <v>201.33668518066406</v>
      </c>
    </row>
    <row r="2857" spans="1:2" ht="15" customHeight="1" x14ac:dyDescent="0.25">
      <c r="A2857">
        <v>242.1737060546875</v>
      </c>
      <c r="B2857">
        <v>201.61529541015625</v>
      </c>
    </row>
    <row r="2858" spans="1:2" ht="15" customHeight="1" x14ac:dyDescent="0.25">
      <c r="A2858">
        <v>238.66242980957031</v>
      </c>
      <c r="B2858">
        <v>209.68946838378906</v>
      </c>
    </row>
    <row r="2859" spans="1:2" ht="15" customHeight="1" x14ac:dyDescent="0.25">
      <c r="A2859">
        <v>241.43374633789062</v>
      </c>
      <c r="B2859">
        <v>254.82826232910156</v>
      </c>
    </row>
    <row r="2860" spans="1:2" ht="15" customHeight="1" x14ac:dyDescent="0.25">
      <c r="A2860">
        <v>248.43997192382812</v>
      </c>
      <c r="B2860">
        <v>339.2205810546875</v>
      </c>
    </row>
    <row r="2861" spans="1:2" ht="15" customHeight="1" x14ac:dyDescent="0.25">
      <c r="A2861">
        <v>250.94497680664062</v>
      </c>
      <c r="B2861">
        <v>366.33847045898437</v>
      </c>
    </row>
    <row r="2862" spans="1:2" ht="15" customHeight="1" x14ac:dyDescent="0.25">
      <c r="A2862">
        <v>250.19764709472656</v>
      </c>
      <c r="B2862">
        <v>392.40609741210937</v>
      </c>
    </row>
    <row r="2863" spans="1:2" ht="15" customHeight="1" x14ac:dyDescent="0.25">
      <c r="A2863">
        <v>260.56277465820312</v>
      </c>
      <c r="B2863">
        <v>414.80484008789063</v>
      </c>
    </row>
    <row r="2864" spans="1:2" ht="15" customHeight="1" x14ac:dyDescent="0.25">
      <c r="A2864">
        <v>317.15435791015625</v>
      </c>
      <c r="B2864">
        <v>413.36431884765625</v>
      </c>
    </row>
    <row r="2865" spans="1:2" ht="15" customHeight="1" x14ac:dyDescent="0.25">
      <c r="A2865">
        <v>399.18948364257812</v>
      </c>
      <c r="B2865">
        <v>405.71554565429687</v>
      </c>
    </row>
    <row r="2866" spans="1:2" ht="15" customHeight="1" x14ac:dyDescent="0.25">
      <c r="A2866">
        <v>425.096435546875</v>
      </c>
      <c r="B2866">
        <v>386.58343505859375</v>
      </c>
    </row>
    <row r="2867" spans="1:2" ht="15" customHeight="1" x14ac:dyDescent="0.25">
      <c r="A2867">
        <v>454.09011840820312</v>
      </c>
      <c r="B2867">
        <v>321.54562377929687</v>
      </c>
    </row>
    <row r="2868" spans="1:2" ht="15" customHeight="1" x14ac:dyDescent="0.25">
      <c r="A2868">
        <v>475.08013916015625</v>
      </c>
      <c r="B2868">
        <v>357.48748779296875</v>
      </c>
    </row>
    <row r="2869" spans="1:2" ht="15" customHeight="1" x14ac:dyDescent="0.25">
      <c r="A2869">
        <v>464.81900024414062</v>
      </c>
      <c r="B2869">
        <v>356.18215942382813</v>
      </c>
    </row>
    <row r="2870" spans="1:2" ht="15" customHeight="1" x14ac:dyDescent="0.25">
      <c r="A2870">
        <v>455.63150024414062</v>
      </c>
      <c r="B2870">
        <v>315.2578125</v>
      </c>
    </row>
    <row r="2871" spans="1:2" ht="15" customHeight="1" x14ac:dyDescent="0.25">
      <c r="A2871">
        <v>431.24813842773437</v>
      </c>
      <c r="B2871">
        <v>296.20462036132812</v>
      </c>
    </row>
    <row r="2872" spans="1:2" ht="15" customHeight="1" x14ac:dyDescent="0.25">
      <c r="A2872">
        <v>363.62417602539062</v>
      </c>
      <c r="B2872">
        <v>404.52529907226562</v>
      </c>
    </row>
    <row r="2873" spans="1:2" ht="15" customHeight="1" x14ac:dyDescent="0.25">
      <c r="A2873">
        <v>409.84814453125</v>
      </c>
      <c r="B2873">
        <v>389.82589721679687</v>
      </c>
    </row>
    <row r="2874" spans="1:2" ht="15" customHeight="1" x14ac:dyDescent="0.25">
      <c r="A2874">
        <v>405.58200073242187</v>
      </c>
      <c r="B2874">
        <v>267.28759765625</v>
      </c>
    </row>
    <row r="2875" spans="1:2" ht="15" customHeight="1" x14ac:dyDescent="0.25">
      <c r="A2875"/>
      <c r="B2875"/>
    </row>
  </sheetData>
  <mergeCells count="2">
    <mergeCell ref="F2:G2"/>
    <mergeCell ref="F3:G3"/>
  </mergeCells>
  <conditionalFormatting sqref="F5:I5 G6:I6 F7:I26">
    <cfRule type="cellIs" dxfId="4" priority="2" operator="equal">
      <formula>0</formula>
    </cfRule>
  </conditionalFormatting>
  <conditionalFormatting sqref="O2">
    <cfRule type="cellIs" dxfId="3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CommandButton1">
          <controlPr defaultSize="0" autoLine="0" r:id="rId4">
            <anchor moveWithCells="1">
              <from>
                <xdr:col>9</xdr:col>
                <xdr:colOff>0</xdr:colOff>
                <xdr:row>1</xdr:row>
                <xdr:rowOff>9525</xdr:rowOff>
              </from>
              <to>
                <xdr:col>11</xdr:col>
                <xdr:colOff>28575</xdr:colOff>
                <xdr:row>3</xdr:row>
                <xdr:rowOff>9525</xdr:rowOff>
              </to>
            </anchor>
          </controlPr>
        </control>
      </mc:Choice>
      <mc:Fallback>
        <control shapeId="23553" r:id="rId3" name="CommandButton1"/>
      </mc:Fallback>
    </mc:AlternateContent>
    <mc:AlternateContent xmlns:mc="http://schemas.openxmlformats.org/markup-compatibility/2006">
      <mc:Choice Requires="x14">
        <control shapeId="23554" r:id="rId5" name="CommandButton2">
          <controlPr defaultSize="0" autoLine="0" r:id="rId6">
            <anchor moveWithCells="1">
              <from>
                <xdr:col>15</xdr:col>
                <xdr:colOff>600075</xdr:colOff>
                <xdr:row>1</xdr:row>
                <xdr:rowOff>9525</xdr:rowOff>
              </from>
              <to>
                <xdr:col>18</xdr:col>
                <xdr:colOff>600075</xdr:colOff>
                <xdr:row>3</xdr:row>
                <xdr:rowOff>9525</xdr:rowOff>
              </to>
            </anchor>
          </controlPr>
        </control>
      </mc:Choice>
      <mc:Fallback>
        <control shapeId="23554" r:id="rId5" name="CommandButton2"/>
      </mc:Fallback>
    </mc:AlternateContent>
    <mc:AlternateContent xmlns:mc="http://schemas.openxmlformats.org/markup-compatibility/2006">
      <mc:Choice Requires="x14">
        <control shapeId="23555" r:id="rId7" name="CommandButton3">
          <controlPr defaultSize="0" autoLine="0" r:id="rId8">
            <anchor moveWithCells="1">
              <from>
                <xdr:col>2</xdr:col>
                <xdr:colOff>571500</xdr:colOff>
                <xdr:row>1</xdr:row>
                <xdr:rowOff>9525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23555" r:id="rId7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2233"/>
  <sheetViews>
    <sheetView zoomScale="85" zoomScaleNormal="85" workbookViewId="0">
      <selection activeCell="M4" sqref="M4"/>
    </sheetView>
  </sheetViews>
  <sheetFormatPr defaultRowHeight="15" x14ac:dyDescent="0.25"/>
  <cols>
    <col min="1" max="2" width="15.140625" bestFit="1" customWidth="1"/>
    <col min="7" max="7" width="15.7109375" bestFit="1" customWidth="1"/>
    <col min="8" max="9" width="9.7109375" customWidth="1"/>
    <col min="14" max="14" width="12.42578125" bestFit="1" customWidth="1"/>
  </cols>
  <sheetData>
    <row r="1" spans="1:15" ht="15" customHeight="1" thickBot="1" x14ac:dyDescent="0.3">
      <c r="A1" s="1" t="s">
        <v>65</v>
      </c>
      <c r="B1" s="1" t="s">
        <v>68</v>
      </c>
      <c r="C1" s="1"/>
    </row>
    <row r="2" spans="1:15" ht="15" customHeight="1" thickTop="1" thickBot="1" x14ac:dyDescent="0.3">
      <c r="A2">
        <v>1.243891566991806E-2</v>
      </c>
      <c r="B2">
        <v>4.9518674612045288E-2</v>
      </c>
      <c r="F2" s="27" t="s">
        <v>30</v>
      </c>
      <c r="G2" s="28"/>
      <c r="H2" s="16">
        <v>24</v>
      </c>
      <c r="N2" s="16" t="s">
        <v>31</v>
      </c>
      <c r="O2" s="13">
        <v>8</v>
      </c>
    </row>
    <row r="3" spans="1:15" ht="15" customHeight="1" thickTop="1" thickBot="1" x14ac:dyDescent="0.3">
      <c r="A3">
        <v>1.1122895404696465E-2</v>
      </c>
      <c r="B3">
        <v>2.7106979861855507E-2</v>
      </c>
      <c r="F3" s="27" t="s">
        <v>11</v>
      </c>
      <c r="G3" s="28"/>
      <c r="H3" s="16">
        <v>2232</v>
      </c>
    </row>
    <row r="4" spans="1:15" ht="15" customHeight="1" thickTop="1" thickBot="1" x14ac:dyDescent="0.3">
      <c r="A4">
        <v>1.0454629547894001E-2</v>
      </c>
      <c r="B4">
        <v>8.5261753213217162E-10</v>
      </c>
    </row>
    <row r="5" spans="1:15" ht="15" customHeight="1" thickTop="1" thickBot="1" x14ac:dyDescent="0.3">
      <c r="A5">
        <v>1.1525201611220837E-2</v>
      </c>
      <c r="B5">
        <v>3.4284539520740509E-2</v>
      </c>
      <c r="F5" s="16" t="s">
        <v>20</v>
      </c>
      <c r="G5" s="16" t="s">
        <v>60</v>
      </c>
      <c r="H5" s="16" t="s">
        <v>21</v>
      </c>
      <c r="I5" s="16" t="s">
        <v>22</v>
      </c>
    </row>
    <row r="6" spans="1:15" ht="15" customHeight="1" thickTop="1" thickBot="1" x14ac:dyDescent="0.3">
      <c r="A6">
        <v>1.284891739487648E-2</v>
      </c>
      <c r="B6">
        <v>3.4949932247400284E-2</v>
      </c>
      <c r="F6" s="16">
        <f>0</f>
        <v>0</v>
      </c>
      <c r="G6" s="16">
        <f ca="1">CORREL(OFFSET('Cross Correlate'!xrange, 0, 0, n_data_points - $F6), OFFSET(yrange,$F6,0,n_data_points - $F6))</f>
        <v>0.40972575941006378</v>
      </c>
      <c r="H6" s="16">
        <f t="shared" ref="H6:H30" si="0">2/SQRT(n_data_points)</f>
        <v>4.2333375666730171E-2</v>
      </c>
      <c r="I6" s="16">
        <f t="shared" ref="I6:I30" si="1">-2/SQRT(n_data_points)</f>
        <v>-4.2333375666730171E-2</v>
      </c>
    </row>
    <row r="7" spans="1:15" ht="15" customHeight="1" thickTop="1" thickBot="1" x14ac:dyDescent="0.3">
      <c r="A7">
        <v>1.024253387004137E-2</v>
      </c>
      <c r="B7">
        <v>4.0060862898826599E-2</v>
      </c>
      <c r="F7" s="16">
        <f>F6+1</f>
        <v>1</v>
      </c>
      <c r="G7" s="16">
        <f ca="1">CORREL(OFFSET('Cross Correlate'!xrange, 0, 0, n_data_points - $F7), OFFSET(yrange,$F7,0,n_data_points - $F7))</f>
        <v>0.34450107208557951</v>
      </c>
      <c r="H7" s="16">
        <f t="shared" si="0"/>
        <v>4.2333375666730171E-2</v>
      </c>
      <c r="I7" s="16">
        <f t="shared" si="1"/>
        <v>-4.2333375666730171E-2</v>
      </c>
    </row>
    <row r="8" spans="1:15" ht="15" customHeight="1" thickTop="1" thickBot="1" x14ac:dyDescent="0.3">
      <c r="A8">
        <v>8.5052214562892914E-3</v>
      </c>
      <c r="B8">
        <v>1.2621656060218811E-2</v>
      </c>
      <c r="F8" s="16">
        <f t="shared" ref="F8:F30" si="2">F7+1</f>
        <v>2</v>
      </c>
      <c r="G8" s="16">
        <f ca="1">CORREL(OFFSET('Cross Correlate'!xrange, 0, 0, n_data_points - $F8), OFFSET(yrange,$F8,0,n_data_points - $F8))</f>
        <v>0.24996192598351749</v>
      </c>
      <c r="H8" s="16">
        <f t="shared" si="0"/>
        <v>4.2333375666730171E-2</v>
      </c>
      <c r="I8" s="16">
        <f t="shared" si="1"/>
        <v>-4.2333375666730171E-2</v>
      </c>
    </row>
    <row r="9" spans="1:15" ht="15" customHeight="1" thickTop="1" thickBot="1" x14ac:dyDescent="0.3">
      <c r="A9">
        <v>0.1323552131652832</v>
      </c>
      <c r="B9">
        <v>1.9191614389419556</v>
      </c>
      <c r="F9" s="16">
        <f t="shared" si="2"/>
        <v>3</v>
      </c>
      <c r="G9" s="16">
        <f ca="1">CORREL(OFFSET('Cross Correlate'!xrange, 0, 0, n_data_points - $F9), OFFSET(yrange,$F9,0,n_data_points - $F9))</f>
        <v>0.1292671807261917</v>
      </c>
      <c r="H9" s="16">
        <f t="shared" si="0"/>
        <v>4.2333375666730171E-2</v>
      </c>
      <c r="I9" s="16">
        <f t="shared" si="1"/>
        <v>-4.2333375666730171E-2</v>
      </c>
    </row>
    <row r="10" spans="1:15" ht="15" customHeight="1" thickTop="1" thickBot="1" x14ac:dyDescent="0.3">
      <c r="A10">
        <v>4.107249528169632E-2</v>
      </c>
      <c r="B10">
        <v>1.7406874895095825</v>
      </c>
      <c r="F10" s="16">
        <f t="shared" si="2"/>
        <v>4</v>
      </c>
      <c r="G10" s="16">
        <f ca="1">CORREL(OFFSET('Cross Correlate'!xrange, 0, 0, n_data_points - $F10), OFFSET(yrange,$F10,0,n_data_points - $F10))</f>
        <v>0.11501369689481672</v>
      </c>
      <c r="H10" s="16">
        <f t="shared" si="0"/>
        <v>4.2333375666730171E-2</v>
      </c>
      <c r="I10" s="16">
        <f t="shared" si="1"/>
        <v>-4.2333375666730171E-2</v>
      </c>
    </row>
    <row r="11" spans="1:15" ht="15" customHeight="1" thickTop="1" thickBot="1" x14ac:dyDescent="0.3">
      <c r="A11">
        <v>1.3582706451416016E-2</v>
      </c>
      <c r="B11">
        <v>0.3030744194984436</v>
      </c>
      <c r="F11" s="16">
        <f t="shared" si="2"/>
        <v>5</v>
      </c>
      <c r="G11" s="16">
        <f ca="1">CORREL(OFFSET('Cross Correlate'!xrange, 0, 0, n_data_points - $F11), OFFSET(yrange,$F11,0,n_data_points - $F11))</f>
        <v>8.6077916426703621E-2</v>
      </c>
      <c r="H11" s="16">
        <f t="shared" si="0"/>
        <v>4.2333375666730171E-2</v>
      </c>
      <c r="I11" s="16">
        <f t="shared" si="1"/>
        <v>-4.2333375666730171E-2</v>
      </c>
    </row>
    <row r="12" spans="1:15" ht="15" customHeight="1" thickTop="1" thickBot="1" x14ac:dyDescent="0.3">
      <c r="A12">
        <v>9.8897432908415794E-3</v>
      </c>
      <c r="B12">
        <v>0.26367485523223877</v>
      </c>
      <c r="F12" s="16">
        <f t="shared" si="2"/>
        <v>6</v>
      </c>
      <c r="G12" s="16">
        <f ca="1">CORREL(OFFSET('Cross Correlate'!xrange, 0, 0, n_data_points - $F12), OFFSET(yrange,$F12,0,n_data_points - $F12))</f>
        <v>8.0732704590565432E-2</v>
      </c>
      <c r="H12" s="16">
        <f t="shared" si="0"/>
        <v>4.2333375666730171E-2</v>
      </c>
      <c r="I12" s="16">
        <f t="shared" si="1"/>
        <v>-4.2333375666730171E-2</v>
      </c>
    </row>
    <row r="13" spans="1:15" ht="15" customHeight="1" thickTop="1" thickBot="1" x14ac:dyDescent="0.3">
      <c r="A13">
        <v>1.3873638585209846E-2</v>
      </c>
      <c r="B13">
        <v>0.46045506000518799</v>
      </c>
      <c r="F13" s="16">
        <f t="shared" si="2"/>
        <v>7</v>
      </c>
      <c r="G13" s="16">
        <f ca="1">CORREL(OFFSET('Cross Correlate'!xrange, 0, 0, n_data_points - $F13), OFFSET(yrange,$F13,0,n_data_points - $F13))</f>
        <v>5.5154884766731943E-2</v>
      </c>
      <c r="H13" s="16">
        <f t="shared" si="0"/>
        <v>4.2333375666730171E-2</v>
      </c>
      <c r="I13" s="16">
        <f t="shared" si="1"/>
        <v>-4.2333375666730171E-2</v>
      </c>
    </row>
    <row r="14" spans="1:15" ht="15" customHeight="1" thickTop="1" thickBot="1" x14ac:dyDescent="0.3">
      <c r="A14">
        <v>1.3623674400150776E-2</v>
      </c>
      <c r="B14">
        <v>0.47169527411460876</v>
      </c>
      <c r="F14" s="16">
        <f t="shared" si="2"/>
        <v>8</v>
      </c>
      <c r="G14" s="16">
        <f ca="1">CORREL(OFFSET('Cross Correlate'!xrange, 0, 0, n_data_points - $F14), OFFSET(yrange,$F14,0,n_data_points - $F14))</f>
        <v>5.7381490509676739E-2</v>
      </c>
      <c r="H14" s="16">
        <f t="shared" si="0"/>
        <v>4.2333375666730171E-2</v>
      </c>
      <c r="I14" s="16">
        <f t="shared" si="1"/>
        <v>-4.2333375666730171E-2</v>
      </c>
    </row>
    <row r="15" spans="1:15" ht="15" customHeight="1" thickTop="1" thickBot="1" x14ac:dyDescent="0.3">
      <c r="A15">
        <v>1.4734801836311817E-2</v>
      </c>
      <c r="B15">
        <v>0.61771267652511597</v>
      </c>
      <c r="F15" s="16">
        <f t="shared" si="2"/>
        <v>9</v>
      </c>
      <c r="G15" s="16">
        <f ca="1">CORREL(OFFSET('Cross Correlate'!xrange, 0, 0, n_data_points - $F15), OFFSET(yrange,$F15,0,n_data_points - $F15))</f>
        <v>4.3979541580989753E-2</v>
      </c>
      <c r="H15" s="16">
        <f t="shared" si="0"/>
        <v>4.2333375666730171E-2</v>
      </c>
      <c r="I15" s="16">
        <f t="shared" si="1"/>
        <v>-4.2333375666730171E-2</v>
      </c>
    </row>
    <row r="16" spans="1:15" ht="15" customHeight="1" thickTop="1" thickBot="1" x14ac:dyDescent="0.3">
      <c r="A16">
        <v>1.3610431924462318E-2</v>
      </c>
      <c r="B16">
        <v>0.60453760623931885</v>
      </c>
      <c r="F16" s="16">
        <f t="shared" si="2"/>
        <v>10</v>
      </c>
      <c r="G16" s="16">
        <f ca="1">CORREL(OFFSET('Cross Correlate'!xrange, 0, 0, n_data_points - $F16), OFFSET(yrange,$F16,0,n_data_points - $F16))</f>
        <v>3.8266061675292964E-2</v>
      </c>
      <c r="H16" s="16">
        <f t="shared" si="0"/>
        <v>4.2333375666730171E-2</v>
      </c>
      <c r="I16" s="16">
        <f t="shared" si="1"/>
        <v>-4.2333375666730171E-2</v>
      </c>
    </row>
    <row r="17" spans="1:9" ht="15" customHeight="1" thickTop="1" thickBot="1" x14ac:dyDescent="0.3">
      <c r="A17">
        <v>1.1523811146616936E-2</v>
      </c>
      <c r="B17">
        <v>0.74517178535461426</v>
      </c>
      <c r="F17" s="16">
        <f t="shared" si="2"/>
        <v>11</v>
      </c>
      <c r="G17" s="16">
        <f ca="1">CORREL(OFFSET('Cross Correlate'!xrange, 0, 0, n_data_points - $F17), OFFSET(yrange,$F17,0,n_data_points - $F17))</f>
        <v>1.9610357377672961E-2</v>
      </c>
      <c r="H17" s="16">
        <f t="shared" si="0"/>
        <v>4.2333375666730171E-2</v>
      </c>
      <c r="I17" s="16">
        <f t="shared" si="1"/>
        <v>-4.2333375666730171E-2</v>
      </c>
    </row>
    <row r="18" spans="1:9" ht="15" customHeight="1" thickTop="1" thickBot="1" x14ac:dyDescent="0.3">
      <c r="A18">
        <v>1.2130598537623882E-2</v>
      </c>
      <c r="B18">
        <v>0.56008720397949219</v>
      </c>
      <c r="F18" s="16">
        <f t="shared" si="2"/>
        <v>12</v>
      </c>
      <c r="G18" s="16">
        <f ca="1">CORREL(OFFSET('Cross Correlate'!xrange, 0, 0, n_data_points - $F18), OFFSET(yrange,$F18,0,n_data_points - $F18))</f>
        <v>5.8884094315034222E-3</v>
      </c>
      <c r="H18" s="16">
        <f t="shared" si="0"/>
        <v>4.2333375666730171E-2</v>
      </c>
      <c r="I18" s="16">
        <f t="shared" si="1"/>
        <v>-4.2333375666730171E-2</v>
      </c>
    </row>
    <row r="19" spans="1:9" ht="15" customHeight="1" thickTop="1" thickBot="1" x14ac:dyDescent="0.3">
      <c r="A19">
        <v>1.0337520390748978E-2</v>
      </c>
      <c r="B19">
        <v>0.48741614818572998</v>
      </c>
      <c r="F19" s="16">
        <f t="shared" si="2"/>
        <v>13</v>
      </c>
      <c r="G19" s="16">
        <f ca="1">CORREL(OFFSET('Cross Correlate'!xrange, 0, 0, n_data_points - $F19), OFFSET(yrange,$F19,0,n_data_points - $F19))</f>
        <v>-1.5838707916317238E-2</v>
      </c>
      <c r="H19" s="16">
        <f t="shared" si="0"/>
        <v>4.2333375666730171E-2</v>
      </c>
      <c r="I19" s="16">
        <f t="shared" si="1"/>
        <v>-4.2333375666730171E-2</v>
      </c>
    </row>
    <row r="20" spans="1:9" ht="15" customHeight="1" thickTop="1" thickBot="1" x14ac:dyDescent="0.3">
      <c r="A20">
        <v>9.3156723305583E-3</v>
      </c>
      <c r="B20">
        <v>0.18364378809928894</v>
      </c>
      <c r="F20" s="16">
        <f t="shared" si="2"/>
        <v>14</v>
      </c>
      <c r="G20" s="16">
        <f ca="1">CORREL(OFFSET('Cross Correlate'!xrange, 0, 0, n_data_points - $F20), OFFSET(yrange,$F20,0,n_data_points - $F20))</f>
        <v>-2.0238637680719648E-2</v>
      </c>
      <c r="H20" s="16">
        <f t="shared" si="0"/>
        <v>4.2333375666730171E-2</v>
      </c>
      <c r="I20" s="16">
        <f t="shared" si="1"/>
        <v>-4.2333375666730171E-2</v>
      </c>
    </row>
    <row r="21" spans="1:9" ht="15" customHeight="1" thickTop="1" thickBot="1" x14ac:dyDescent="0.3">
      <c r="A21">
        <v>8.6876628920435905E-3</v>
      </c>
      <c r="B21">
        <v>0.12585875391960144</v>
      </c>
      <c r="F21" s="16">
        <f t="shared" si="2"/>
        <v>15</v>
      </c>
      <c r="G21" s="16">
        <f ca="1">CORREL(OFFSET('Cross Correlate'!xrange, 0, 0, n_data_points - $F21), OFFSET(yrange,$F21,0,n_data_points - $F21))</f>
        <v>-3.8300913387018146E-2</v>
      </c>
      <c r="H21" s="16">
        <f t="shared" si="0"/>
        <v>4.2333375666730171E-2</v>
      </c>
      <c r="I21" s="16">
        <f t="shared" si="1"/>
        <v>-4.2333375666730171E-2</v>
      </c>
    </row>
    <row r="22" spans="1:9" ht="15" customHeight="1" thickTop="1" thickBot="1" x14ac:dyDescent="0.3">
      <c r="A22">
        <v>9.0525485575199127E-3</v>
      </c>
      <c r="B22">
        <v>7.276376336812973E-2</v>
      </c>
      <c r="F22" s="16">
        <f t="shared" si="2"/>
        <v>16</v>
      </c>
      <c r="G22" s="16">
        <f ca="1">CORREL(OFFSET('Cross Correlate'!xrange, 0, 0, n_data_points - $F22), OFFSET(yrange,$F22,0,n_data_points - $F22))</f>
        <v>-4.4725149982041176E-2</v>
      </c>
      <c r="H22" s="16">
        <f t="shared" si="0"/>
        <v>4.2333375666730171E-2</v>
      </c>
      <c r="I22" s="16">
        <f t="shared" si="1"/>
        <v>-4.2333375666730171E-2</v>
      </c>
    </row>
    <row r="23" spans="1:9" ht="15" customHeight="1" thickTop="1" thickBot="1" x14ac:dyDescent="0.3">
      <c r="A23">
        <v>1.5008023008704185E-2</v>
      </c>
      <c r="B23">
        <v>6.5789051353931427E-2</v>
      </c>
      <c r="F23" s="16">
        <f t="shared" si="2"/>
        <v>17</v>
      </c>
      <c r="G23" s="16">
        <f ca="1">CORREL(OFFSET('Cross Correlate'!xrange, 0, 0, n_data_points - $F23), OFFSET(yrange,$F23,0,n_data_points - $F23))</f>
        <v>-6.5587896012779909E-2</v>
      </c>
      <c r="H23" s="16">
        <f t="shared" si="0"/>
        <v>4.2333375666730171E-2</v>
      </c>
      <c r="I23" s="16">
        <f t="shared" si="1"/>
        <v>-4.2333375666730171E-2</v>
      </c>
    </row>
    <row r="24" spans="1:9" ht="15" customHeight="1" thickTop="1" thickBot="1" x14ac:dyDescent="0.3">
      <c r="A24">
        <v>7.145341020077467E-3</v>
      </c>
      <c r="B24">
        <v>2.5178320705890656E-2</v>
      </c>
      <c r="F24" s="16">
        <f t="shared" si="2"/>
        <v>18</v>
      </c>
      <c r="G24" s="16">
        <f ca="1">CORREL(OFFSET('Cross Correlate'!xrange, 0, 0, n_data_points - $F24), OFFSET(yrange,$F24,0,n_data_points - $F24))</f>
        <v>-5.1955754401583086E-2</v>
      </c>
      <c r="H24" s="16">
        <f t="shared" si="0"/>
        <v>4.2333375666730171E-2</v>
      </c>
      <c r="I24" s="16">
        <f t="shared" si="1"/>
        <v>-4.2333375666730171E-2</v>
      </c>
    </row>
    <row r="25" spans="1:9" ht="15" customHeight="1" thickTop="1" thickBot="1" x14ac:dyDescent="0.3">
      <c r="A25">
        <v>9.0654985979199409E-3</v>
      </c>
      <c r="B25">
        <v>3.7707746028900146E-2</v>
      </c>
      <c r="F25" s="16">
        <f t="shared" si="2"/>
        <v>19</v>
      </c>
      <c r="G25" s="16">
        <f ca="1">CORREL(OFFSET('Cross Correlate'!xrange, 0, 0, n_data_points - $F25), OFFSET(yrange,$F25,0,n_data_points - $F25))</f>
        <v>-4.686677378567923E-2</v>
      </c>
      <c r="H25" s="16">
        <f t="shared" si="0"/>
        <v>4.2333375666730171E-2</v>
      </c>
      <c r="I25" s="16">
        <f t="shared" si="1"/>
        <v>-4.2333375666730171E-2</v>
      </c>
    </row>
    <row r="26" spans="1:9" ht="15" customHeight="1" thickTop="1" thickBot="1" x14ac:dyDescent="0.3">
      <c r="A26">
        <v>1.7328623682260513E-2</v>
      </c>
      <c r="B26">
        <v>1.6882015392184258E-2</v>
      </c>
      <c r="F26" s="16">
        <f t="shared" si="2"/>
        <v>20</v>
      </c>
      <c r="G26" s="16">
        <f ca="1">CORREL(OFFSET('Cross Correlate'!xrange, 0, 0, n_data_points - $F26), OFFSET(yrange,$F26,0,n_data_points - $F26))</f>
        <v>-5.9443257669111196E-2</v>
      </c>
      <c r="H26" s="16">
        <f t="shared" si="0"/>
        <v>4.2333375666730171E-2</v>
      </c>
      <c r="I26" s="16">
        <f t="shared" si="1"/>
        <v>-4.2333375666730171E-2</v>
      </c>
    </row>
    <row r="27" spans="1:9" ht="15" customHeight="1" thickTop="1" thickBot="1" x14ac:dyDescent="0.3">
      <c r="A27">
        <v>1.5546831302344799E-2</v>
      </c>
      <c r="B27">
        <v>3.2780785113573074E-2</v>
      </c>
      <c r="F27" s="16">
        <f t="shared" si="2"/>
        <v>21</v>
      </c>
      <c r="G27" s="16">
        <f ca="1">CORREL(OFFSET('Cross Correlate'!xrange, 0, 0, n_data_points - $F27), OFFSET(yrange,$F27,0,n_data_points - $F27))</f>
        <v>-7.1581421524570801E-3</v>
      </c>
      <c r="H27" s="16">
        <f t="shared" si="0"/>
        <v>4.2333375666730171E-2</v>
      </c>
      <c r="I27" s="16">
        <f t="shared" si="1"/>
        <v>-4.2333375666730171E-2</v>
      </c>
    </row>
    <row r="28" spans="1:9" ht="15" customHeight="1" thickTop="1" thickBot="1" x14ac:dyDescent="0.3">
      <c r="A28">
        <v>1.0504445061087608E-2</v>
      </c>
      <c r="B28">
        <v>2.8301965445280075E-2</v>
      </c>
      <c r="F28" s="16">
        <f t="shared" si="2"/>
        <v>22</v>
      </c>
      <c r="G28" s="16">
        <f ca="1">CORREL(OFFSET('Cross Correlate'!xrange, 0, 0, n_data_points - $F28), OFFSET(yrange,$F28,0,n_data_points - $F28))</f>
        <v>2.290630840462281E-3</v>
      </c>
      <c r="H28" s="16">
        <f t="shared" si="0"/>
        <v>4.2333375666730171E-2</v>
      </c>
      <c r="I28" s="16">
        <f t="shared" si="1"/>
        <v>-4.2333375666730171E-2</v>
      </c>
    </row>
    <row r="29" spans="1:9" ht="15" customHeight="1" thickTop="1" thickBot="1" x14ac:dyDescent="0.3">
      <c r="A29">
        <v>9.5879528671503067E-3</v>
      </c>
      <c r="B29">
        <v>7.6559871435165405E-2</v>
      </c>
      <c r="F29" s="16">
        <f t="shared" si="2"/>
        <v>23</v>
      </c>
      <c r="G29" s="16">
        <f ca="1">CORREL(OFFSET('Cross Correlate'!xrange, 0, 0, n_data_points - $F29), OFFSET(yrange,$F29,0,n_data_points - $F29))</f>
        <v>6.0841323447648324E-2</v>
      </c>
      <c r="H29" s="16">
        <f t="shared" si="0"/>
        <v>4.2333375666730171E-2</v>
      </c>
      <c r="I29" s="16">
        <f t="shared" si="1"/>
        <v>-4.2333375666730171E-2</v>
      </c>
    </row>
    <row r="30" spans="1:9" ht="15" customHeight="1" thickTop="1" thickBot="1" x14ac:dyDescent="0.3">
      <c r="A30">
        <v>8.5912458598613739E-3</v>
      </c>
      <c r="B30">
        <v>8.5856303572654724E-2</v>
      </c>
      <c r="F30" s="16">
        <f t="shared" si="2"/>
        <v>24</v>
      </c>
      <c r="G30" s="16">
        <f ca="1">CORREL(OFFSET('Cross Correlate'!xrange, 0, 0, n_data_points - $F30), OFFSET(yrange,$F30,0,n_data_points - $F30))</f>
        <v>0.21017096951583633</v>
      </c>
      <c r="H30" s="16">
        <f t="shared" si="0"/>
        <v>4.2333375666730171E-2</v>
      </c>
      <c r="I30" s="16">
        <f t="shared" si="1"/>
        <v>-4.2333375666730171E-2</v>
      </c>
    </row>
    <row r="31" spans="1:9" ht="15" customHeight="1" thickTop="1" x14ac:dyDescent="0.25">
      <c r="A31">
        <v>1.0504025965929031E-2</v>
      </c>
      <c r="B31">
        <v>7.2258777916431427E-2</v>
      </c>
    </row>
    <row r="32" spans="1:9" ht="15" customHeight="1" x14ac:dyDescent="0.25">
      <c r="A32">
        <v>0.1015445664525032</v>
      </c>
      <c r="B32">
        <v>2.0510005950927734</v>
      </c>
    </row>
    <row r="33" spans="1:2" ht="15" customHeight="1" x14ac:dyDescent="0.25">
      <c r="A33">
        <v>9.4986185431480408E-2</v>
      </c>
      <c r="B33">
        <v>2.1377122402191162</v>
      </c>
    </row>
    <row r="34" spans="1:2" ht="15" customHeight="1" x14ac:dyDescent="0.25">
      <c r="A34">
        <v>9.1024540364742279E-2</v>
      </c>
      <c r="B34">
        <v>0.98252648115158081</v>
      </c>
    </row>
    <row r="35" spans="1:2" ht="15" customHeight="1" x14ac:dyDescent="0.25">
      <c r="A35">
        <v>8.8136516511440277E-2</v>
      </c>
      <c r="B35">
        <v>0.72960197925567627</v>
      </c>
    </row>
    <row r="36" spans="1:2" ht="15" customHeight="1" x14ac:dyDescent="0.25">
      <c r="A36">
        <v>1.2167292647063732E-2</v>
      </c>
      <c r="B36">
        <v>0.7571946382522583</v>
      </c>
    </row>
    <row r="37" spans="1:2" ht="15" customHeight="1" x14ac:dyDescent="0.25">
      <c r="A37">
        <v>1.1993707157671452E-2</v>
      </c>
      <c r="B37">
        <v>0.78714549541473389</v>
      </c>
    </row>
    <row r="38" spans="1:2" ht="15" customHeight="1" x14ac:dyDescent="0.25">
      <c r="A38">
        <v>1.2411556206643581E-2</v>
      </c>
      <c r="B38">
        <v>0.82047194242477417</v>
      </c>
    </row>
    <row r="39" spans="1:2" ht="15" customHeight="1" x14ac:dyDescent="0.25">
      <c r="A39">
        <v>1.2838151305913925E-2</v>
      </c>
      <c r="B39">
        <v>0.84457767009735107</v>
      </c>
    </row>
    <row r="40" spans="1:2" ht="15" customHeight="1" x14ac:dyDescent="0.25">
      <c r="A40">
        <v>1.1686214245855808E-2</v>
      </c>
      <c r="B40">
        <v>0.85400223731994629</v>
      </c>
    </row>
    <row r="41" spans="1:2" ht="15" customHeight="1" x14ac:dyDescent="0.25">
      <c r="A41">
        <v>1.0783013887703419E-2</v>
      </c>
      <c r="B41">
        <v>0.80773347616195679</v>
      </c>
    </row>
    <row r="42" spans="1:2" ht="15" customHeight="1" x14ac:dyDescent="0.25">
      <c r="A42">
        <v>1.2103356420993805E-2</v>
      </c>
      <c r="B42">
        <v>0.83407175540924072</v>
      </c>
    </row>
    <row r="43" spans="1:2" ht="15" customHeight="1" x14ac:dyDescent="0.25">
      <c r="A43">
        <v>1.2089055962860584E-2</v>
      </c>
      <c r="B43">
        <v>0.84513682126998901</v>
      </c>
    </row>
    <row r="44" spans="1:2" ht="15" customHeight="1" x14ac:dyDescent="0.25">
      <c r="A44">
        <v>1.1243712157011032E-2</v>
      </c>
      <c r="B44">
        <v>0.73146438598632813</v>
      </c>
    </row>
    <row r="45" spans="1:2" ht="15" customHeight="1" x14ac:dyDescent="0.25">
      <c r="A45">
        <v>8.1668784841895103E-3</v>
      </c>
      <c r="B45">
        <v>0.41832989454269409</v>
      </c>
    </row>
    <row r="46" spans="1:2" ht="15" customHeight="1" x14ac:dyDescent="0.25">
      <c r="A46">
        <v>5.8458051644265652E-3</v>
      </c>
      <c r="B46">
        <v>7.7743679285049438E-2</v>
      </c>
    </row>
    <row r="47" spans="1:2" ht="15" customHeight="1" x14ac:dyDescent="0.25">
      <c r="A47">
        <v>7.8512206673622131E-3</v>
      </c>
      <c r="B47">
        <v>5.0254657864570618E-2</v>
      </c>
    </row>
    <row r="48" spans="1:2" ht="15" customHeight="1" x14ac:dyDescent="0.25">
      <c r="A48">
        <v>9.7864093258976936E-3</v>
      </c>
      <c r="B48">
        <v>8.9166916906833649E-2</v>
      </c>
    </row>
    <row r="49" spans="1:2" ht="15" customHeight="1" x14ac:dyDescent="0.25">
      <c r="A49">
        <v>1.271402183920145E-2</v>
      </c>
      <c r="B49">
        <v>5.5007591843605042E-2</v>
      </c>
    </row>
    <row r="50" spans="1:2" ht="15" customHeight="1" x14ac:dyDescent="0.25">
      <c r="A50">
        <v>1.2275733985006809E-2</v>
      </c>
      <c r="B50">
        <v>7.8485183417797089E-2</v>
      </c>
    </row>
    <row r="51" spans="1:2" ht="15" customHeight="1" x14ac:dyDescent="0.25">
      <c r="A51">
        <v>1.1011390946805477E-2</v>
      </c>
      <c r="B51">
        <v>5.7907398790121078E-2</v>
      </c>
    </row>
    <row r="52" spans="1:2" ht="15" customHeight="1" x14ac:dyDescent="0.25">
      <c r="A52">
        <v>1.2084119021892548E-2</v>
      </c>
      <c r="B52">
        <v>7.3578789830207825E-2</v>
      </c>
    </row>
    <row r="53" spans="1:2" ht="15" customHeight="1" x14ac:dyDescent="0.25">
      <c r="A53">
        <v>1.3868554495275021E-2</v>
      </c>
      <c r="B53">
        <v>3.2328188419342041E-2</v>
      </c>
    </row>
    <row r="54" spans="1:2" ht="15" customHeight="1" x14ac:dyDescent="0.25">
      <c r="A54">
        <v>1.8731674179434776E-2</v>
      </c>
      <c r="B54">
        <v>0.17987926304340363</v>
      </c>
    </row>
    <row r="55" spans="1:2" ht="15" customHeight="1" x14ac:dyDescent="0.25">
      <c r="A55">
        <v>1.1970975436270237E-2</v>
      </c>
      <c r="B55">
        <v>0.57485342025756836</v>
      </c>
    </row>
    <row r="56" spans="1:2" ht="15" customHeight="1" x14ac:dyDescent="0.25">
      <c r="A56">
        <v>9.802834689617157E-2</v>
      </c>
      <c r="B56">
        <v>2.2999260425567627</v>
      </c>
    </row>
    <row r="57" spans="1:2" ht="15" customHeight="1" x14ac:dyDescent="0.25">
      <c r="A57">
        <v>0.19931679964065552</v>
      </c>
      <c r="B57">
        <v>3.0576193332672119</v>
      </c>
    </row>
    <row r="58" spans="1:2" ht="15" customHeight="1" x14ac:dyDescent="0.25">
      <c r="A58">
        <v>1.8848318606615067E-2</v>
      </c>
      <c r="B58">
        <v>3.0944793224334717</v>
      </c>
    </row>
    <row r="59" spans="1:2" ht="15" customHeight="1" x14ac:dyDescent="0.25">
      <c r="A59">
        <v>3.3059023320674896E-2</v>
      </c>
      <c r="B59">
        <v>0.9900175929069519</v>
      </c>
    </row>
    <row r="60" spans="1:2" ht="15" customHeight="1" x14ac:dyDescent="0.25">
      <c r="A60">
        <v>3.1674377620220184E-2</v>
      </c>
      <c r="B60">
        <v>0.91244703531265259</v>
      </c>
    </row>
    <row r="61" spans="1:2" ht="15" customHeight="1" x14ac:dyDescent="0.25">
      <c r="A61">
        <v>3.2153904438018799E-2</v>
      </c>
      <c r="B61">
        <v>1.1169401407241821</v>
      </c>
    </row>
    <row r="62" spans="1:2" ht="15" customHeight="1" x14ac:dyDescent="0.25">
      <c r="A62">
        <v>3.1773410737514496E-2</v>
      </c>
      <c r="B62">
        <v>1.0345889329910278</v>
      </c>
    </row>
    <row r="63" spans="1:2" ht="15" customHeight="1" x14ac:dyDescent="0.25">
      <c r="A63">
        <v>3.2413717359304428E-2</v>
      </c>
      <c r="B63">
        <v>1.1551121473312378</v>
      </c>
    </row>
    <row r="64" spans="1:2" ht="15" customHeight="1" x14ac:dyDescent="0.25">
      <c r="A64">
        <v>3.204973042011261E-2</v>
      </c>
      <c r="B64">
        <v>0.98444527387619019</v>
      </c>
    </row>
    <row r="65" spans="1:2" ht="15" customHeight="1" x14ac:dyDescent="0.25">
      <c r="A65">
        <v>3.2394163310527802E-2</v>
      </c>
      <c r="B65">
        <v>1.1315910816192627</v>
      </c>
    </row>
    <row r="66" spans="1:2" ht="15" customHeight="1" x14ac:dyDescent="0.25">
      <c r="A66">
        <v>3.2185889780521393E-2</v>
      </c>
      <c r="B66">
        <v>0.97272878885269165</v>
      </c>
    </row>
    <row r="67" spans="1:2" ht="15" customHeight="1" x14ac:dyDescent="0.25">
      <c r="A67">
        <v>3.1703449785709381E-2</v>
      </c>
      <c r="B67">
        <v>1.0808285474777222</v>
      </c>
    </row>
    <row r="68" spans="1:2" ht="15" customHeight="1" x14ac:dyDescent="0.25">
      <c r="A68">
        <v>3.0021043494343758E-2</v>
      </c>
      <c r="B68">
        <v>0.7645268440246582</v>
      </c>
    </row>
    <row r="69" spans="1:2" ht="15" customHeight="1" x14ac:dyDescent="0.25">
      <c r="A69">
        <v>2.7291648089885712E-2</v>
      </c>
      <c r="B69">
        <v>0.38465714454650879</v>
      </c>
    </row>
    <row r="70" spans="1:2" ht="15" customHeight="1" x14ac:dyDescent="0.25">
      <c r="A70">
        <v>3.3746141940355301E-2</v>
      </c>
      <c r="B70">
        <v>0.20466622710227966</v>
      </c>
    </row>
    <row r="71" spans="1:2" ht="15" customHeight="1" x14ac:dyDescent="0.25">
      <c r="A71">
        <v>2.9357485473155975E-2</v>
      </c>
      <c r="B71">
        <v>0.21455466747283936</v>
      </c>
    </row>
    <row r="72" spans="1:2" ht="15" customHeight="1" x14ac:dyDescent="0.25">
      <c r="A72">
        <v>2.3435881361365318E-2</v>
      </c>
      <c r="B72">
        <v>6.4139202237129211E-2</v>
      </c>
    </row>
    <row r="73" spans="1:2" ht="15" customHeight="1" x14ac:dyDescent="0.25">
      <c r="A73">
        <v>3.4272640943527222E-2</v>
      </c>
      <c r="B73">
        <v>8.3034507930278778E-2</v>
      </c>
    </row>
    <row r="74" spans="1:2" ht="15" customHeight="1" x14ac:dyDescent="0.25">
      <c r="A74">
        <v>3.390045091509819E-2</v>
      </c>
      <c r="B74">
        <v>9.1151207685470581E-2</v>
      </c>
    </row>
    <row r="75" spans="1:2" ht="15" customHeight="1" x14ac:dyDescent="0.25">
      <c r="A75">
        <v>3.1623400747776031E-2</v>
      </c>
      <c r="B75">
        <v>7.4449770152568817E-2</v>
      </c>
    </row>
    <row r="76" spans="1:2" ht="15" customHeight="1" x14ac:dyDescent="0.25">
      <c r="A76">
        <v>2.8533510863780975E-2</v>
      </c>
      <c r="B76">
        <v>6.8145446479320526E-2</v>
      </c>
    </row>
    <row r="77" spans="1:2" ht="15" customHeight="1" x14ac:dyDescent="0.25">
      <c r="A77">
        <v>3.4668963402509689E-2</v>
      </c>
      <c r="B77">
        <v>7.1196801960468292E-2</v>
      </c>
    </row>
    <row r="78" spans="1:2" ht="15" customHeight="1" x14ac:dyDescent="0.25">
      <c r="A78">
        <v>3.6819674074649811E-2</v>
      </c>
      <c r="B78">
        <v>0.16038843989372253</v>
      </c>
    </row>
    <row r="79" spans="1:2" ht="15" customHeight="1" x14ac:dyDescent="0.25">
      <c r="A79">
        <v>3.1591609120368958E-2</v>
      </c>
      <c r="B79">
        <v>0.49156489968299866</v>
      </c>
    </row>
    <row r="80" spans="1:2" ht="15" customHeight="1" x14ac:dyDescent="0.25">
      <c r="A80">
        <v>3.4514781087636948E-2</v>
      </c>
      <c r="B80">
        <v>0.64563149213790894</v>
      </c>
    </row>
    <row r="81" spans="1:2" ht="15" customHeight="1" x14ac:dyDescent="0.25">
      <c r="A81">
        <v>0.13537546992301941</v>
      </c>
      <c r="B81">
        <v>2.5133471488952637</v>
      </c>
    </row>
    <row r="82" spans="1:2" ht="15" customHeight="1" x14ac:dyDescent="0.25">
      <c r="A82">
        <v>0.13226988911628723</v>
      </c>
      <c r="B82">
        <v>2.7113289833068848</v>
      </c>
    </row>
    <row r="83" spans="1:2" ht="15" customHeight="1" x14ac:dyDescent="0.25">
      <c r="A83">
        <v>3.3716581761837006E-2</v>
      </c>
      <c r="B83">
        <v>0.93185853958129883</v>
      </c>
    </row>
    <row r="84" spans="1:2" ht="15" customHeight="1" x14ac:dyDescent="0.25">
      <c r="A84">
        <v>3.7070848047733307E-2</v>
      </c>
      <c r="B84">
        <v>0.82082259654998779</v>
      </c>
    </row>
    <row r="85" spans="1:2" ht="15" customHeight="1" x14ac:dyDescent="0.25">
      <c r="A85">
        <v>3.0887093394994736E-2</v>
      </c>
      <c r="B85">
        <v>1.0584768056869507</v>
      </c>
    </row>
    <row r="86" spans="1:2" ht="15" customHeight="1" x14ac:dyDescent="0.25">
      <c r="A86">
        <v>3.287867084145546E-2</v>
      </c>
      <c r="B86">
        <v>0.94941097497940063</v>
      </c>
    </row>
    <row r="87" spans="1:2" ht="15" customHeight="1" x14ac:dyDescent="0.25">
      <c r="A87">
        <v>3.2006599009037018E-2</v>
      </c>
      <c r="B87">
        <v>0.99684089422225952</v>
      </c>
    </row>
    <row r="88" spans="1:2" ht="15" customHeight="1" x14ac:dyDescent="0.25">
      <c r="A88">
        <v>3.280625119805336E-2</v>
      </c>
      <c r="B88">
        <v>0.84682172536849976</v>
      </c>
    </row>
    <row r="89" spans="1:2" ht="15" customHeight="1" x14ac:dyDescent="0.25">
      <c r="A89">
        <v>3.3093668520450592E-2</v>
      </c>
      <c r="B89">
        <v>0.9855426549911499</v>
      </c>
    </row>
    <row r="90" spans="1:2" ht="15" customHeight="1" x14ac:dyDescent="0.25">
      <c r="A90">
        <v>3.1886421144008636E-2</v>
      </c>
      <c r="B90">
        <v>0.88920474052429199</v>
      </c>
    </row>
    <row r="91" spans="1:2" ht="15" customHeight="1" x14ac:dyDescent="0.25">
      <c r="A91">
        <v>3.2763272523880005E-2</v>
      </c>
      <c r="B91">
        <v>1.0393133163452148</v>
      </c>
    </row>
    <row r="92" spans="1:2" ht="15" customHeight="1" x14ac:dyDescent="0.25">
      <c r="A92">
        <v>3.1761664897203445E-2</v>
      </c>
      <c r="B92">
        <v>0.86875438690185547</v>
      </c>
    </row>
    <row r="93" spans="1:2" ht="15" customHeight="1" x14ac:dyDescent="0.25">
      <c r="A93">
        <v>3.0864451080560684E-2</v>
      </c>
      <c r="B93">
        <v>1.008418083190918</v>
      </c>
    </row>
    <row r="94" spans="1:2" ht="15" customHeight="1" x14ac:dyDescent="0.25">
      <c r="A94">
        <v>3.257795050740242E-2</v>
      </c>
      <c r="B94">
        <v>0.72609513998031616</v>
      </c>
    </row>
    <row r="95" spans="1:2" ht="15" customHeight="1" x14ac:dyDescent="0.25">
      <c r="A95">
        <v>2.9353363439440727E-2</v>
      </c>
      <c r="B95">
        <v>0.73391902446746826</v>
      </c>
    </row>
    <row r="96" spans="1:2" ht="15" customHeight="1" x14ac:dyDescent="0.25">
      <c r="A96">
        <v>2.3958722129464149E-2</v>
      </c>
      <c r="B96">
        <v>0.28171920776367188</v>
      </c>
    </row>
    <row r="97" spans="1:2" ht="15" customHeight="1" x14ac:dyDescent="0.25">
      <c r="A97">
        <v>2.6237569749355316E-2</v>
      </c>
      <c r="B97">
        <v>0.12135690450668335</v>
      </c>
    </row>
    <row r="98" spans="1:2" ht="15" customHeight="1" x14ac:dyDescent="0.25">
      <c r="A98">
        <v>3.3206608146429062E-2</v>
      </c>
      <c r="B98">
        <v>0.13943983614444733</v>
      </c>
    </row>
    <row r="99" spans="1:2" ht="15" customHeight="1" x14ac:dyDescent="0.25">
      <c r="A99">
        <v>3.2713912427425385E-2</v>
      </c>
      <c r="B99">
        <v>9.8938040435314178E-2</v>
      </c>
    </row>
    <row r="100" spans="1:2" ht="15" customHeight="1" x14ac:dyDescent="0.25">
      <c r="A100">
        <v>3.2043695449829102E-2</v>
      </c>
      <c r="B100">
        <v>8.5380345582962036E-2</v>
      </c>
    </row>
    <row r="101" spans="1:2" ht="15" customHeight="1" x14ac:dyDescent="0.25">
      <c r="A101">
        <v>3.3165339380502701E-2</v>
      </c>
      <c r="B101">
        <v>0.96293264627456665</v>
      </c>
    </row>
    <row r="102" spans="1:2" ht="15" customHeight="1" x14ac:dyDescent="0.25">
      <c r="A102">
        <v>3.1363524496555328E-2</v>
      </c>
      <c r="B102">
        <v>0.81769227981567383</v>
      </c>
    </row>
    <row r="103" spans="1:2" ht="15" customHeight="1" x14ac:dyDescent="0.25">
      <c r="A103">
        <v>2.9317103326320648E-2</v>
      </c>
      <c r="B103">
        <v>0.12329297512769699</v>
      </c>
    </row>
    <row r="104" spans="1:2" ht="15" customHeight="1" x14ac:dyDescent="0.25">
      <c r="A104">
        <v>3.3853180706501007E-2</v>
      </c>
      <c r="B104">
        <v>0.12507782876491547</v>
      </c>
    </row>
    <row r="105" spans="1:2" ht="15" customHeight="1" x14ac:dyDescent="0.25">
      <c r="A105">
        <v>0.14082781970500946</v>
      </c>
      <c r="B105">
        <v>2.0241599082946777</v>
      </c>
    </row>
    <row r="106" spans="1:2" ht="15" customHeight="1" x14ac:dyDescent="0.25">
      <c r="A106">
        <v>0.14546020328998566</v>
      </c>
      <c r="B106">
        <v>1.9071003198623657</v>
      </c>
    </row>
    <row r="107" spans="1:2" ht="15" customHeight="1" x14ac:dyDescent="0.25">
      <c r="A107">
        <v>3.3447161316871643E-2</v>
      </c>
      <c r="B107">
        <v>6.2749075889587402</v>
      </c>
    </row>
    <row r="108" spans="1:2" ht="15" customHeight="1" x14ac:dyDescent="0.25">
      <c r="A108">
        <v>3.2492026686668396E-2</v>
      </c>
      <c r="B108">
        <v>0.86328804492950439</v>
      </c>
    </row>
    <row r="109" spans="1:2" ht="15" customHeight="1" x14ac:dyDescent="0.25">
      <c r="A109">
        <v>3.301619365811348E-2</v>
      </c>
      <c r="B109">
        <v>1.0419744253158569</v>
      </c>
    </row>
    <row r="110" spans="1:2" ht="15" customHeight="1" x14ac:dyDescent="0.25">
      <c r="A110">
        <v>3.2780129462480545E-2</v>
      </c>
      <c r="B110">
        <v>0.95558947324752808</v>
      </c>
    </row>
    <row r="111" spans="1:2" ht="15" customHeight="1" x14ac:dyDescent="0.25">
      <c r="A111">
        <v>3.1947359442710876E-2</v>
      </c>
      <c r="B111">
        <v>1.1975160837173462</v>
      </c>
    </row>
    <row r="112" spans="1:2" ht="15" customHeight="1" x14ac:dyDescent="0.25">
      <c r="A112">
        <v>3.2091036438941956E-2</v>
      </c>
      <c r="B112">
        <v>0.95978128910064697</v>
      </c>
    </row>
    <row r="113" spans="1:2" ht="15" customHeight="1" x14ac:dyDescent="0.25">
      <c r="A113">
        <v>3.0780909582972527E-2</v>
      </c>
      <c r="B113">
        <v>0.95695918798446655</v>
      </c>
    </row>
    <row r="114" spans="1:2" ht="15" customHeight="1" x14ac:dyDescent="0.25">
      <c r="A114">
        <v>2.7177518233656883E-2</v>
      </c>
      <c r="B114">
        <v>0.6227487325668335</v>
      </c>
    </row>
    <row r="115" spans="1:2" ht="15" customHeight="1" x14ac:dyDescent="0.25">
      <c r="A115">
        <v>4.3487980961799622E-2</v>
      </c>
      <c r="B115">
        <v>0.52772009372711182</v>
      </c>
    </row>
    <row r="116" spans="1:2" ht="15" customHeight="1" x14ac:dyDescent="0.25">
      <c r="A116">
        <v>3.4089457243680954E-2</v>
      </c>
      <c r="B116">
        <v>0.36464226245880127</v>
      </c>
    </row>
    <row r="117" spans="1:2" ht="15" customHeight="1" x14ac:dyDescent="0.25">
      <c r="A117">
        <v>2.6382526382803917E-2</v>
      </c>
      <c r="B117">
        <v>0.19875504076480865</v>
      </c>
    </row>
    <row r="118" spans="1:2" ht="15" customHeight="1" x14ac:dyDescent="0.25">
      <c r="A118">
        <v>2.7167078107595444E-2</v>
      </c>
      <c r="B118">
        <v>9.1665923595428467E-2</v>
      </c>
    </row>
    <row r="119" spans="1:2" ht="15" customHeight="1" x14ac:dyDescent="0.25">
      <c r="A119">
        <v>3.1761240214109421E-2</v>
      </c>
      <c r="B119">
        <v>6.1670582741498947E-2</v>
      </c>
    </row>
    <row r="120" spans="1:2" ht="15" customHeight="1" x14ac:dyDescent="0.25">
      <c r="A120">
        <v>2.425818145275116E-2</v>
      </c>
      <c r="B120">
        <v>5.8205999433994293E-2</v>
      </c>
    </row>
    <row r="121" spans="1:2" ht="15" customHeight="1" x14ac:dyDescent="0.25">
      <c r="A121">
        <v>9.8715703934431076E-3</v>
      </c>
      <c r="B121">
        <v>0.13296195864677429</v>
      </c>
    </row>
    <row r="122" spans="1:2" ht="15" customHeight="1" x14ac:dyDescent="0.25">
      <c r="A122">
        <v>8.1211719661951065E-3</v>
      </c>
      <c r="B122">
        <v>6.2014546245336533E-2</v>
      </c>
    </row>
    <row r="123" spans="1:2" ht="15" customHeight="1" x14ac:dyDescent="0.25">
      <c r="A123">
        <v>1.164722628891468E-2</v>
      </c>
      <c r="B123">
        <v>9.2623457312583923E-2</v>
      </c>
    </row>
    <row r="124" spans="1:2" ht="15" customHeight="1" x14ac:dyDescent="0.25">
      <c r="A124">
        <v>1.4357603155076504E-2</v>
      </c>
      <c r="B124">
        <v>5.7598695158958435E-2</v>
      </c>
    </row>
    <row r="125" spans="1:2" ht="15" customHeight="1" x14ac:dyDescent="0.25">
      <c r="A125">
        <v>1.6614038497209549E-2</v>
      </c>
      <c r="B125">
        <v>8.8696852326393127E-2</v>
      </c>
    </row>
    <row r="126" spans="1:2" ht="15" customHeight="1" x14ac:dyDescent="0.25">
      <c r="A126">
        <v>3.3793125301599503E-2</v>
      </c>
      <c r="B126">
        <v>0.18314714729785919</v>
      </c>
    </row>
    <row r="127" spans="1:2" ht="15" customHeight="1" x14ac:dyDescent="0.25">
      <c r="A127">
        <v>3.5099443048238754E-2</v>
      </c>
      <c r="B127">
        <v>0.1321396678686142</v>
      </c>
    </row>
    <row r="128" spans="1:2" ht="15" customHeight="1" x14ac:dyDescent="0.25">
      <c r="A128">
        <v>3.2439321279525757E-2</v>
      </c>
      <c r="B128">
        <v>0.11842549592256546</v>
      </c>
    </row>
    <row r="129" spans="1:2" ht="15" customHeight="1" x14ac:dyDescent="0.25">
      <c r="A129">
        <v>0.12811374664306641</v>
      </c>
      <c r="B129">
        <v>2.0281131267547607</v>
      </c>
    </row>
    <row r="130" spans="1:2" ht="15" customHeight="1" x14ac:dyDescent="0.25">
      <c r="A130">
        <v>4.7115128487348557E-2</v>
      </c>
      <c r="B130">
        <v>1.7416620254516602</v>
      </c>
    </row>
    <row r="131" spans="1:2" ht="15" customHeight="1" x14ac:dyDescent="0.25">
      <c r="A131">
        <v>2.0259935408830643E-2</v>
      </c>
      <c r="B131">
        <v>0.15813544392585754</v>
      </c>
    </row>
    <row r="132" spans="1:2" ht="15" customHeight="1" x14ac:dyDescent="0.25">
      <c r="A132">
        <v>3.4762173891067505E-2</v>
      </c>
      <c r="B132">
        <v>0.13117597997188568</v>
      </c>
    </row>
    <row r="133" spans="1:2" ht="15" customHeight="1" x14ac:dyDescent="0.25">
      <c r="A133">
        <v>3.093387745320797E-2</v>
      </c>
      <c r="B133">
        <v>9.7010873258113861E-2</v>
      </c>
    </row>
    <row r="134" spans="1:2" ht="15" customHeight="1" x14ac:dyDescent="0.25">
      <c r="A134">
        <v>3.2592274248600006E-2</v>
      </c>
      <c r="B134">
        <v>0.10013230890035629</v>
      </c>
    </row>
    <row r="135" spans="1:2" ht="15" customHeight="1" x14ac:dyDescent="0.25">
      <c r="A135">
        <v>3.3086661249399185E-2</v>
      </c>
      <c r="B135">
        <v>0.23253440856933594</v>
      </c>
    </row>
    <row r="136" spans="1:2" ht="15" customHeight="1" x14ac:dyDescent="0.25">
      <c r="A136">
        <v>3.2660044729709625E-2</v>
      </c>
      <c r="B136">
        <v>0</v>
      </c>
    </row>
    <row r="137" spans="1:2" ht="15" customHeight="1" x14ac:dyDescent="0.25">
      <c r="A137">
        <v>3.2823763787746429E-2</v>
      </c>
      <c r="B137">
        <v>0.17563307285308838</v>
      </c>
    </row>
    <row r="138" spans="1:2" ht="15" customHeight="1" x14ac:dyDescent="0.25">
      <c r="A138">
        <v>2.8945498168468475E-2</v>
      </c>
      <c r="B138">
        <v>5.0461203791201115E-3</v>
      </c>
    </row>
    <row r="139" spans="1:2" ht="15" customHeight="1" x14ac:dyDescent="0.25">
      <c r="A139">
        <v>3.250407800078392E-2</v>
      </c>
      <c r="B139">
        <v>0</v>
      </c>
    </row>
    <row r="140" spans="1:2" ht="15" customHeight="1" x14ac:dyDescent="0.25">
      <c r="A140">
        <v>3.2888084650039673E-2</v>
      </c>
      <c r="B140">
        <v>0.16898974776268005</v>
      </c>
    </row>
    <row r="141" spans="1:2" ht="15" customHeight="1" x14ac:dyDescent="0.25">
      <c r="A141">
        <v>3.2258123159408569E-2</v>
      </c>
      <c r="B141">
        <v>0.11287117749452591</v>
      </c>
    </row>
    <row r="142" spans="1:2" ht="15" customHeight="1" x14ac:dyDescent="0.25">
      <c r="A142">
        <v>3.1560998409986496E-2</v>
      </c>
      <c r="B142">
        <v>0.10130906105041504</v>
      </c>
    </row>
    <row r="143" spans="1:2" ht="15" customHeight="1" x14ac:dyDescent="0.25">
      <c r="A143">
        <v>2.9467228800058365E-2</v>
      </c>
      <c r="B143">
        <v>0.12087394297122955</v>
      </c>
    </row>
    <row r="144" spans="1:2" ht="15" customHeight="1" x14ac:dyDescent="0.25">
      <c r="A144">
        <v>3.1919762492179871E-2</v>
      </c>
      <c r="B144">
        <v>0.12647180259227753</v>
      </c>
    </row>
    <row r="145" spans="1:2" ht="15" customHeight="1" x14ac:dyDescent="0.25">
      <c r="A145">
        <v>3.7742618471384048E-2</v>
      </c>
      <c r="B145">
        <v>0.14060044288635254</v>
      </c>
    </row>
    <row r="146" spans="1:2" ht="15" customHeight="1" x14ac:dyDescent="0.25">
      <c r="A146">
        <v>3.1058778986334801E-2</v>
      </c>
      <c r="B146">
        <v>0.1259625107049942</v>
      </c>
    </row>
    <row r="147" spans="1:2" ht="15" customHeight="1" x14ac:dyDescent="0.25">
      <c r="A147">
        <v>3.2183896750211716E-2</v>
      </c>
      <c r="B147">
        <v>0.13965971767902374</v>
      </c>
    </row>
    <row r="148" spans="1:2" ht="15" customHeight="1" x14ac:dyDescent="0.25">
      <c r="A148">
        <v>3.0506184324622154E-2</v>
      </c>
      <c r="B148">
        <v>7.8124172985553741E-2</v>
      </c>
    </row>
    <row r="149" spans="1:2" ht="15" customHeight="1" x14ac:dyDescent="0.25">
      <c r="A149">
        <v>3.3884141594171524E-2</v>
      </c>
      <c r="B149">
        <v>0.37010979652404785</v>
      </c>
    </row>
    <row r="150" spans="1:2" ht="15" customHeight="1" x14ac:dyDescent="0.25">
      <c r="A150">
        <v>3.0862350016832352E-2</v>
      </c>
      <c r="B150">
        <v>0.75271373987197876</v>
      </c>
    </row>
    <row r="151" spans="1:2" ht="15" customHeight="1" x14ac:dyDescent="0.25">
      <c r="A151">
        <v>3.1706105917692184E-2</v>
      </c>
      <c r="B151">
        <v>0.13806363940238953</v>
      </c>
    </row>
    <row r="152" spans="1:2" ht="15" customHeight="1" x14ac:dyDescent="0.25">
      <c r="A152">
        <v>3.2136112451553345E-2</v>
      </c>
      <c r="B152">
        <v>0.13201744854450226</v>
      </c>
    </row>
    <row r="153" spans="1:2" ht="15" customHeight="1" x14ac:dyDescent="0.25">
      <c r="A153">
        <v>0.14338497817516327</v>
      </c>
      <c r="B153">
        <v>2.0089449882507324</v>
      </c>
    </row>
    <row r="154" spans="1:2" ht="15" customHeight="1" x14ac:dyDescent="0.25">
      <c r="A154">
        <v>5.8439694344997406E-2</v>
      </c>
      <c r="B154">
        <v>1.7153165340423584</v>
      </c>
    </row>
    <row r="155" spans="1:2" ht="15" customHeight="1" x14ac:dyDescent="0.25">
      <c r="A155">
        <v>2.8985382989048958E-2</v>
      </c>
      <c r="B155">
        <v>0.14650081098079681</v>
      </c>
    </row>
    <row r="156" spans="1:2" ht="15" customHeight="1" x14ac:dyDescent="0.25">
      <c r="A156">
        <v>3.2535042613744736E-2</v>
      </c>
      <c r="B156">
        <v>0.11627335846424103</v>
      </c>
    </row>
    <row r="157" spans="1:2" ht="15" customHeight="1" x14ac:dyDescent="0.25">
      <c r="A157">
        <v>3.3632777631282806E-2</v>
      </c>
      <c r="B157">
        <v>0.11698511987924576</v>
      </c>
    </row>
    <row r="158" spans="1:2" ht="15" customHeight="1" x14ac:dyDescent="0.25">
      <c r="A158">
        <v>3.1659264117479324E-2</v>
      </c>
      <c r="B158">
        <v>0.12689156830310822</v>
      </c>
    </row>
    <row r="159" spans="1:2" ht="15" customHeight="1" x14ac:dyDescent="0.25">
      <c r="A159">
        <v>3.2926946878433228E-2</v>
      </c>
      <c r="B159">
        <v>0.16921761631965637</v>
      </c>
    </row>
    <row r="160" spans="1:2" ht="15" customHeight="1" x14ac:dyDescent="0.25">
      <c r="A160">
        <v>3.118976391851902E-2</v>
      </c>
      <c r="B160">
        <v>0.21988756954669952</v>
      </c>
    </row>
    <row r="161" spans="1:2" ht="15" customHeight="1" x14ac:dyDescent="0.25">
      <c r="A161">
        <v>3.521602600812912E-2</v>
      </c>
      <c r="B161">
        <v>0.24976763129234314</v>
      </c>
    </row>
    <row r="162" spans="1:2" ht="15" customHeight="1" x14ac:dyDescent="0.25">
      <c r="A162">
        <v>3.4015446901321411E-2</v>
      </c>
      <c r="B162">
        <v>0.48155137896537781</v>
      </c>
    </row>
    <row r="163" spans="1:2" ht="15" customHeight="1" x14ac:dyDescent="0.25">
      <c r="A163">
        <v>3.3730309456586838E-2</v>
      </c>
      <c r="B163">
        <v>0.65955471992492676</v>
      </c>
    </row>
    <row r="164" spans="1:2" ht="15" customHeight="1" x14ac:dyDescent="0.25">
      <c r="A164">
        <v>3.4118976444005966E-2</v>
      </c>
      <c r="B164">
        <v>0.51310902833938599</v>
      </c>
    </row>
    <row r="165" spans="1:2" ht="15" customHeight="1" x14ac:dyDescent="0.25">
      <c r="A165">
        <v>3.2946791499853134E-2</v>
      </c>
      <c r="B165">
        <v>0.54499101638793945</v>
      </c>
    </row>
    <row r="166" spans="1:2" ht="15" customHeight="1" x14ac:dyDescent="0.25">
      <c r="A166">
        <v>3.2585117965936661E-2</v>
      </c>
      <c r="B166">
        <v>0.45916402339935303</v>
      </c>
    </row>
    <row r="167" spans="1:2" ht="15" customHeight="1" x14ac:dyDescent="0.25">
      <c r="A167">
        <v>2.7850348502397537E-2</v>
      </c>
      <c r="B167">
        <v>0.45698848366737366</v>
      </c>
    </row>
    <row r="168" spans="1:2" ht="15" customHeight="1" x14ac:dyDescent="0.25">
      <c r="A168">
        <v>2.8750777244567871E-2</v>
      </c>
      <c r="B168">
        <v>0.18655119836330414</v>
      </c>
    </row>
    <row r="169" spans="1:2" ht="15" customHeight="1" x14ac:dyDescent="0.25">
      <c r="A169">
        <v>6.8269692361354828E-2</v>
      </c>
      <c r="B169">
        <v>0.1529439240694046</v>
      </c>
    </row>
    <row r="170" spans="1:2" ht="15" customHeight="1" x14ac:dyDescent="0.25">
      <c r="A170">
        <v>7.0898003876209259E-2</v>
      </c>
      <c r="B170">
        <v>0.14247839152812958</v>
      </c>
    </row>
    <row r="171" spans="1:2" ht="15" customHeight="1" x14ac:dyDescent="0.25">
      <c r="A171">
        <v>2.6338161900639534E-2</v>
      </c>
      <c r="B171">
        <v>0.17553654313087463</v>
      </c>
    </row>
    <row r="172" spans="1:2" ht="15" customHeight="1" x14ac:dyDescent="0.25">
      <c r="A172">
        <v>3.1281027942895889E-2</v>
      </c>
      <c r="B172">
        <v>0.12796655297279358</v>
      </c>
    </row>
    <row r="173" spans="1:2" ht="15" customHeight="1" x14ac:dyDescent="0.25">
      <c r="A173">
        <v>3.3150751143693924E-2</v>
      </c>
      <c r="B173">
        <v>0.11474715173244476</v>
      </c>
    </row>
    <row r="174" spans="1:2" ht="15" customHeight="1" x14ac:dyDescent="0.25">
      <c r="A174">
        <v>2.9656637459993362E-2</v>
      </c>
      <c r="B174">
        <v>9.6580862998962402E-2</v>
      </c>
    </row>
    <row r="175" spans="1:2" ht="15" customHeight="1" x14ac:dyDescent="0.25">
      <c r="A175">
        <v>2.7908220887184143E-2</v>
      </c>
      <c r="B175">
        <v>6.3702337443828583E-2</v>
      </c>
    </row>
    <row r="176" spans="1:2" ht="15" customHeight="1" x14ac:dyDescent="0.25">
      <c r="A176">
        <v>3.1843073666095734E-2</v>
      </c>
      <c r="B176">
        <v>0.12424708157777786</v>
      </c>
    </row>
    <row r="177" spans="1:2" ht="15" customHeight="1" x14ac:dyDescent="0.25">
      <c r="A177">
        <v>0.13358436524868011</v>
      </c>
      <c r="B177">
        <v>2.4490756988525391</v>
      </c>
    </row>
    <row r="178" spans="1:2" ht="15" customHeight="1" x14ac:dyDescent="0.25">
      <c r="A178">
        <v>0.11371990293264389</v>
      </c>
      <c r="B178">
        <v>4.0255346298217773</v>
      </c>
    </row>
    <row r="179" spans="1:2" ht="15" customHeight="1" x14ac:dyDescent="0.25">
      <c r="A179">
        <v>3.8840830326080322E-2</v>
      </c>
      <c r="B179">
        <v>3.3591561317443848</v>
      </c>
    </row>
    <row r="180" spans="1:2" ht="15" customHeight="1" x14ac:dyDescent="0.25">
      <c r="A180">
        <v>3.2858178019523621E-2</v>
      </c>
      <c r="B180">
        <v>0.64446866512298584</v>
      </c>
    </row>
    <row r="181" spans="1:2" ht="15" customHeight="1" x14ac:dyDescent="0.25">
      <c r="A181">
        <v>3.286474198102951E-2</v>
      </c>
      <c r="B181">
        <v>0.96785253286361694</v>
      </c>
    </row>
    <row r="182" spans="1:2" ht="15" customHeight="1" x14ac:dyDescent="0.25">
      <c r="A182">
        <v>3.1528837978839874E-2</v>
      </c>
      <c r="B182">
        <v>1.0151081085205078</v>
      </c>
    </row>
    <row r="183" spans="1:2" ht="15" customHeight="1" x14ac:dyDescent="0.25">
      <c r="A183">
        <v>3.0441697686910629E-2</v>
      </c>
      <c r="B183">
        <v>1.2916920185089111</v>
      </c>
    </row>
    <row r="184" spans="1:2" ht="15" customHeight="1" x14ac:dyDescent="0.25">
      <c r="A184">
        <v>3.7006918340921402E-2</v>
      </c>
      <c r="B184">
        <v>1.1337671279907227</v>
      </c>
    </row>
    <row r="185" spans="1:2" ht="15" customHeight="1" x14ac:dyDescent="0.25">
      <c r="A185">
        <v>3.9133749902248383E-2</v>
      </c>
      <c r="B185">
        <v>1.5571999549865723</v>
      </c>
    </row>
    <row r="186" spans="1:2" ht="15" customHeight="1" x14ac:dyDescent="0.25">
      <c r="A186">
        <v>3.7397425621747971E-2</v>
      </c>
      <c r="B186">
        <v>1.5690926313400269</v>
      </c>
    </row>
    <row r="187" spans="1:2" ht="15" customHeight="1" x14ac:dyDescent="0.25">
      <c r="A187">
        <v>0.16327293217182159</v>
      </c>
      <c r="B187">
        <v>1.9115705490112305</v>
      </c>
    </row>
    <row r="188" spans="1:2" ht="15" customHeight="1" x14ac:dyDescent="0.25">
      <c r="A188">
        <v>7.9757526516914368E-2</v>
      </c>
      <c r="B188">
        <v>1.5709824562072754</v>
      </c>
    </row>
    <row r="189" spans="1:2" ht="15" customHeight="1" x14ac:dyDescent="0.25">
      <c r="A189">
        <v>5.1293779164552689E-2</v>
      </c>
      <c r="B189">
        <v>1.9447939395904541</v>
      </c>
    </row>
    <row r="190" spans="1:2" ht="15" customHeight="1" x14ac:dyDescent="0.25">
      <c r="A190">
        <v>6.2737062573432922E-2</v>
      </c>
      <c r="B190">
        <v>2.0091936588287354</v>
      </c>
    </row>
    <row r="191" spans="1:2" x14ac:dyDescent="0.25">
      <c r="A191">
        <v>2.0924678072333336E-2</v>
      </c>
      <c r="B191">
        <v>2.0796473026275635</v>
      </c>
    </row>
    <row r="192" spans="1:2" x14ac:dyDescent="0.25">
      <c r="A192">
        <v>7.67862843349576E-3</v>
      </c>
      <c r="B192">
        <v>0.8596118688583374</v>
      </c>
    </row>
    <row r="193" spans="1:2" x14ac:dyDescent="0.25">
      <c r="A193">
        <v>1.8341750837862492E-3</v>
      </c>
      <c r="B193">
        <v>0.35829734802246094</v>
      </c>
    </row>
    <row r="194" spans="1:2" x14ac:dyDescent="0.25">
      <c r="A194">
        <v>5.2747491281479597E-4</v>
      </c>
      <c r="B194">
        <v>0.13449899852275848</v>
      </c>
    </row>
    <row r="195" spans="1:2" x14ac:dyDescent="0.25">
      <c r="A195">
        <v>6.4050820656120777E-3</v>
      </c>
      <c r="B195">
        <v>0.12965729832649231</v>
      </c>
    </row>
    <row r="196" spans="1:2" x14ac:dyDescent="0.25">
      <c r="A196">
        <v>1.0583388619124889E-2</v>
      </c>
      <c r="B196">
        <v>0.13532325625419617</v>
      </c>
    </row>
    <row r="197" spans="1:2" x14ac:dyDescent="0.25">
      <c r="A197">
        <v>1.4679458923637867E-2</v>
      </c>
      <c r="B197">
        <v>0.33802005648612976</v>
      </c>
    </row>
    <row r="198" spans="1:2" x14ac:dyDescent="0.25">
      <c r="A198">
        <v>2.0504707470536232E-2</v>
      </c>
      <c r="B198">
        <v>0.81201720237731934</v>
      </c>
    </row>
    <row r="199" spans="1:2" x14ac:dyDescent="0.25">
      <c r="A199">
        <v>2.1542472764849663E-2</v>
      </c>
      <c r="B199">
        <v>0.11753508448600769</v>
      </c>
    </row>
    <row r="200" spans="1:2" x14ac:dyDescent="0.25">
      <c r="A200">
        <v>2.1301867440342903E-2</v>
      </c>
      <c r="B200">
        <v>0.12460939586162567</v>
      </c>
    </row>
    <row r="201" spans="1:2" x14ac:dyDescent="0.25">
      <c r="A201">
        <v>0.1348193883895874</v>
      </c>
      <c r="B201">
        <v>1.9521541595458984</v>
      </c>
    </row>
    <row r="202" spans="1:2" x14ac:dyDescent="0.25">
      <c r="A202">
        <v>0.12806572020053864</v>
      </c>
      <c r="B202">
        <v>1.681277871131897</v>
      </c>
    </row>
    <row r="203" spans="1:2" x14ac:dyDescent="0.25">
      <c r="A203">
        <v>5.2040588110685349E-2</v>
      </c>
      <c r="B203">
        <v>5.9769487380981445</v>
      </c>
    </row>
    <row r="204" spans="1:2" x14ac:dyDescent="0.25">
      <c r="A204">
        <v>5.8214649558067322E-2</v>
      </c>
      <c r="B204">
        <v>0.25570973753929138</v>
      </c>
    </row>
    <row r="205" spans="1:2" x14ac:dyDescent="0.25">
      <c r="A205">
        <v>7.9223345965147018E-3</v>
      </c>
      <c r="B205">
        <v>0.43711408972740173</v>
      </c>
    </row>
    <row r="206" spans="1:2" x14ac:dyDescent="0.25">
      <c r="A206">
        <v>2.0020663738250732E-2</v>
      </c>
      <c r="B206">
        <v>0.70914572477340698</v>
      </c>
    </row>
    <row r="207" spans="1:2" x14ac:dyDescent="0.25">
      <c r="A207">
        <v>3.5251148045063019E-2</v>
      </c>
      <c r="B207">
        <v>1.1915045976638794</v>
      </c>
    </row>
    <row r="208" spans="1:2" x14ac:dyDescent="0.25">
      <c r="A208">
        <v>3.4307122230529785E-2</v>
      </c>
      <c r="B208">
        <v>1.1466518640518188</v>
      </c>
    </row>
    <row r="209" spans="1:2" x14ac:dyDescent="0.25">
      <c r="A209">
        <v>3.4104753285646439E-2</v>
      </c>
      <c r="B209">
        <v>1.3561828136444092</v>
      </c>
    </row>
    <row r="210" spans="1:2" x14ac:dyDescent="0.25">
      <c r="A210">
        <v>3.3294800668954849E-2</v>
      </c>
      <c r="B210">
        <v>1.1830754280090332</v>
      </c>
    </row>
    <row r="211" spans="1:2" x14ac:dyDescent="0.25">
      <c r="A211">
        <v>0.20057603716850281</v>
      </c>
      <c r="B211">
        <v>1.9945733547210693</v>
      </c>
    </row>
    <row r="212" spans="1:2" x14ac:dyDescent="0.25">
      <c r="A212">
        <v>0.183002769947052</v>
      </c>
      <c r="B212">
        <v>3.0303657054901123</v>
      </c>
    </row>
    <row r="213" spans="1:2" x14ac:dyDescent="0.25">
      <c r="A213">
        <v>0.18080854415893555</v>
      </c>
      <c r="B213">
        <v>4.062584400177002</v>
      </c>
    </row>
    <row r="214" spans="1:2" x14ac:dyDescent="0.25">
      <c r="A214">
        <v>3.7846758961677551E-2</v>
      </c>
      <c r="B214">
        <v>1.6025826930999756</v>
      </c>
    </row>
    <row r="215" spans="1:2" x14ac:dyDescent="0.25">
      <c r="A215">
        <v>3.1686719506978989E-2</v>
      </c>
      <c r="B215">
        <v>1.1693472862243652</v>
      </c>
    </row>
    <row r="216" spans="1:2" x14ac:dyDescent="0.25">
      <c r="A216">
        <v>3.011101670563221E-2</v>
      </c>
      <c r="B216">
        <v>0.76711517572402954</v>
      </c>
    </row>
    <row r="217" spans="1:2" x14ac:dyDescent="0.25">
      <c r="A217">
        <v>3.0061539262533188E-2</v>
      </c>
      <c r="B217">
        <v>0.35353782773017883</v>
      </c>
    </row>
    <row r="218" spans="1:2" x14ac:dyDescent="0.25">
      <c r="A218">
        <v>3.2244633883237839E-2</v>
      </c>
      <c r="B218">
        <v>0.10680871456861496</v>
      </c>
    </row>
    <row r="219" spans="1:2" x14ac:dyDescent="0.25">
      <c r="A219">
        <v>3.2630186527967453E-2</v>
      </c>
      <c r="B219">
        <v>0.10250956565141678</v>
      </c>
    </row>
    <row r="220" spans="1:2" x14ac:dyDescent="0.25">
      <c r="A220">
        <v>3.1703755259513855E-2</v>
      </c>
      <c r="B220">
        <v>8.7523788213729858E-2</v>
      </c>
    </row>
    <row r="221" spans="1:2" x14ac:dyDescent="0.25">
      <c r="A221">
        <v>3.3296551555395126E-2</v>
      </c>
      <c r="B221">
        <v>8.6494803428649902E-2</v>
      </c>
    </row>
    <row r="222" spans="1:2" x14ac:dyDescent="0.25">
      <c r="A222">
        <v>3.0706623569130898E-2</v>
      </c>
      <c r="B222">
        <v>0.10556493699550629</v>
      </c>
    </row>
    <row r="223" spans="1:2" x14ac:dyDescent="0.25">
      <c r="A223">
        <v>3.246331587433815E-2</v>
      </c>
      <c r="B223">
        <v>7.7326059341430664E-2</v>
      </c>
    </row>
    <row r="224" spans="1:2" x14ac:dyDescent="0.25">
      <c r="A224">
        <v>2.9913639649748802E-2</v>
      </c>
      <c r="B224">
        <v>0.12112010270357132</v>
      </c>
    </row>
    <row r="225" spans="1:2" x14ac:dyDescent="0.25">
      <c r="A225">
        <v>0.14663331210613251</v>
      </c>
      <c r="B225">
        <v>2.4498391151428223</v>
      </c>
    </row>
    <row r="226" spans="1:2" x14ac:dyDescent="0.25">
      <c r="A226">
        <v>0.114591084420681</v>
      </c>
      <c r="B226">
        <v>1.350846529006958</v>
      </c>
    </row>
    <row r="227" spans="1:2" x14ac:dyDescent="0.25">
      <c r="A227">
        <v>3.3985823392868042E-2</v>
      </c>
      <c r="B227">
        <v>0.57522094249725342</v>
      </c>
    </row>
    <row r="228" spans="1:2" x14ac:dyDescent="0.25">
      <c r="A228">
        <v>3.5395924001932144E-2</v>
      </c>
      <c r="B228">
        <v>0.99636310338973999</v>
      </c>
    </row>
    <row r="229" spans="1:2" x14ac:dyDescent="0.25">
      <c r="A229">
        <v>3.4083779901266098E-2</v>
      </c>
      <c r="B229">
        <v>1.4536764621734619</v>
      </c>
    </row>
    <row r="230" spans="1:2" x14ac:dyDescent="0.25">
      <c r="A230">
        <v>3.479403629899025E-2</v>
      </c>
      <c r="B230">
        <v>1.2905582189559937</v>
      </c>
    </row>
    <row r="231" spans="1:2" x14ac:dyDescent="0.25">
      <c r="A231">
        <v>3.2808449119329453E-2</v>
      </c>
      <c r="B231">
        <v>1.5986330509185791</v>
      </c>
    </row>
    <row r="232" spans="1:2" x14ac:dyDescent="0.25">
      <c r="A232">
        <v>3.2676134258508682E-2</v>
      </c>
      <c r="B232">
        <v>1.47901451587677</v>
      </c>
    </row>
    <row r="233" spans="1:2" x14ac:dyDescent="0.25">
      <c r="A233">
        <v>3.372153639793396E-2</v>
      </c>
      <c r="B233">
        <v>1.8490674495697021</v>
      </c>
    </row>
    <row r="234" spans="1:2" x14ac:dyDescent="0.25">
      <c r="A234">
        <v>3.2418038696050644E-2</v>
      </c>
      <c r="B234">
        <v>1.6497526168823242</v>
      </c>
    </row>
    <row r="235" spans="1:2" x14ac:dyDescent="0.25">
      <c r="A235">
        <v>3.2196886837482452E-2</v>
      </c>
      <c r="B235">
        <v>1.8951432704925537</v>
      </c>
    </row>
    <row r="236" spans="1:2" x14ac:dyDescent="0.25">
      <c r="A236">
        <v>3.1628534197807312E-2</v>
      </c>
      <c r="B236">
        <v>1.6418114900588989</v>
      </c>
    </row>
    <row r="237" spans="1:2" x14ac:dyDescent="0.25">
      <c r="A237">
        <v>3.2772466540336609E-2</v>
      </c>
      <c r="B237">
        <v>1.8817824125289917</v>
      </c>
    </row>
    <row r="238" spans="1:2" x14ac:dyDescent="0.25">
      <c r="A238">
        <v>3.2528016716241837E-2</v>
      </c>
      <c r="B238">
        <v>1.7104223966598511</v>
      </c>
    </row>
    <row r="239" spans="1:2" x14ac:dyDescent="0.25">
      <c r="A239">
        <v>3.1832791864871979E-2</v>
      </c>
      <c r="B239">
        <v>1.9648250341415405</v>
      </c>
    </row>
    <row r="240" spans="1:2" x14ac:dyDescent="0.25">
      <c r="A240">
        <v>3.1838204711675644E-2</v>
      </c>
      <c r="B240">
        <v>1.7123327255249023</v>
      </c>
    </row>
    <row r="241" spans="1:2" x14ac:dyDescent="0.25">
      <c r="A241">
        <v>2.5633791461586952E-2</v>
      </c>
      <c r="B241">
        <v>1.3895038366317749</v>
      </c>
    </row>
    <row r="242" spans="1:2" x14ac:dyDescent="0.25">
      <c r="A242">
        <v>2.2181112319231033E-2</v>
      </c>
      <c r="B242">
        <v>0.38260605931282043</v>
      </c>
    </row>
    <row r="243" spans="1:2" x14ac:dyDescent="0.25">
      <c r="A243">
        <v>2.7852198109030724E-2</v>
      </c>
      <c r="B243">
        <v>0.13975881040096283</v>
      </c>
    </row>
    <row r="244" spans="1:2" x14ac:dyDescent="0.25">
      <c r="A244">
        <v>3.1604573130607605E-2</v>
      </c>
      <c r="B244">
        <v>0.11128592491149902</v>
      </c>
    </row>
    <row r="245" spans="1:2" x14ac:dyDescent="0.25">
      <c r="A245">
        <v>3.2186131924390793E-2</v>
      </c>
      <c r="B245">
        <v>0.37970012426376343</v>
      </c>
    </row>
    <row r="246" spans="1:2" x14ac:dyDescent="0.25">
      <c r="A246">
        <v>3.2330114394426346E-2</v>
      </c>
      <c r="B246">
        <v>0.77616971731185913</v>
      </c>
    </row>
    <row r="247" spans="1:2" x14ac:dyDescent="0.25">
      <c r="A247">
        <v>3.2219734042882919E-2</v>
      </c>
      <c r="B247">
        <v>0.117557093501091</v>
      </c>
    </row>
    <row r="248" spans="1:2" x14ac:dyDescent="0.25">
      <c r="A248">
        <v>3.1896006315946579E-2</v>
      </c>
      <c r="B248">
        <v>0.13504080474376678</v>
      </c>
    </row>
    <row r="249" spans="1:2" x14ac:dyDescent="0.25">
      <c r="A249">
        <v>0.12312712520360947</v>
      </c>
      <c r="B249">
        <v>2.0575253963470459</v>
      </c>
    </row>
    <row r="250" spans="1:2" x14ac:dyDescent="0.25">
      <c r="A250">
        <v>3.4051034599542618E-2</v>
      </c>
      <c r="B250">
        <v>2.1915667057037354</v>
      </c>
    </row>
    <row r="251" spans="1:2" x14ac:dyDescent="0.25">
      <c r="A251">
        <v>3.3952966332435608E-2</v>
      </c>
      <c r="B251">
        <v>1.1334191560745239</v>
      </c>
    </row>
    <row r="252" spans="1:2" x14ac:dyDescent="0.25">
      <c r="A252">
        <v>3.247344121336937E-2</v>
      </c>
      <c r="B252">
        <v>1.1270157098770142</v>
      </c>
    </row>
    <row r="253" spans="1:2" x14ac:dyDescent="0.25">
      <c r="A253">
        <v>3.3998779952526093E-2</v>
      </c>
      <c r="B253">
        <v>1.3971172571182251</v>
      </c>
    </row>
    <row r="254" spans="1:2" x14ac:dyDescent="0.25">
      <c r="A254">
        <v>3.1662069261074066E-2</v>
      </c>
      <c r="B254">
        <v>1.3476170301437378</v>
      </c>
    </row>
    <row r="255" spans="1:2" x14ac:dyDescent="0.25">
      <c r="A255">
        <v>3.2421987503767014E-2</v>
      </c>
      <c r="B255">
        <v>1.5238966941833496</v>
      </c>
    </row>
    <row r="256" spans="1:2" x14ac:dyDescent="0.25">
      <c r="A256">
        <v>3.2003514468669891E-2</v>
      </c>
      <c r="B256">
        <v>1.2553776502609253</v>
      </c>
    </row>
    <row r="257" spans="1:2" x14ac:dyDescent="0.25">
      <c r="A257">
        <v>3.2106149941682816E-2</v>
      </c>
      <c r="B257">
        <v>1.4602534770965576</v>
      </c>
    </row>
    <row r="258" spans="1:2" x14ac:dyDescent="0.25">
      <c r="A258">
        <v>3.0766475945711136E-2</v>
      </c>
      <c r="B258">
        <v>1.1175949573516846</v>
      </c>
    </row>
    <row r="259" spans="1:2" x14ac:dyDescent="0.25">
      <c r="A259">
        <v>3.160678967833519E-2</v>
      </c>
      <c r="B259">
        <v>1.131894588470459</v>
      </c>
    </row>
    <row r="260" spans="1:2" x14ac:dyDescent="0.25">
      <c r="A260">
        <v>3.035409189760685E-2</v>
      </c>
      <c r="B260">
        <v>0.85925358533859253</v>
      </c>
    </row>
    <row r="261" spans="1:2" x14ac:dyDescent="0.25">
      <c r="A261">
        <v>3.0345259234309196E-2</v>
      </c>
      <c r="B261">
        <v>0.71031761169433594</v>
      </c>
    </row>
    <row r="262" spans="1:2" x14ac:dyDescent="0.25">
      <c r="A262">
        <v>3.2708153128623962E-2</v>
      </c>
      <c r="B262">
        <v>0.64596760272979736</v>
      </c>
    </row>
    <row r="263" spans="1:2" x14ac:dyDescent="0.25">
      <c r="A263">
        <v>3.2728713005781174E-2</v>
      </c>
      <c r="B263">
        <v>0.88566297292709351</v>
      </c>
    </row>
    <row r="264" spans="1:2" x14ac:dyDescent="0.25">
      <c r="A264">
        <v>2.9478712007403374E-2</v>
      </c>
      <c r="B264">
        <v>0.55845803022384644</v>
      </c>
    </row>
    <row r="265" spans="1:2" x14ac:dyDescent="0.25">
      <c r="A265">
        <v>2.6967708021402359E-2</v>
      </c>
      <c r="B265">
        <v>0.30209645628929138</v>
      </c>
    </row>
    <row r="266" spans="1:2" x14ac:dyDescent="0.25">
      <c r="A266">
        <v>2.9480272904038429E-2</v>
      </c>
      <c r="B266">
        <v>0.13551227748394012</v>
      </c>
    </row>
    <row r="267" spans="1:2" x14ac:dyDescent="0.25">
      <c r="A267">
        <v>3.4236792474985123E-2</v>
      </c>
      <c r="B267">
        <v>0.10416094213724136</v>
      </c>
    </row>
    <row r="268" spans="1:2" x14ac:dyDescent="0.25">
      <c r="A268">
        <v>2.7377471327781677E-2</v>
      </c>
      <c r="B268">
        <v>8.7791897356510162E-2</v>
      </c>
    </row>
    <row r="269" spans="1:2" x14ac:dyDescent="0.25">
      <c r="A269">
        <v>3.6551300436258316E-2</v>
      </c>
      <c r="B269">
        <v>0.18234018981456757</v>
      </c>
    </row>
    <row r="270" spans="1:2" x14ac:dyDescent="0.25">
      <c r="A270">
        <v>3.1402643769979477E-2</v>
      </c>
      <c r="B270">
        <v>0.12764705717563629</v>
      </c>
    </row>
    <row r="271" spans="1:2" x14ac:dyDescent="0.25">
      <c r="A271">
        <v>3.5345539450645447E-2</v>
      </c>
      <c r="B271">
        <v>9.9547125399112701E-2</v>
      </c>
    </row>
    <row r="272" spans="1:2" x14ac:dyDescent="0.25">
      <c r="A272">
        <v>2.8900593519210815E-2</v>
      </c>
      <c r="B272">
        <v>0.10737322270870209</v>
      </c>
    </row>
    <row r="273" spans="1:2" x14ac:dyDescent="0.25">
      <c r="A273">
        <v>0.14149877429008484</v>
      </c>
      <c r="B273">
        <v>2.5276961326599121</v>
      </c>
    </row>
    <row r="274" spans="1:2" x14ac:dyDescent="0.25">
      <c r="A274">
        <v>3.3639080822467804E-2</v>
      </c>
      <c r="B274">
        <v>1.4806754589080811</v>
      </c>
    </row>
    <row r="275" spans="1:2" x14ac:dyDescent="0.25">
      <c r="A275">
        <v>3.1122734770178795E-2</v>
      </c>
      <c r="B275">
        <v>0.62624549865722656</v>
      </c>
    </row>
    <row r="276" spans="1:2" x14ac:dyDescent="0.25">
      <c r="A276">
        <v>3.0157474800944328E-2</v>
      </c>
      <c r="B276">
        <v>0.43803238868713379</v>
      </c>
    </row>
    <row r="277" spans="1:2" x14ac:dyDescent="0.25">
      <c r="A277">
        <v>2.9738346114754677E-2</v>
      </c>
      <c r="B277">
        <v>0.39758732914924622</v>
      </c>
    </row>
    <row r="278" spans="1:2" x14ac:dyDescent="0.25">
      <c r="A278">
        <v>3.368484228849411E-2</v>
      </c>
      <c r="B278">
        <v>0.36209976673126221</v>
      </c>
    </row>
    <row r="279" spans="1:2" x14ac:dyDescent="0.25">
      <c r="A279">
        <v>3.3615496009588242E-2</v>
      </c>
      <c r="B279">
        <v>0.54316556453704834</v>
      </c>
    </row>
    <row r="280" spans="1:2" x14ac:dyDescent="0.25">
      <c r="A280">
        <v>3.9076834917068481E-2</v>
      </c>
      <c r="B280">
        <v>0.59588629007339478</v>
      </c>
    </row>
    <row r="281" spans="1:2" x14ac:dyDescent="0.25">
      <c r="A281">
        <v>3.7012677639722824E-2</v>
      </c>
      <c r="B281">
        <v>0.67223668098449707</v>
      </c>
    </row>
    <row r="282" spans="1:2" x14ac:dyDescent="0.25">
      <c r="A282">
        <v>3.2093260437250137E-2</v>
      </c>
      <c r="B282">
        <v>0.63778728246688843</v>
      </c>
    </row>
    <row r="283" spans="1:2" x14ac:dyDescent="0.25">
      <c r="A283">
        <v>3.1610365957021713E-2</v>
      </c>
      <c r="B283">
        <v>0.44399824738502502</v>
      </c>
    </row>
    <row r="284" spans="1:2" x14ac:dyDescent="0.25">
      <c r="A284">
        <v>2.7205457910895348E-2</v>
      </c>
      <c r="B284">
        <v>0.1470983475446701</v>
      </c>
    </row>
    <row r="285" spans="1:2" x14ac:dyDescent="0.25">
      <c r="A285">
        <v>3.0625414103269577E-2</v>
      </c>
      <c r="B285">
        <v>0.13946647942066193</v>
      </c>
    </row>
    <row r="286" spans="1:2" x14ac:dyDescent="0.25">
      <c r="A286">
        <v>3.5960152745246887E-2</v>
      </c>
      <c r="B286">
        <v>7.3271878063678741E-2</v>
      </c>
    </row>
    <row r="287" spans="1:2" x14ac:dyDescent="0.25">
      <c r="A287">
        <v>3.2894887030124664E-2</v>
      </c>
      <c r="B287">
        <v>0.1173015683889389</v>
      </c>
    </row>
    <row r="288" spans="1:2" x14ac:dyDescent="0.25">
      <c r="A288">
        <v>2.785903587937355E-2</v>
      </c>
      <c r="B288">
        <v>6.0039855539798737E-2</v>
      </c>
    </row>
    <row r="289" spans="1:2" x14ac:dyDescent="0.25">
      <c r="A289">
        <v>3.3395268023014069E-2</v>
      </c>
      <c r="B289">
        <v>0.14924581348896027</v>
      </c>
    </row>
    <row r="290" spans="1:2" x14ac:dyDescent="0.25">
      <c r="A290">
        <v>3.2650649547576904E-2</v>
      </c>
      <c r="B290">
        <v>9.089381992816925E-2</v>
      </c>
    </row>
    <row r="291" spans="1:2" x14ac:dyDescent="0.25">
      <c r="A291">
        <v>2.9646286740899086E-2</v>
      </c>
      <c r="B291">
        <v>0.11728876829147339</v>
      </c>
    </row>
    <row r="292" spans="1:2" x14ac:dyDescent="0.25">
      <c r="A292">
        <v>3.2039962708950043E-2</v>
      </c>
      <c r="B292">
        <v>7.1731314063072205E-2</v>
      </c>
    </row>
    <row r="293" spans="1:2" x14ac:dyDescent="0.25">
      <c r="A293">
        <v>3.2790780067443848E-2</v>
      </c>
      <c r="B293">
        <v>0.33516660332679749</v>
      </c>
    </row>
    <row r="294" spans="1:2" x14ac:dyDescent="0.25">
      <c r="A294">
        <v>3.1052824109792709E-2</v>
      </c>
      <c r="B294">
        <v>0.83601397275924683</v>
      </c>
    </row>
    <row r="295" spans="1:2" x14ac:dyDescent="0.25">
      <c r="A295">
        <v>3.2167647033929825E-2</v>
      </c>
      <c r="B295">
        <v>0.12386048585176468</v>
      </c>
    </row>
    <row r="296" spans="1:2" x14ac:dyDescent="0.25">
      <c r="A296">
        <v>3.1766906380653381E-2</v>
      </c>
      <c r="B296">
        <v>0.1015947237610817</v>
      </c>
    </row>
    <row r="297" spans="1:2" x14ac:dyDescent="0.25">
      <c r="A297">
        <v>0.13061508536338806</v>
      </c>
      <c r="B297">
        <v>2.412278413772583</v>
      </c>
    </row>
    <row r="298" spans="1:2" x14ac:dyDescent="0.25">
      <c r="A298">
        <v>3.4751366823911667E-2</v>
      </c>
      <c r="B298">
        <v>1.4992167949676514</v>
      </c>
    </row>
    <row r="299" spans="1:2" x14ac:dyDescent="0.25">
      <c r="A299">
        <v>3.1860534101724625E-2</v>
      </c>
      <c r="B299">
        <v>0.71118229627609253</v>
      </c>
    </row>
    <row r="300" spans="1:2" x14ac:dyDescent="0.25">
      <c r="A300">
        <v>3.174952045083046E-2</v>
      </c>
      <c r="B300">
        <v>0.75429999828338623</v>
      </c>
    </row>
    <row r="301" spans="1:2" x14ac:dyDescent="0.25">
      <c r="A301">
        <v>3.3878233283758163E-2</v>
      </c>
      <c r="B301">
        <v>0.94157648086547852</v>
      </c>
    </row>
    <row r="302" spans="1:2" x14ac:dyDescent="0.25">
      <c r="A302">
        <v>3.3131327480077744E-2</v>
      </c>
      <c r="B302">
        <v>0.80957889556884766</v>
      </c>
    </row>
    <row r="303" spans="1:2" x14ac:dyDescent="0.25">
      <c r="A303">
        <v>3.2809443771839142E-2</v>
      </c>
      <c r="B303">
        <v>0.9935377836227417</v>
      </c>
    </row>
    <row r="304" spans="1:2" x14ac:dyDescent="0.25">
      <c r="A304">
        <v>3.2425057142972946E-2</v>
      </c>
      <c r="B304">
        <v>0.83337700366973877</v>
      </c>
    </row>
    <row r="305" spans="1:2" x14ac:dyDescent="0.25">
      <c r="A305">
        <v>3.3224847167730331E-2</v>
      </c>
      <c r="B305">
        <v>0.92880147695541382</v>
      </c>
    </row>
    <row r="306" spans="1:2" x14ac:dyDescent="0.25">
      <c r="A306">
        <v>3.1663224101066589E-2</v>
      </c>
      <c r="B306">
        <v>0.80975890159606934</v>
      </c>
    </row>
    <row r="307" spans="1:2" x14ac:dyDescent="0.25">
      <c r="A307">
        <v>3.2369419932365417E-2</v>
      </c>
      <c r="B307">
        <v>0.97401845455169678</v>
      </c>
    </row>
    <row r="308" spans="1:2" x14ac:dyDescent="0.25">
      <c r="A308">
        <v>3.164379671216011E-2</v>
      </c>
      <c r="B308">
        <v>0.97450089454650879</v>
      </c>
    </row>
    <row r="309" spans="1:2" x14ac:dyDescent="0.25">
      <c r="A309">
        <v>3.1730756163597107E-2</v>
      </c>
      <c r="B309">
        <v>1.258484959602356</v>
      </c>
    </row>
    <row r="310" spans="1:2" x14ac:dyDescent="0.25">
      <c r="A310">
        <v>3.1360037624835968E-2</v>
      </c>
      <c r="B310">
        <v>0.88591641187667847</v>
      </c>
    </row>
    <row r="311" spans="1:2" x14ac:dyDescent="0.25">
      <c r="A311">
        <v>3.3138394355773926E-2</v>
      </c>
      <c r="B311">
        <v>0.72294867038726807</v>
      </c>
    </row>
    <row r="312" spans="1:2" x14ac:dyDescent="0.25">
      <c r="A312">
        <v>3.3092249184846878E-2</v>
      </c>
      <c r="B312">
        <v>0.78805309534072876</v>
      </c>
    </row>
    <row r="313" spans="1:2" x14ac:dyDescent="0.25">
      <c r="A313">
        <v>3.4507587552070618E-2</v>
      </c>
      <c r="B313">
        <v>1.0882154703140259</v>
      </c>
    </row>
    <row r="314" spans="1:2" x14ac:dyDescent="0.25">
      <c r="A314">
        <v>2.896561473608017E-2</v>
      </c>
      <c r="B314">
        <v>0.74192386865615845</v>
      </c>
    </row>
    <row r="315" spans="1:2" x14ac:dyDescent="0.25">
      <c r="A315">
        <v>2.4445783346891403E-2</v>
      </c>
      <c r="B315">
        <v>0.45018711686134338</v>
      </c>
    </row>
    <row r="316" spans="1:2" x14ac:dyDescent="0.25">
      <c r="A316">
        <v>2.5638621300458908E-2</v>
      </c>
      <c r="B316">
        <v>0.11911430209875107</v>
      </c>
    </row>
    <row r="317" spans="1:2" x14ac:dyDescent="0.25">
      <c r="A317">
        <v>3.5058949142694473E-2</v>
      </c>
      <c r="B317">
        <v>0.14746685326099396</v>
      </c>
    </row>
    <row r="318" spans="1:2" x14ac:dyDescent="0.25">
      <c r="A318">
        <v>3.2847817987203598E-2</v>
      </c>
      <c r="B318">
        <v>0.10902073979377747</v>
      </c>
    </row>
    <row r="319" spans="1:2" x14ac:dyDescent="0.25">
      <c r="A319">
        <v>3.158758208155632E-2</v>
      </c>
      <c r="B319">
        <v>7.3968566954135895E-2</v>
      </c>
    </row>
    <row r="320" spans="1:2" x14ac:dyDescent="0.25">
      <c r="A320">
        <v>3.0878392979502678E-2</v>
      </c>
      <c r="B320">
        <v>0.12678332626819611</v>
      </c>
    </row>
    <row r="321" spans="1:2" x14ac:dyDescent="0.25">
      <c r="A321">
        <v>0.14010854065418243</v>
      </c>
      <c r="B321">
        <v>2.4534599781036377</v>
      </c>
    </row>
    <row r="322" spans="1:2" x14ac:dyDescent="0.25">
      <c r="A322">
        <v>4.7903899103403091E-2</v>
      </c>
      <c r="B322">
        <v>1.364605188369751</v>
      </c>
    </row>
    <row r="323" spans="1:2" x14ac:dyDescent="0.25">
      <c r="A323">
        <v>3.4132711589336395E-2</v>
      </c>
      <c r="B323">
        <v>0.3068961501121521</v>
      </c>
    </row>
    <row r="324" spans="1:2" x14ac:dyDescent="0.25">
      <c r="A324">
        <v>3.4906037151813507E-2</v>
      </c>
      <c r="B324">
        <v>0.65908181667327881</v>
      </c>
    </row>
    <row r="325" spans="1:2" x14ac:dyDescent="0.25">
      <c r="A325">
        <v>3.476317971944809E-2</v>
      </c>
      <c r="B325">
        <v>1.2278280258178711</v>
      </c>
    </row>
    <row r="326" spans="1:2" x14ac:dyDescent="0.25">
      <c r="A326">
        <v>3.2303594052791595E-2</v>
      </c>
      <c r="B326">
        <v>1.2412147521972656</v>
      </c>
    </row>
    <row r="327" spans="1:2" x14ac:dyDescent="0.25">
      <c r="A327">
        <v>3.2240401953458786E-2</v>
      </c>
      <c r="B327">
        <v>1.4841917753219604</v>
      </c>
    </row>
    <row r="328" spans="1:2" x14ac:dyDescent="0.25">
      <c r="A328">
        <v>3.2231174409389496E-2</v>
      </c>
      <c r="B328">
        <v>1.369957447052002</v>
      </c>
    </row>
    <row r="329" spans="1:2" x14ac:dyDescent="0.25">
      <c r="A329">
        <v>3.296210989356041E-2</v>
      </c>
      <c r="B329">
        <v>1.5668022632598877</v>
      </c>
    </row>
    <row r="330" spans="1:2" x14ac:dyDescent="0.25">
      <c r="A330">
        <v>3.2146923243999481E-2</v>
      </c>
      <c r="B330">
        <v>1.3980559110641479</v>
      </c>
    </row>
    <row r="331" spans="1:2" x14ac:dyDescent="0.25">
      <c r="A331">
        <v>3.251444548368454E-2</v>
      </c>
      <c r="B331">
        <v>1.6294999122619629</v>
      </c>
    </row>
    <row r="332" spans="1:2" x14ac:dyDescent="0.25">
      <c r="A332">
        <v>3.1759079545736313E-2</v>
      </c>
      <c r="B332">
        <v>1.3773778676986694</v>
      </c>
    </row>
    <row r="333" spans="1:2" x14ac:dyDescent="0.25">
      <c r="A333">
        <v>3.3597905188798904E-2</v>
      </c>
      <c r="B333">
        <v>1.5849158763885498</v>
      </c>
    </row>
    <row r="334" spans="1:2" x14ac:dyDescent="0.25">
      <c r="A334">
        <v>3.0605794861912727E-2</v>
      </c>
      <c r="B334">
        <v>1.3394808769226074</v>
      </c>
    </row>
    <row r="335" spans="1:2" x14ac:dyDescent="0.25">
      <c r="A335">
        <v>3.3242370933294296E-2</v>
      </c>
      <c r="B335">
        <v>1.5961253643035889</v>
      </c>
    </row>
    <row r="336" spans="1:2" x14ac:dyDescent="0.25">
      <c r="A336">
        <v>3.038492426276207E-2</v>
      </c>
      <c r="B336">
        <v>1.3508141040802002</v>
      </c>
    </row>
    <row r="337" spans="1:2" x14ac:dyDescent="0.25">
      <c r="A337">
        <v>2.5673197582364082E-2</v>
      </c>
      <c r="B337">
        <v>0.93286365270614624</v>
      </c>
    </row>
    <row r="338" spans="1:2" x14ac:dyDescent="0.25">
      <c r="A338">
        <v>2.294296957552433E-2</v>
      </c>
      <c r="B338">
        <v>0.25066718459129333</v>
      </c>
    </row>
    <row r="339" spans="1:2" x14ac:dyDescent="0.25">
      <c r="A339">
        <v>3.2437030225992203E-2</v>
      </c>
      <c r="B339">
        <v>0.11145231127738953</v>
      </c>
    </row>
    <row r="340" spans="1:2" x14ac:dyDescent="0.25">
      <c r="A340">
        <v>2.8472153469920158E-2</v>
      </c>
      <c r="B340">
        <v>8.4335081279277802E-2</v>
      </c>
    </row>
    <row r="341" spans="1:2" x14ac:dyDescent="0.25">
      <c r="A341">
        <v>3.4464254975318909E-2</v>
      </c>
      <c r="B341">
        <v>0.32563260197639465</v>
      </c>
    </row>
    <row r="342" spans="1:2" x14ac:dyDescent="0.25">
      <c r="A342">
        <v>3.0930059030652046E-2</v>
      </c>
      <c r="B342">
        <v>0.70450359582901001</v>
      </c>
    </row>
    <row r="343" spans="1:2" x14ac:dyDescent="0.25">
      <c r="A343">
        <v>3.2954301685094833E-2</v>
      </c>
      <c r="B343">
        <v>0.16188244521617889</v>
      </c>
    </row>
    <row r="344" spans="1:2" x14ac:dyDescent="0.25">
      <c r="A344">
        <v>3.6574605852365494E-2</v>
      </c>
      <c r="B344">
        <v>0.22284825146198273</v>
      </c>
    </row>
    <row r="345" spans="1:2" x14ac:dyDescent="0.25">
      <c r="A345">
        <v>0.12442436069250107</v>
      </c>
      <c r="B345">
        <v>2.7823824882507324</v>
      </c>
    </row>
    <row r="346" spans="1:2" x14ac:dyDescent="0.25">
      <c r="A346">
        <v>3.5932805389165878E-2</v>
      </c>
      <c r="B346">
        <v>4.2545695304870605</v>
      </c>
    </row>
    <row r="347" spans="1:2" x14ac:dyDescent="0.25">
      <c r="A347">
        <v>3.1988468021154404E-2</v>
      </c>
      <c r="B347">
        <v>4.0633950233459473</v>
      </c>
    </row>
    <row r="348" spans="1:2" x14ac:dyDescent="0.25">
      <c r="A348">
        <v>3.2881584018468857E-2</v>
      </c>
      <c r="B348">
        <v>1.3806160688400269</v>
      </c>
    </row>
    <row r="349" spans="1:2" x14ac:dyDescent="0.25">
      <c r="A349">
        <v>3.1774509698152542E-2</v>
      </c>
      <c r="B349">
        <v>1.5797947645187378</v>
      </c>
    </row>
    <row r="350" spans="1:2" x14ac:dyDescent="0.25">
      <c r="A350">
        <v>3.260406106710434E-2</v>
      </c>
      <c r="B350">
        <v>1.3363195657730103</v>
      </c>
    </row>
    <row r="351" spans="1:2" x14ac:dyDescent="0.25">
      <c r="A351">
        <v>3.2804004848003387E-2</v>
      </c>
      <c r="B351">
        <v>1.6283972263336182</v>
      </c>
    </row>
    <row r="352" spans="1:2" x14ac:dyDescent="0.25">
      <c r="A352">
        <v>3.2248936593532562E-2</v>
      </c>
      <c r="B352">
        <v>1.4545215368270874</v>
      </c>
    </row>
    <row r="353" spans="1:2" x14ac:dyDescent="0.25">
      <c r="A353">
        <v>9.8884455859661102E-2</v>
      </c>
      <c r="B353">
        <v>1.7347743511199951</v>
      </c>
    </row>
    <row r="354" spans="1:2" x14ac:dyDescent="0.25">
      <c r="A354">
        <v>0.23590701818466187</v>
      </c>
      <c r="B354">
        <v>3.2266736030578613</v>
      </c>
    </row>
    <row r="355" spans="1:2" x14ac:dyDescent="0.25">
      <c r="A355">
        <v>0.15744459629058838</v>
      </c>
      <c r="B355">
        <v>3.8324384689331055</v>
      </c>
    </row>
    <row r="356" spans="1:2" x14ac:dyDescent="0.25">
      <c r="A356">
        <v>3.3146582543849945E-2</v>
      </c>
      <c r="B356">
        <v>1.8064481019973755</v>
      </c>
    </row>
    <row r="357" spans="1:2" x14ac:dyDescent="0.25">
      <c r="A357">
        <v>3.2908152788877487E-2</v>
      </c>
      <c r="B357">
        <v>2.0473988056182861</v>
      </c>
    </row>
    <row r="358" spans="1:2" x14ac:dyDescent="0.25">
      <c r="A358">
        <v>3.2752182334661484E-2</v>
      </c>
      <c r="B358">
        <v>1.7960865497589111</v>
      </c>
    </row>
    <row r="359" spans="1:2" x14ac:dyDescent="0.25">
      <c r="A359">
        <v>3.2066769897937775E-2</v>
      </c>
      <c r="B359">
        <v>2.0110704898834229</v>
      </c>
    </row>
    <row r="360" spans="1:2" x14ac:dyDescent="0.25">
      <c r="A360">
        <v>3.0712448060512543E-2</v>
      </c>
      <c r="B360">
        <v>1.3942044973373413</v>
      </c>
    </row>
    <row r="361" spans="1:2" x14ac:dyDescent="0.25">
      <c r="A361">
        <v>2.8839772567152977E-2</v>
      </c>
      <c r="B361">
        <v>0.93281310796737671</v>
      </c>
    </row>
    <row r="362" spans="1:2" x14ac:dyDescent="0.25">
      <c r="A362">
        <v>2.4550743401050568E-2</v>
      </c>
      <c r="B362">
        <v>0.27426791191101074</v>
      </c>
    </row>
    <row r="363" spans="1:2" x14ac:dyDescent="0.25">
      <c r="A363">
        <v>2.9324939474463463E-2</v>
      </c>
      <c r="B363">
        <v>0.18546421825885773</v>
      </c>
    </row>
    <row r="364" spans="1:2" x14ac:dyDescent="0.25">
      <c r="A364">
        <v>3.2981593161821365E-2</v>
      </c>
      <c r="B364">
        <v>8.2382313907146454E-2</v>
      </c>
    </row>
    <row r="365" spans="1:2" x14ac:dyDescent="0.25">
      <c r="A365">
        <v>3.1050723046064377E-2</v>
      </c>
      <c r="B365">
        <v>9.8084993660449982E-2</v>
      </c>
    </row>
    <row r="366" spans="1:2" x14ac:dyDescent="0.25">
      <c r="A366">
        <v>3.2308656722307205E-2</v>
      </c>
      <c r="B366">
        <v>9.6844233572483063E-2</v>
      </c>
    </row>
    <row r="367" spans="1:2" x14ac:dyDescent="0.25">
      <c r="A367">
        <v>3.3054221421480179E-2</v>
      </c>
      <c r="B367">
        <v>0.10109600424766541</v>
      </c>
    </row>
    <row r="368" spans="1:2" x14ac:dyDescent="0.25">
      <c r="A368">
        <v>3.0694929882884026E-2</v>
      </c>
      <c r="B368">
        <v>0.1057472825050354</v>
      </c>
    </row>
    <row r="369" spans="1:2" x14ac:dyDescent="0.25">
      <c r="A369">
        <v>0.12223455309867859</v>
      </c>
      <c r="B369">
        <v>1.9790898561477661</v>
      </c>
    </row>
    <row r="370" spans="1:2" x14ac:dyDescent="0.25">
      <c r="A370">
        <v>3.2777722924947739E-2</v>
      </c>
      <c r="B370">
        <v>2.0592679977416992</v>
      </c>
    </row>
    <row r="371" spans="1:2" x14ac:dyDescent="0.25">
      <c r="A371">
        <v>3.1576778739690781E-2</v>
      </c>
      <c r="B371">
        <v>6.2122435569763184</v>
      </c>
    </row>
    <row r="372" spans="1:2" x14ac:dyDescent="0.25">
      <c r="A372">
        <v>3.225361555814743E-2</v>
      </c>
      <c r="B372">
        <v>0.94667530059814453</v>
      </c>
    </row>
    <row r="373" spans="1:2" x14ac:dyDescent="0.25">
      <c r="A373">
        <v>3.0419647693634033E-2</v>
      </c>
      <c r="B373">
        <v>1.1749309301376343</v>
      </c>
    </row>
    <row r="374" spans="1:2" x14ac:dyDescent="0.25">
      <c r="A374">
        <v>3.3576913177967072E-2</v>
      </c>
      <c r="B374">
        <v>1.0321259498596191</v>
      </c>
    </row>
    <row r="375" spans="1:2" x14ac:dyDescent="0.25">
      <c r="A375">
        <v>3.3365141600370407E-2</v>
      </c>
      <c r="B375">
        <v>1.1490418910980225</v>
      </c>
    </row>
    <row r="376" spans="1:2" x14ac:dyDescent="0.25">
      <c r="A376">
        <v>3.2846532762050629E-2</v>
      </c>
      <c r="B376">
        <v>1.0675314664840698</v>
      </c>
    </row>
    <row r="377" spans="1:2" x14ac:dyDescent="0.25">
      <c r="A377">
        <v>3.1875871121883392E-2</v>
      </c>
      <c r="B377">
        <v>1.2305217981338501</v>
      </c>
    </row>
    <row r="378" spans="1:2" x14ac:dyDescent="0.25">
      <c r="A378">
        <v>3.2736226916313171E-2</v>
      </c>
      <c r="B378">
        <v>1.1165007352828979</v>
      </c>
    </row>
    <row r="379" spans="1:2" x14ac:dyDescent="0.25">
      <c r="A379">
        <v>3.1753059476613998E-2</v>
      </c>
      <c r="B379">
        <v>1.2587044239044189</v>
      </c>
    </row>
    <row r="380" spans="1:2" x14ac:dyDescent="0.25">
      <c r="A380">
        <v>3.2472778111696243E-2</v>
      </c>
      <c r="B380">
        <v>1.1061763763427734</v>
      </c>
    </row>
    <row r="381" spans="1:2" x14ac:dyDescent="0.25">
      <c r="A381">
        <v>3.1623505055904388E-2</v>
      </c>
      <c r="B381">
        <v>1.2686172723770142</v>
      </c>
    </row>
    <row r="382" spans="1:2" x14ac:dyDescent="0.25">
      <c r="A382">
        <v>3.2346300780773163E-2</v>
      </c>
      <c r="B382">
        <v>1.1246041059494019</v>
      </c>
    </row>
    <row r="383" spans="1:2" x14ac:dyDescent="0.25">
      <c r="A383">
        <v>2.9306992888450623E-2</v>
      </c>
      <c r="B383">
        <v>1.0797786712646484</v>
      </c>
    </row>
    <row r="384" spans="1:2" x14ac:dyDescent="0.25">
      <c r="A384">
        <v>2.7748763561248779E-2</v>
      </c>
      <c r="B384">
        <v>0.46517938375473022</v>
      </c>
    </row>
    <row r="385" spans="1:2" x14ac:dyDescent="0.25">
      <c r="A385">
        <v>2.6512643322348595E-2</v>
      </c>
      <c r="B385">
        <v>0.19457460939884186</v>
      </c>
    </row>
    <row r="386" spans="1:2" x14ac:dyDescent="0.25">
      <c r="A386">
        <v>2.8240684419870377E-2</v>
      </c>
      <c r="B386">
        <v>9.3042686581611633E-2</v>
      </c>
    </row>
    <row r="387" spans="1:2" x14ac:dyDescent="0.25">
      <c r="A387">
        <v>3.187083825469017E-2</v>
      </c>
      <c r="B387">
        <v>6.9173291325569153E-2</v>
      </c>
    </row>
    <row r="388" spans="1:2" x14ac:dyDescent="0.25">
      <c r="A388">
        <v>3.1153192743659019E-2</v>
      </c>
      <c r="B388">
        <v>7.7918559312820435E-2</v>
      </c>
    </row>
    <row r="389" spans="1:2" x14ac:dyDescent="0.25">
      <c r="A389">
        <v>3.1779222190380096E-2</v>
      </c>
      <c r="B389">
        <v>0.36009663343429565</v>
      </c>
    </row>
    <row r="390" spans="1:2" x14ac:dyDescent="0.25">
      <c r="A390">
        <v>3.0058654025197029E-2</v>
      </c>
      <c r="B390">
        <v>0.78799623250961304</v>
      </c>
    </row>
    <row r="391" spans="1:2" x14ac:dyDescent="0.25">
      <c r="A391">
        <v>3.3191308379173279E-2</v>
      </c>
      <c r="B391">
        <v>0.1703125536441803</v>
      </c>
    </row>
    <row r="392" spans="1:2" x14ac:dyDescent="0.25">
      <c r="A392">
        <v>3.333146870136261E-2</v>
      </c>
      <c r="B392">
        <v>0.12859480082988739</v>
      </c>
    </row>
    <row r="393" spans="1:2" x14ac:dyDescent="0.25">
      <c r="A393">
        <v>0.12058822810649872</v>
      </c>
      <c r="B393">
        <v>2.3800697326660156</v>
      </c>
    </row>
    <row r="394" spans="1:2" x14ac:dyDescent="0.25">
      <c r="A394">
        <v>2.9873155057430267E-2</v>
      </c>
      <c r="B394">
        <v>1.3970366716384888</v>
      </c>
    </row>
    <row r="395" spans="1:2" x14ac:dyDescent="0.25">
      <c r="A395">
        <v>3.4838959574699402E-2</v>
      </c>
      <c r="B395">
        <v>0.49272269010543823</v>
      </c>
    </row>
    <row r="396" spans="1:2" x14ac:dyDescent="0.25">
      <c r="A396">
        <v>3.2775849103927612E-2</v>
      </c>
      <c r="B396">
        <v>0.50529372692108154</v>
      </c>
    </row>
    <row r="397" spans="1:2" x14ac:dyDescent="0.25">
      <c r="A397">
        <v>3.3279076218605042E-2</v>
      </c>
      <c r="B397">
        <v>0.6501624584197998</v>
      </c>
    </row>
    <row r="398" spans="1:2" x14ac:dyDescent="0.25">
      <c r="A398">
        <v>3.1843475997447968E-2</v>
      </c>
      <c r="B398">
        <v>0.61597758531570435</v>
      </c>
    </row>
    <row r="399" spans="1:2" x14ac:dyDescent="0.25">
      <c r="A399">
        <v>3.279326856136322E-2</v>
      </c>
      <c r="B399">
        <v>0.79343819618225098</v>
      </c>
    </row>
    <row r="400" spans="1:2" x14ac:dyDescent="0.25">
      <c r="A400">
        <v>3.4635510295629501E-2</v>
      </c>
      <c r="B400">
        <v>0.79153603315353394</v>
      </c>
    </row>
    <row r="401" spans="1:2" x14ac:dyDescent="0.25">
      <c r="A401">
        <v>3.0125388875603676E-2</v>
      </c>
      <c r="B401">
        <v>1.0370098352432251</v>
      </c>
    </row>
    <row r="402" spans="1:2" x14ac:dyDescent="0.25">
      <c r="A402">
        <v>3.2809097319841385E-2</v>
      </c>
      <c r="B402">
        <v>0.98891347646713257</v>
      </c>
    </row>
    <row r="403" spans="1:2" x14ac:dyDescent="0.25">
      <c r="A403">
        <v>3.2214432954788208E-2</v>
      </c>
      <c r="B403">
        <v>1.2590351104736328</v>
      </c>
    </row>
    <row r="404" spans="1:2" x14ac:dyDescent="0.25">
      <c r="A404">
        <v>3.1598329544067383E-2</v>
      </c>
      <c r="B404">
        <v>1.0734469890594482</v>
      </c>
    </row>
    <row r="405" spans="1:2" x14ac:dyDescent="0.25">
      <c r="A405">
        <v>3.2753627747297287E-2</v>
      </c>
      <c r="B405">
        <v>1.2603269815444946</v>
      </c>
    </row>
    <row r="406" spans="1:2" x14ac:dyDescent="0.25">
      <c r="A406">
        <v>3.0339179560542107E-2</v>
      </c>
      <c r="B406">
        <v>1.1482961177825928</v>
      </c>
    </row>
    <row r="407" spans="1:2" x14ac:dyDescent="0.25">
      <c r="A407">
        <v>3.2193742692470551E-2</v>
      </c>
      <c r="B407">
        <v>1.2681254148483276</v>
      </c>
    </row>
    <row r="408" spans="1:2" x14ac:dyDescent="0.25">
      <c r="A408">
        <v>3.1017035245895386E-2</v>
      </c>
      <c r="B408">
        <v>0.91941702365875244</v>
      </c>
    </row>
    <row r="409" spans="1:2" x14ac:dyDescent="0.25">
      <c r="A409">
        <v>2.9719484969973564E-2</v>
      </c>
      <c r="B409">
        <v>0.60913246870040894</v>
      </c>
    </row>
    <row r="410" spans="1:2" x14ac:dyDescent="0.25">
      <c r="A410">
        <v>2.3849591612815857E-2</v>
      </c>
      <c r="B410">
        <v>0.25331327319145203</v>
      </c>
    </row>
    <row r="411" spans="1:2" x14ac:dyDescent="0.25">
      <c r="A411">
        <v>2.9230482876300812E-2</v>
      </c>
      <c r="B411">
        <v>0.15575022995471954</v>
      </c>
    </row>
    <row r="412" spans="1:2" x14ac:dyDescent="0.25">
      <c r="A412">
        <v>3.0363127589225769E-2</v>
      </c>
      <c r="B412">
        <v>7.5591176748275757E-2</v>
      </c>
    </row>
    <row r="413" spans="1:2" x14ac:dyDescent="0.25">
      <c r="A413">
        <v>3.2610941678285599E-2</v>
      </c>
      <c r="B413">
        <v>0.1430874764919281</v>
      </c>
    </row>
    <row r="414" spans="1:2" x14ac:dyDescent="0.25">
      <c r="A414">
        <v>3.0382130295038223E-2</v>
      </c>
      <c r="B414">
        <v>0.1309640109539032</v>
      </c>
    </row>
    <row r="415" spans="1:2" x14ac:dyDescent="0.25">
      <c r="A415">
        <v>3.5480104386806488E-2</v>
      </c>
      <c r="B415">
        <v>0.12049628049135208</v>
      </c>
    </row>
    <row r="416" spans="1:2" x14ac:dyDescent="0.25">
      <c r="A416">
        <v>3.430822491645813E-2</v>
      </c>
      <c r="B416">
        <v>0.18960033357143402</v>
      </c>
    </row>
    <row r="417" spans="1:2" x14ac:dyDescent="0.25">
      <c r="A417">
        <v>0.11812226474285126</v>
      </c>
      <c r="B417">
        <v>2.2372262477874756</v>
      </c>
    </row>
    <row r="418" spans="1:2" x14ac:dyDescent="0.25">
      <c r="A418">
        <v>3.541010245680809E-2</v>
      </c>
      <c r="B418">
        <v>2.1613185405731201</v>
      </c>
    </row>
    <row r="419" spans="1:2" x14ac:dyDescent="0.25">
      <c r="A419">
        <v>3.3658921718597412E-2</v>
      </c>
      <c r="B419">
        <v>0.70918667316436768</v>
      </c>
    </row>
    <row r="420" spans="1:2" x14ac:dyDescent="0.25">
      <c r="A420">
        <v>3.4878578037023544E-2</v>
      </c>
      <c r="B420">
        <v>0.65839582681655884</v>
      </c>
    </row>
    <row r="421" spans="1:2" x14ac:dyDescent="0.25">
      <c r="A421">
        <v>3.4471958875656128E-2</v>
      </c>
      <c r="B421">
        <v>0.79491579532623291</v>
      </c>
    </row>
    <row r="422" spans="1:2" x14ac:dyDescent="0.25">
      <c r="A422">
        <v>3.2467592507600784E-2</v>
      </c>
      <c r="B422">
        <v>0.71413403749465942</v>
      </c>
    </row>
    <row r="423" spans="1:2" x14ac:dyDescent="0.25">
      <c r="A423">
        <v>3.1714774668216705E-2</v>
      </c>
      <c r="B423">
        <v>0.84179830551147461</v>
      </c>
    </row>
    <row r="424" spans="1:2" x14ac:dyDescent="0.25">
      <c r="A424">
        <v>3.2454617321491241E-2</v>
      </c>
      <c r="B424">
        <v>0.71617215871810913</v>
      </c>
    </row>
    <row r="425" spans="1:2" x14ac:dyDescent="0.25">
      <c r="A425">
        <v>3.3447422087192535E-2</v>
      </c>
      <c r="B425">
        <v>0.85410571098327637</v>
      </c>
    </row>
    <row r="426" spans="1:2" x14ac:dyDescent="0.25">
      <c r="A426">
        <v>3.1651940196752548E-2</v>
      </c>
      <c r="B426">
        <v>0.71521973609924316</v>
      </c>
    </row>
    <row r="427" spans="1:2" x14ac:dyDescent="0.25">
      <c r="A427">
        <v>3.3808764070272446E-2</v>
      </c>
      <c r="B427">
        <v>0.84391212463378906</v>
      </c>
    </row>
    <row r="428" spans="1:2" x14ac:dyDescent="0.25">
      <c r="A428">
        <v>3.2614231109619141E-2</v>
      </c>
      <c r="B428">
        <v>0.81437301635742188</v>
      </c>
    </row>
    <row r="429" spans="1:2" x14ac:dyDescent="0.25">
      <c r="A429">
        <v>3.1799912452697754E-2</v>
      </c>
      <c r="B429">
        <v>0.96329319477081299</v>
      </c>
    </row>
    <row r="430" spans="1:2" x14ac:dyDescent="0.25">
      <c r="A430">
        <v>3.3101137727499008E-2</v>
      </c>
      <c r="B430">
        <v>0.92703872919082642</v>
      </c>
    </row>
    <row r="431" spans="1:2" x14ac:dyDescent="0.25">
      <c r="A431">
        <v>3.1292784959077835E-2</v>
      </c>
      <c r="B431">
        <v>1.0915641784667969</v>
      </c>
    </row>
    <row r="432" spans="1:2" x14ac:dyDescent="0.25">
      <c r="A432">
        <v>2.9243927448987961E-2</v>
      </c>
      <c r="B432">
        <v>0.70993173122406006</v>
      </c>
    </row>
    <row r="433" spans="1:2" x14ac:dyDescent="0.25">
      <c r="A433">
        <v>2.5902295485138893E-2</v>
      </c>
      <c r="B433">
        <v>0.37745517492294312</v>
      </c>
    </row>
    <row r="434" spans="1:2" x14ac:dyDescent="0.25">
      <c r="A434">
        <v>2.2679010406136513E-2</v>
      </c>
      <c r="B434">
        <v>0.10727463662624359</v>
      </c>
    </row>
    <row r="435" spans="1:2" x14ac:dyDescent="0.25">
      <c r="A435">
        <v>3.3720739185810089E-2</v>
      </c>
      <c r="B435">
        <v>5.8688599616289139E-2</v>
      </c>
    </row>
    <row r="436" spans="1:2" x14ac:dyDescent="0.25">
      <c r="A436">
        <v>3.125401958823204E-2</v>
      </c>
      <c r="B436">
        <v>9.4566389918327332E-2</v>
      </c>
    </row>
    <row r="437" spans="1:2" x14ac:dyDescent="0.25">
      <c r="A437">
        <v>3.26215960085392E-2</v>
      </c>
      <c r="B437">
        <v>0.34582188725471497</v>
      </c>
    </row>
    <row r="438" spans="1:2" x14ac:dyDescent="0.25">
      <c r="A438">
        <v>3.0988646671175957E-2</v>
      </c>
      <c r="B438">
        <v>0.81876218318939209</v>
      </c>
    </row>
    <row r="439" spans="1:2" x14ac:dyDescent="0.25">
      <c r="A439">
        <v>3.1683862209320068E-2</v>
      </c>
      <c r="B439">
        <v>0.10218825191259384</v>
      </c>
    </row>
    <row r="440" spans="1:2" x14ac:dyDescent="0.25">
      <c r="A440">
        <v>3.4581057727336884E-2</v>
      </c>
      <c r="B440">
        <v>0.13666777312755585</v>
      </c>
    </row>
    <row r="441" spans="1:2" x14ac:dyDescent="0.25">
      <c r="A441">
        <v>0.13544771075248718</v>
      </c>
      <c r="B441">
        <v>2.4260265827178955</v>
      </c>
    </row>
    <row r="442" spans="1:2" x14ac:dyDescent="0.25">
      <c r="A442">
        <v>8.807314932346344E-2</v>
      </c>
      <c r="B442">
        <v>1.4092404842376709</v>
      </c>
    </row>
    <row r="443" spans="1:2" x14ac:dyDescent="0.25">
      <c r="A443">
        <v>3.4128285944461823E-2</v>
      </c>
      <c r="B443">
        <v>0.36894491314888</v>
      </c>
    </row>
    <row r="444" spans="1:2" x14ac:dyDescent="0.25">
      <c r="A444">
        <v>3.4181941300630569E-2</v>
      </c>
      <c r="B444">
        <v>0.41766032576560974</v>
      </c>
    </row>
    <row r="445" spans="1:2" x14ac:dyDescent="0.25">
      <c r="A445">
        <v>3.8190271705389023E-2</v>
      </c>
      <c r="B445">
        <v>0.45760583877563477</v>
      </c>
    </row>
    <row r="446" spans="1:2" x14ac:dyDescent="0.25">
      <c r="A446">
        <v>3.6762069910764694E-2</v>
      </c>
      <c r="B446">
        <v>0.50243628025054932</v>
      </c>
    </row>
    <row r="447" spans="1:2" x14ac:dyDescent="0.25">
      <c r="A447">
        <v>3.7251371890306473E-2</v>
      </c>
      <c r="B447">
        <v>0.64522635936737061</v>
      </c>
    </row>
    <row r="448" spans="1:2" x14ac:dyDescent="0.25">
      <c r="A448">
        <v>3.7425808608531952E-2</v>
      </c>
      <c r="B448">
        <v>0.63596439361572266</v>
      </c>
    </row>
    <row r="449" spans="1:2" x14ac:dyDescent="0.25">
      <c r="A449">
        <v>3.7570267915725708E-2</v>
      </c>
      <c r="B449">
        <v>0.75064933300018311</v>
      </c>
    </row>
    <row r="450" spans="1:2" x14ac:dyDescent="0.25">
      <c r="A450">
        <v>3.6053869873285294E-2</v>
      </c>
      <c r="B450">
        <v>0.63749641180038452</v>
      </c>
    </row>
    <row r="451" spans="1:2" x14ac:dyDescent="0.25">
      <c r="A451">
        <v>3.4877754747867584E-2</v>
      </c>
      <c r="B451">
        <v>0.60216963291168213</v>
      </c>
    </row>
    <row r="452" spans="1:2" x14ac:dyDescent="0.25">
      <c r="A452">
        <v>3.6472253501415253E-2</v>
      </c>
      <c r="B452">
        <v>0.45175537467002869</v>
      </c>
    </row>
    <row r="453" spans="1:2" x14ac:dyDescent="0.25">
      <c r="A453">
        <v>3.6486316472291946E-2</v>
      </c>
      <c r="B453">
        <v>0.50607436895370483</v>
      </c>
    </row>
    <row r="454" spans="1:2" x14ac:dyDescent="0.25">
      <c r="A454">
        <v>3.638589009642601E-2</v>
      </c>
      <c r="B454">
        <v>0.35169479250907898</v>
      </c>
    </row>
    <row r="455" spans="1:2" x14ac:dyDescent="0.25">
      <c r="A455">
        <v>3.6538727581501007E-2</v>
      </c>
      <c r="B455">
        <v>0.21106560528278351</v>
      </c>
    </row>
    <row r="456" spans="1:2" x14ac:dyDescent="0.25">
      <c r="A456">
        <v>3.298351913690567E-2</v>
      </c>
      <c r="B456">
        <v>0.1502692699432373</v>
      </c>
    </row>
    <row r="457" spans="1:2" x14ac:dyDescent="0.25">
      <c r="A457">
        <v>3.6056816577911377E-2</v>
      </c>
      <c r="B457">
        <v>0.19895625114440918</v>
      </c>
    </row>
    <row r="458" spans="1:2" x14ac:dyDescent="0.25">
      <c r="A458">
        <v>3.1887762248516083E-2</v>
      </c>
      <c r="B458">
        <v>9.253857284784317E-2</v>
      </c>
    </row>
    <row r="459" spans="1:2" x14ac:dyDescent="0.25">
      <c r="A459">
        <v>3.7860047072172165E-2</v>
      </c>
      <c r="B459">
        <v>6.0049775987863541E-2</v>
      </c>
    </row>
    <row r="460" spans="1:2" x14ac:dyDescent="0.25">
      <c r="A460">
        <v>3.6858230829238892E-2</v>
      </c>
      <c r="B460">
        <v>0.17687278985977173</v>
      </c>
    </row>
    <row r="461" spans="1:2" x14ac:dyDescent="0.25">
      <c r="A461">
        <v>3.6441728472709656E-2</v>
      </c>
      <c r="B461">
        <v>5.0103399902582169E-2</v>
      </c>
    </row>
    <row r="462" spans="1:2" x14ac:dyDescent="0.25">
      <c r="A462">
        <v>3.5914178937673569E-2</v>
      </c>
      <c r="B462">
        <v>2.1377546712756157E-2</v>
      </c>
    </row>
    <row r="463" spans="1:2" x14ac:dyDescent="0.25">
      <c r="A463">
        <v>3.6489374935626984E-2</v>
      </c>
      <c r="B463">
        <v>6.8013961426913738E-3</v>
      </c>
    </row>
    <row r="464" spans="1:2" x14ac:dyDescent="0.25">
      <c r="A464">
        <v>3.5414416342973709E-2</v>
      </c>
      <c r="B464">
        <v>9.1615570709109306E-3</v>
      </c>
    </row>
    <row r="465" spans="1:2" x14ac:dyDescent="0.25">
      <c r="A465">
        <v>0.15201175212860107</v>
      </c>
      <c r="B465">
        <v>2.3259320259094238</v>
      </c>
    </row>
    <row r="466" spans="1:2" x14ac:dyDescent="0.25">
      <c r="A466">
        <v>0.10688366740942001</v>
      </c>
      <c r="B466">
        <v>1.2990262508392334</v>
      </c>
    </row>
    <row r="467" spans="1:2" x14ac:dyDescent="0.25">
      <c r="A467">
        <v>0.19244661927223206</v>
      </c>
      <c r="B467">
        <v>0.14525127410888672</v>
      </c>
    </row>
    <row r="468" spans="1:2" x14ac:dyDescent="0.25">
      <c r="A468">
        <v>0.11588586866855621</v>
      </c>
      <c r="B468">
        <v>0.12927450239658356</v>
      </c>
    </row>
    <row r="469" spans="1:2" x14ac:dyDescent="0.25">
      <c r="A469">
        <v>4.4962175190448761E-2</v>
      </c>
      <c r="B469">
        <v>0.16421541571617126</v>
      </c>
    </row>
    <row r="470" spans="1:2" x14ac:dyDescent="0.25">
      <c r="A470">
        <v>0.24434074759483337</v>
      </c>
      <c r="B470">
        <v>0.17694458365440369</v>
      </c>
    </row>
    <row r="471" spans="1:2" x14ac:dyDescent="0.25">
      <c r="A471">
        <v>0.17172655463218689</v>
      </c>
      <c r="B471">
        <v>0.52621257305145264</v>
      </c>
    </row>
    <row r="472" spans="1:2" x14ac:dyDescent="0.25">
      <c r="A472">
        <v>0.18272815644741058</v>
      </c>
      <c r="B472">
        <v>1.3669447898864746</v>
      </c>
    </row>
    <row r="473" spans="1:2" x14ac:dyDescent="0.25">
      <c r="A473">
        <v>0.1152326688170433</v>
      </c>
      <c r="B473">
        <v>1.8336567878723145</v>
      </c>
    </row>
    <row r="474" spans="1:2" x14ac:dyDescent="0.25">
      <c r="A474">
        <v>0.13809894025325775</v>
      </c>
      <c r="B474">
        <v>2.4162788391113281</v>
      </c>
    </row>
    <row r="475" spans="1:2" x14ac:dyDescent="0.25">
      <c r="A475">
        <v>0.13700829446315765</v>
      </c>
      <c r="B475">
        <v>3.3958125114440918</v>
      </c>
    </row>
    <row r="476" spans="1:2" x14ac:dyDescent="0.25">
      <c r="A476">
        <v>0.16149593889713287</v>
      </c>
      <c r="B476">
        <v>3.2560245990753174</v>
      </c>
    </row>
    <row r="477" spans="1:2" x14ac:dyDescent="0.25">
      <c r="A477">
        <v>0.14168982207775116</v>
      </c>
      <c r="B477">
        <v>3.3940839767456055</v>
      </c>
    </row>
    <row r="478" spans="1:2" x14ac:dyDescent="0.25">
      <c r="A478">
        <v>0.3363279402256012</v>
      </c>
      <c r="B478">
        <v>3.1112074851989746</v>
      </c>
    </row>
    <row r="479" spans="1:2" x14ac:dyDescent="0.25">
      <c r="A479">
        <v>0.34915924072265625</v>
      </c>
      <c r="B479">
        <v>2.4858376979827881</v>
      </c>
    </row>
    <row r="480" spans="1:2" x14ac:dyDescent="0.25">
      <c r="A480">
        <v>0.34241011738777161</v>
      </c>
      <c r="B480">
        <v>1.2841250896453857</v>
      </c>
    </row>
    <row r="481" spans="1:2" x14ac:dyDescent="0.25">
      <c r="A481">
        <v>0.3290078341960907</v>
      </c>
      <c r="B481">
        <v>0.88865715265274048</v>
      </c>
    </row>
    <row r="482" spans="1:2" x14ac:dyDescent="0.25">
      <c r="A482">
        <v>8.1820204854011536E-2</v>
      </c>
      <c r="B482">
        <v>0.27817919850349426</v>
      </c>
    </row>
    <row r="483" spans="1:2" x14ac:dyDescent="0.25">
      <c r="A483">
        <v>2.4312660098075867E-2</v>
      </c>
      <c r="B483">
        <v>0.11690106987953186</v>
      </c>
    </row>
    <row r="484" spans="1:2" x14ac:dyDescent="0.25">
      <c r="A484">
        <v>3.7862673401832581E-2</v>
      </c>
      <c r="B484">
        <v>8.3120636641979218E-2</v>
      </c>
    </row>
    <row r="485" spans="1:2" x14ac:dyDescent="0.25">
      <c r="A485">
        <v>3.9250902831554413E-2</v>
      </c>
      <c r="B485">
        <v>0.35018903017044067</v>
      </c>
    </row>
    <row r="486" spans="1:2" x14ac:dyDescent="0.25">
      <c r="A486">
        <v>3.6077242344617844E-2</v>
      </c>
      <c r="B486">
        <v>0.77811092138290405</v>
      </c>
    </row>
    <row r="487" spans="1:2" x14ac:dyDescent="0.25">
      <c r="A487">
        <v>3.65634486079216E-2</v>
      </c>
      <c r="B487">
        <v>0.14711195230484009</v>
      </c>
    </row>
    <row r="488" spans="1:2" x14ac:dyDescent="0.25">
      <c r="A488">
        <v>3.5636924207210541E-2</v>
      </c>
      <c r="B488">
        <v>0.10642112791538239</v>
      </c>
    </row>
    <row r="489" spans="1:2" x14ac:dyDescent="0.25">
      <c r="A489">
        <v>0.1481853574514389</v>
      </c>
      <c r="B489">
        <v>2.4117839336395264</v>
      </c>
    </row>
    <row r="490" spans="1:2" x14ac:dyDescent="0.25">
      <c r="A490">
        <v>5.0189416855573654E-2</v>
      </c>
      <c r="B490">
        <v>1.2390156984329224</v>
      </c>
    </row>
    <row r="491" spans="1:2" x14ac:dyDescent="0.25">
      <c r="A491">
        <v>3.6682635545730591E-2</v>
      </c>
      <c r="B491">
        <v>0.15138585865497589</v>
      </c>
    </row>
    <row r="492" spans="1:2" x14ac:dyDescent="0.25">
      <c r="A492">
        <v>1.9407838582992554E-2</v>
      </c>
      <c r="B492">
        <v>0.10394823551177979</v>
      </c>
    </row>
    <row r="493" spans="1:2" x14ac:dyDescent="0.25">
      <c r="A493">
        <v>1.1512371711432934E-2</v>
      </c>
      <c r="B493">
        <v>0.19778090715408325</v>
      </c>
    </row>
    <row r="494" spans="1:2" x14ac:dyDescent="0.25">
      <c r="A494">
        <v>1.3484722003340721E-2</v>
      </c>
      <c r="B494">
        <v>0.31640252470970154</v>
      </c>
    </row>
    <row r="495" spans="1:2" x14ac:dyDescent="0.25">
      <c r="A495">
        <v>1.0816721245646477E-2</v>
      </c>
      <c r="B495">
        <v>0.51315397024154663</v>
      </c>
    </row>
    <row r="496" spans="1:2" x14ac:dyDescent="0.25">
      <c r="A496">
        <v>1.2354055419564247E-2</v>
      </c>
      <c r="B496">
        <v>0.5145295262336731</v>
      </c>
    </row>
    <row r="497" spans="1:2" x14ac:dyDescent="0.25">
      <c r="A497">
        <v>1.3579928316175938E-2</v>
      </c>
      <c r="B497">
        <v>0.69019889831542969</v>
      </c>
    </row>
    <row r="498" spans="1:2" x14ac:dyDescent="0.25">
      <c r="A498">
        <v>1.2109224684536457E-2</v>
      </c>
      <c r="B498">
        <v>0.58208280801773071</v>
      </c>
    </row>
    <row r="499" spans="1:2" x14ac:dyDescent="0.25">
      <c r="A499">
        <v>1.2736789882183075E-2</v>
      </c>
      <c r="B499">
        <v>0.58576613664627075</v>
      </c>
    </row>
    <row r="500" spans="1:2" x14ac:dyDescent="0.25">
      <c r="A500">
        <v>1.2159809470176697E-2</v>
      </c>
      <c r="B500">
        <v>0.52812212705612183</v>
      </c>
    </row>
    <row r="501" spans="1:2" x14ac:dyDescent="0.25">
      <c r="A501">
        <v>1.3353957794606686E-2</v>
      </c>
      <c r="B501">
        <v>0.69866037368774414</v>
      </c>
    </row>
    <row r="502" spans="1:2" x14ac:dyDescent="0.25">
      <c r="A502">
        <v>1.2633339501917362E-2</v>
      </c>
      <c r="B502">
        <v>0.59658902883529663</v>
      </c>
    </row>
    <row r="503" spans="1:2" x14ac:dyDescent="0.25">
      <c r="A503">
        <v>1.0991139337420464E-2</v>
      </c>
      <c r="B503">
        <v>0.73790311813354492</v>
      </c>
    </row>
    <row r="504" spans="1:2" x14ac:dyDescent="0.25">
      <c r="A504">
        <v>1.0573637671768665E-2</v>
      </c>
      <c r="B504">
        <v>0.38389644026756287</v>
      </c>
    </row>
    <row r="505" spans="1:2" x14ac:dyDescent="0.25">
      <c r="A505">
        <v>6.4368029125034809E-3</v>
      </c>
      <c r="B505">
        <v>0.1873544305562973</v>
      </c>
    </row>
    <row r="506" spans="1:2" x14ac:dyDescent="0.25">
      <c r="A506">
        <v>7.2301942855119705E-3</v>
      </c>
      <c r="B506">
        <v>0.12800267338752747</v>
      </c>
    </row>
    <row r="507" spans="1:2" x14ac:dyDescent="0.25">
      <c r="A507">
        <v>1.1414231732487679E-2</v>
      </c>
      <c r="B507">
        <v>0.13372112810611725</v>
      </c>
    </row>
    <row r="508" spans="1:2" x14ac:dyDescent="0.25">
      <c r="A508">
        <v>1.193280890583992E-2</v>
      </c>
      <c r="B508">
        <v>0.10074153542518616</v>
      </c>
    </row>
    <row r="509" spans="1:2" x14ac:dyDescent="0.25">
      <c r="A509">
        <v>1.4091168530285358E-2</v>
      </c>
      <c r="B509">
        <v>7.5493447482585907E-2</v>
      </c>
    </row>
    <row r="510" spans="1:2" x14ac:dyDescent="0.25">
      <c r="A510">
        <v>1.2163311243057251E-2</v>
      </c>
      <c r="B510">
        <v>0.13722540438175201</v>
      </c>
    </row>
    <row r="511" spans="1:2" x14ac:dyDescent="0.25">
      <c r="A511">
        <v>1.1438366957008839E-2</v>
      </c>
      <c r="B511">
        <v>0.13903732597827911</v>
      </c>
    </row>
    <row r="512" spans="1:2" x14ac:dyDescent="0.25">
      <c r="A512">
        <v>1.4238933101296425E-2</v>
      </c>
      <c r="B512">
        <v>0.12708044052124023</v>
      </c>
    </row>
    <row r="513" spans="1:2" x14ac:dyDescent="0.25">
      <c r="A513">
        <v>0.10430885851383209</v>
      </c>
      <c r="B513">
        <v>2.4562923908233643</v>
      </c>
    </row>
    <row r="514" spans="1:2" x14ac:dyDescent="0.25">
      <c r="A514">
        <v>1.5830624848604202E-2</v>
      </c>
      <c r="B514">
        <v>4.0683040618896484</v>
      </c>
    </row>
    <row r="515" spans="1:2" x14ac:dyDescent="0.25">
      <c r="A515">
        <v>1.2184817343950272E-2</v>
      </c>
      <c r="B515">
        <v>2.2438077926635742</v>
      </c>
    </row>
    <row r="516" spans="1:2" x14ac:dyDescent="0.25">
      <c r="A516">
        <v>1.2951814569532871E-2</v>
      </c>
      <c r="B516">
        <v>0.64778274297714233</v>
      </c>
    </row>
    <row r="517" spans="1:2" x14ac:dyDescent="0.25">
      <c r="A517">
        <v>1.0609366931021214E-2</v>
      </c>
      <c r="B517">
        <v>0.7632516622543335</v>
      </c>
    </row>
    <row r="518" spans="1:2" x14ac:dyDescent="0.25">
      <c r="A518">
        <v>1.2482417747378349E-2</v>
      </c>
      <c r="B518">
        <v>0.70313405990600586</v>
      </c>
    </row>
    <row r="519" spans="1:2" x14ac:dyDescent="0.25">
      <c r="A519">
        <v>1.1481602676212788E-2</v>
      </c>
      <c r="B519">
        <v>0.66778969764709473</v>
      </c>
    </row>
    <row r="520" spans="1:2" x14ac:dyDescent="0.25">
      <c r="A520">
        <v>1.178925484418869E-2</v>
      </c>
      <c r="B520">
        <v>0.41473224759101868</v>
      </c>
    </row>
    <row r="521" spans="1:2" x14ac:dyDescent="0.25">
      <c r="A521">
        <v>1.294241938740015E-2</v>
      </c>
      <c r="B521">
        <v>0.71090376377105713</v>
      </c>
    </row>
    <row r="522" spans="1:2" x14ac:dyDescent="0.25">
      <c r="A522">
        <v>1.2183208949863911E-2</v>
      </c>
      <c r="B522">
        <v>0.62514036893844604</v>
      </c>
    </row>
    <row r="523" spans="1:2" x14ac:dyDescent="0.25">
      <c r="A523">
        <v>1.2941691093146801E-2</v>
      </c>
      <c r="B523">
        <v>0.79853838682174683</v>
      </c>
    </row>
    <row r="524" spans="1:2" x14ac:dyDescent="0.25">
      <c r="A524">
        <v>1.1683840304613113E-2</v>
      </c>
      <c r="B524">
        <v>0.79754489660263062</v>
      </c>
    </row>
    <row r="525" spans="1:2" x14ac:dyDescent="0.25">
      <c r="A525">
        <v>1.2454901821911335E-2</v>
      </c>
      <c r="B525">
        <v>0.89448279142379761</v>
      </c>
    </row>
    <row r="526" spans="1:2" x14ac:dyDescent="0.25">
      <c r="A526">
        <v>1.3191137462854385E-2</v>
      </c>
      <c r="B526">
        <v>0.74613994359970093</v>
      </c>
    </row>
    <row r="527" spans="1:2" x14ac:dyDescent="0.25">
      <c r="A527">
        <v>1.2039381079375744E-2</v>
      </c>
      <c r="B527">
        <v>0.82772785425186157</v>
      </c>
    </row>
    <row r="528" spans="1:2" x14ac:dyDescent="0.25">
      <c r="A528">
        <v>9.986179880797863E-3</v>
      </c>
      <c r="B528">
        <v>0.66739588975906372</v>
      </c>
    </row>
    <row r="529" spans="1:2" x14ac:dyDescent="0.25">
      <c r="A529">
        <v>1.0729080997407436E-2</v>
      </c>
      <c r="B529">
        <v>0.62646883726119995</v>
      </c>
    </row>
    <row r="530" spans="1:2" x14ac:dyDescent="0.25">
      <c r="A530">
        <v>6.6750152036547661E-3</v>
      </c>
      <c r="B530">
        <v>0.21094037592411041</v>
      </c>
    </row>
    <row r="531" spans="1:2" x14ac:dyDescent="0.25">
      <c r="A531">
        <v>4.6898615546524525E-3</v>
      </c>
      <c r="B531">
        <v>0.13210225105285645</v>
      </c>
    </row>
    <row r="532" spans="1:2" x14ac:dyDescent="0.25">
      <c r="A532">
        <v>1.2223896570503712E-2</v>
      </c>
      <c r="B532">
        <v>0.1805042028427124</v>
      </c>
    </row>
    <row r="533" spans="1:2" x14ac:dyDescent="0.25">
      <c r="A533">
        <v>1.6265952959656715E-2</v>
      </c>
      <c r="B533">
        <v>0.30509448051452637</v>
      </c>
    </row>
    <row r="534" spans="1:2" x14ac:dyDescent="0.25">
      <c r="A534">
        <v>1.169949397444725E-2</v>
      </c>
      <c r="B534">
        <v>0.77355831861495972</v>
      </c>
    </row>
    <row r="535" spans="1:2" x14ac:dyDescent="0.25">
      <c r="A535">
        <v>1.3351943343877792E-2</v>
      </c>
      <c r="B535">
        <v>0.15725593268871307</v>
      </c>
    </row>
    <row r="536" spans="1:2" x14ac:dyDescent="0.25">
      <c r="A536">
        <v>1.47529486566782E-2</v>
      </c>
      <c r="B536">
        <v>0.11900731921195984</v>
      </c>
    </row>
    <row r="537" spans="1:2" x14ac:dyDescent="0.25">
      <c r="A537">
        <v>0.12098152935504913</v>
      </c>
      <c r="B537">
        <v>2.3692946434020996</v>
      </c>
    </row>
    <row r="538" spans="1:2" x14ac:dyDescent="0.25">
      <c r="A538">
        <v>9.7151044756174088E-3</v>
      </c>
      <c r="B538">
        <v>1.4390546083450317</v>
      </c>
    </row>
    <row r="539" spans="1:2" x14ac:dyDescent="0.25">
      <c r="A539">
        <v>8.5454201325774193E-3</v>
      </c>
      <c r="B539">
        <v>6.022057056427002</v>
      </c>
    </row>
    <row r="540" spans="1:2" x14ac:dyDescent="0.25">
      <c r="A540">
        <v>1.2001928873360157E-2</v>
      </c>
      <c r="B540">
        <v>0.41379904747009277</v>
      </c>
    </row>
    <row r="541" spans="1:2" x14ac:dyDescent="0.25">
      <c r="A541">
        <v>1.4409512281417847E-2</v>
      </c>
      <c r="B541">
        <v>0.55682730674743652</v>
      </c>
    </row>
    <row r="542" spans="1:2" x14ac:dyDescent="0.25">
      <c r="A542">
        <v>1.1706376448273659E-2</v>
      </c>
      <c r="B542">
        <v>0.51381438970565796</v>
      </c>
    </row>
    <row r="543" spans="1:2" x14ac:dyDescent="0.25">
      <c r="A543">
        <v>1.2142963707447052E-2</v>
      </c>
      <c r="B543">
        <v>0.61225777864456177</v>
      </c>
    </row>
    <row r="544" spans="1:2" x14ac:dyDescent="0.25">
      <c r="A544">
        <v>1.2526104226708412E-2</v>
      </c>
      <c r="B544">
        <v>0.57234454154968262</v>
      </c>
    </row>
    <row r="545" spans="1:2" x14ac:dyDescent="0.25">
      <c r="A545">
        <v>1.1617249809205532E-2</v>
      </c>
      <c r="B545">
        <v>0.67192345857620239</v>
      </c>
    </row>
    <row r="546" spans="1:2" x14ac:dyDescent="0.25">
      <c r="A546">
        <v>1.2220744043588638E-2</v>
      </c>
      <c r="B546">
        <v>0.54669475555419922</v>
      </c>
    </row>
    <row r="547" spans="1:2" x14ac:dyDescent="0.25">
      <c r="A547">
        <v>1.2149892747402191E-2</v>
      </c>
      <c r="B547">
        <v>0.67714989185333252</v>
      </c>
    </row>
    <row r="548" spans="1:2" x14ac:dyDescent="0.25">
      <c r="A548">
        <v>1.1258438229560852E-2</v>
      </c>
      <c r="B548">
        <v>0.51769125461578369</v>
      </c>
    </row>
    <row r="549" spans="1:2" x14ac:dyDescent="0.25">
      <c r="A549">
        <v>1.2972180731594563E-2</v>
      </c>
      <c r="B549">
        <v>0.62110257148742676</v>
      </c>
    </row>
    <row r="550" spans="1:2" x14ac:dyDescent="0.25">
      <c r="A550">
        <v>1.1418811045587063E-2</v>
      </c>
      <c r="B550">
        <v>0.58226668834686279</v>
      </c>
    </row>
    <row r="551" spans="1:2" x14ac:dyDescent="0.25">
      <c r="A551">
        <v>1.1793212033808231E-2</v>
      </c>
      <c r="B551">
        <v>0.72458338737487793</v>
      </c>
    </row>
    <row r="552" spans="1:2" x14ac:dyDescent="0.25">
      <c r="A552">
        <v>1.1386393569409847E-2</v>
      </c>
      <c r="B552">
        <v>0.64435571432113647</v>
      </c>
    </row>
    <row r="553" spans="1:2" x14ac:dyDescent="0.25">
      <c r="A553">
        <v>1.07499985024333E-2</v>
      </c>
      <c r="B553">
        <v>0.66534429788589478</v>
      </c>
    </row>
    <row r="554" spans="1:2" x14ac:dyDescent="0.25">
      <c r="A554">
        <v>5.8695999905467033E-3</v>
      </c>
      <c r="B554">
        <v>0.1947091668844223</v>
      </c>
    </row>
    <row r="555" spans="1:2" x14ac:dyDescent="0.25">
      <c r="A555">
        <v>2.493642270565033E-3</v>
      </c>
      <c r="B555">
        <v>0.11387293040752411</v>
      </c>
    </row>
    <row r="556" spans="1:2" x14ac:dyDescent="0.25">
      <c r="A556">
        <v>1.1209247633814812E-2</v>
      </c>
      <c r="B556">
        <v>7.3918186128139496E-2</v>
      </c>
    </row>
    <row r="557" spans="1:2" x14ac:dyDescent="0.25">
      <c r="A557">
        <v>1.304327417165041E-2</v>
      </c>
      <c r="B557">
        <v>0.14478999376296997</v>
      </c>
    </row>
    <row r="558" spans="1:2" x14ac:dyDescent="0.25">
      <c r="A558">
        <v>1.2669319286942482E-2</v>
      </c>
      <c r="B558">
        <v>4.080512747168541E-2</v>
      </c>
    </row>
    <row r="559" spans="1:2" x14ac:dyDescent="0.25">
      <c r="A559">
        <v>1.2554424814879894E-2</v>
      </c>
      <c r="B559">
        <v>8.1887148320674896E-2</v>
      </c>
    </row>
    <row r="560" spans="1:2" x14ac:dyDescent="0.25">
      <c r="A560">
        <v>1.2204357422888279E-2</v>
      </c>
      <c r="B560">
        <v>6.6734261810779572E-2</v>
      </c>
    </row>
    <row r="561" spans="1:2" x14ac:dyDescent="0.25">
      <c r="A561">
        <v>0.12090354412794113</v>
      </c>
      <c r="B561">
        <v>2.4025087356567383</v>
      </c>
    </row>
    <row r="562" spans="1:2" x14ac:dyDescent="0.25">
      <c r="A562">
        <v>5.4595279507339001E-3</v>
      </c>
      <c r="B562">
        <v>1.3716371059417725</v>
      </c>
    </row>
    <row r="563" spans="1:2" x14ac:dyDescent="0.25">
      <c r="A563">
        <v>1.0408705100417137E-2</v>
      </c>
      <c r="B563">
        <v>0.18961101770401001</v>
      </c>
    </row>
    <row r="564" spans="1:2" x14ac:dyDescent="0.25">
      <c r="A564">
        <v>1.2537507340312004E-2</v>
      </c>
      <c r="B564">
        <v>0.14849604666233063</v>
      </c>
    </row>
    <row r="565" spans="1:2" x14ac:dyDescent="0.25">
      <c r="A565">
        <v>1.1877210810780525E-2</v>
      </c>
      <c r="B565">
        <v>0.23729056119918823</v>
      </c>
    </row>
    <row r="566" spans="1:2" x14ac:dyDescent="0.25">
      <c r="A566">
        <v>1.1841733939945698E-2</v>
      </c>
      <c r="B566">
        <v>0.2185240238904953</v>
      </c>
    </row>
    <row r="567" spans="1:2" x14ac:dyDescent="0.25">
      <c r="A567">
        <v>1.1814925819635391E-2</v>
      </c>
      <c r="B567">
        <v>0.28906425833702087</v>
      </c>
    </row>
    <row r="568" spans="1:2" x14ac:dyDescent="0.25">
      <c r="A568">
        <v>1.0607365518808365E-2</v>
      </c>
      <c r="B568">
        <v>0.28097212314605713</v>
      </c>
    </row>
    <row r="569" spans="1:2" x14ac:dyDescent="0.25">
      <c r="A569">
        <v>1.2580453418195248E-2</v>
      </c>
      <c r="B569">
        <v>0.27405878901481628</v>
      </c>
    </row>
    <row r="570" spans="1:2" x14ac:dyDescent="0.25">
      <c r="A570">
        <v>1.1754060164093971E-2</v>
      </c>
      <c r="B570">
        <v>0.25435203313827515</v>
      </c>
    </row>
    <row r="571" spans="1:2" x14ac:dyDescent="0.25">
      <c r="A571">
        <v>1.252251397818327E-2</v>
      </c>
      <c r="B571">
        <v>0.31010237336158752</v>
      </c>
    </row>
    <row r="572" spans="1:2" x14ac:dyDescent="0.25">
      <c r="A572">
        <v>1.3609531335532665E-2</v>
      </c>
      <c r="B572">
        <v>0.52150768041610718</v>
      </c>
    </row>
    <row r="573" spans="1:2" x14ac:dyDescent="0.25">
      <c r="A573">
        <v>1.1112880893051624E-2</v>
      </c>
      <c r="B573">
        <v>0.51473230123519897</v>
      </c>
    </row>
    <row r="574" spans="1:2" x14ac:dyDescent="0.25">
      <c r="A574">
        <v>1.1518552899360657E-2</v>
      </c>
      <c r="B574">
        <v>0.455363929271698</v>
      </c>
    </row>
    <row r="575" spans="1:2" x14ac:dyDescent="0.25">
      <c r="A575">
        <v>1.2055199593305588E-2</v>
      </c>
      <c r="B575">
        <v>0.56964105367660522</v>
      </c>
    </row>
    <row r="576" spans="1:2" x14ac:dyDescent="0.25">
      <c r="A576">
        <v>1.1295958422124386E-2</v>
      </c>
      <c r="B576">
        <v>0.47280409932136536</v>
      </c>
    </row>
    <row r="577" spans="1:2" x14ac:dyDescent="0.25">
      <c r="A577">
        <v>9.4730127602815628E-3</v>
      </c>
      <c r="B577">
        <v>0.30408176779747009</v>
      </c>
    </row>
    <row r="578" spans="1:2" x14ac:dyDescent="0.25">
      <c r="A578">
        <v>7.8302938491106033E-3</v>
      </c>
      <c r="B578">
        <v>8.0988489091396332E-2</v>
      </c>
    </row>
    <row r="579" spans="1:2" x14ac:dyDescent="0.25">
      <c r="A579">
        <v>7.3863323777914047E-3</v>
      </c>
      <c r="B579">
        <v>0.11074889451265335</v>
      </c>
    </row>
    <row r="580" spans="1:2" x14ac:dyDescent="0.25">
      <c r="A580">
        <v>1.4510593377053738E-2</v>
      </c>
      <c r="B580">
        <v>0.14013528823852539</v>
      </c>
    </row>
    <row r="581" spans="1:2" x14ac:dyDescent="0.25">
      <c r="A581">
        <v>1.0891336016356945E-2</v>
      </c>
      <c r="B581">
        <v>0.36042526364326477</v>
      </c>
    </row>
    <row r="582" spans="1:2" x14ac:dyDescent="0.25">
      <c r="A582">
        <v>1.1588551104068756E-2</v>
      </c>
      <c r="B582">
        <v>0.84005439281463623</v>
      </c>
    </row>
    <row r="583" spans="1:2" x14ac:dyDescent="0.25">
      <c r="A583">
        <v>1.2239548377692699E-2</v>
      </c>
      <c r="B583">
        <v>8.0263420939445496E-2</v>
      </c>
    </row>
    <row r="584" spans="1:2" x14ac:dyDescent="0.25">
      <c r="A584">
        <v>1.4002990908920765E-2</v>
      </c>
      <c r="B584">
        <v>0.12370322644710541</v>
      </c>
    </row>
    <row r="585" spans="1:2" x14ac:dyDescent="0.25">
      <c r="A585">
        <v>0.11084757000207901</v>
      </c>
      <c r="B585">
        <v>2.4509105682373047</v>
      </c>
    </row>
    <row r="586" spans="1:2" x14ac:dyDescent="0.25">
      <c r="A586">
        <v>1.5227177180349827E-2</v>
      </c>
      <c r="B586">
        <v>1.3465696573257446</v>
      </c>
    </row>
    <row r="587" spans="1:2" x14ac:dyDescent="0.25">
      <c r="A587">
        <v>1.2710856273770332E-2</v>
      </c>
      <c r="B587">
        <v>0.22216154634952545</v>
      </c>
    </row>
    <row r="588" spans="1:2" x14ac:dyDescent="0.25">
      <c r="A588">
        <v>1.1825716122984886E-2</v>
      </c>
      <c r="B588">
        <v>0.28276216983795166</v>
      </c>
    </row>
    <row r="589" spans="1:2" x14ac:dyDescent="0.25">
      <c r="A589">
        <v>1.1527609080076218E-2</v>
      </c>
      <c r="B589">
        <v>0.41205257177352905</v>
      </c>
    </row>
    <row r="590" spans="1:2" x14ac:dyDescent="0.25">
      <c r="A590">
        <v>2.8898384422063828E-2</v>
      </c>
      <c r="B590">
        <v>0.46759209036827087</v>
      </c>
    </row>
    <row r="591" spans="1:2" x14ac:dyDescent="0.25">
      <c r="A591">
        <v>3.3497538417577744E-2</v>
      </c>
      <c r="B591">
        <v>0.61208480596542358</v>
      </c>
    </row>
    <row r="592" spans="1:2" x14ac:dyDescent="0.25">
      <c r="A592">
        <v>3.2593116164207458E-2</v>
      </c>
      <c r="B592">
        <v>0.56433123350143433</v>
      </c>
    </row>
    <row r="593" spans="1:2" x14ac:dyDescent="0.25">
      <c r="A593">
        <v>3.2266147434711456E-2</v>
      </c>
      <c r="B593">
        <v>0.95121854543685913</v>
      </c>
    </row>
    <row r="594" spans="1:2" x14ac:dyDescent="0.25">
      <c r="A594">
        <v>3.3340770751237869E-2</v>
      </c>
      <c r="B594">
        <v>0.76593017578125</v>
      </c>
    </row>
    <row r="595" spans="1:2" x14ac:dyDescent="0.25">
      <c r="A595">
        <v>3.1997736543416977E-2</v>
      </c>
      <c r="B595">
        <v>0.89973300695419312</v>
      </c>
    </row>
    <row r="596" spans="1:2" x14ac:dyDescent="0.25">
      <c r="A596">
        <v>3.2047241926193237E-2</v>
      </c>
      <c r="B596">
        <v>0.78805035352706909</v>
      </c>
    </row>
    <row r="597" spans="1:2" x14ac:dyDescent="0.25">
      <c r="A597">
        <v>3.061198815703392E-2</v>
      </c>
      <c r="B597">
        <v>0.74444901943206787</v>
      </c>
    </row>
    <row r="598" spans="1:2" x14ac:dyDescent="0.25">
      <c r="A598">
        <v>2.9815156012773514E-2</v>
      </c>
      <c r="B598">
        <v>0.43046537041664124</v>
      </c>
    </row>
    <row r="599" spans="1:2" x14ac:dyDescent="0.25">
      <c r="A599">
        <v>3.1640332192182541E-2</v>
      </c>
      <c r="B599">
        <v>0.3464832603931427</v>
      </c>
    </row>
    <row r="600" spans="1:2" x14ac:dyDescent="0.25">
      <c r="A600">
        <v>3.2146230340003967E-2</v>
      </c>
      <c r="B600">
        <v>0.13269385695457458</v>
      </c>
    </row>
    <row r="601" spans="1:2" x14ac:dyDescent="0.25">
      <c r="A601">
        <v>2.2489465773105621E-2</v>
      </c>
      <c r="B601">
        <v>0.11024703085422516</v>
      </c>
    </row>
    <row r="602" spans="1:2" x14ac:dyDescent="0.25">
      <c r="A602">
        <v>2.8825059533119202E-2</v>
      </c>
      <c r="B602">
        <v>8.8678821921348572E-2</v>
      </c>
    </row>
    <row r="603" spans="1:2" x14ac:dyDescent="0.25">
      <c r="A603">
        <v>2.9623040929436684E-2</v>
      </c>
      <c r="B603">
        <v>4.9010656774044037E-2</v>
      </c>
    </row>
    <row r="604" spans="1:2" x14ac:dyDescent="0.25">
      <c r="A604">
        <v>3.1748630106449127E-2</v>
      </c>
      <c r="B604">
        <v>0</v>
      </c>
    </row>
    <row r="605" spans="1:2" x14ac:dyDescent="0.25">
      <c r="A605">
        <v>3.3305253833532333E-2</v>
      </c>
      <c r="B605">
        <v>0</v>
      </c>
    </row>
    <row r="606" spans="1:2" x14ac:dyDescent="0.25">
      <c r="A606">
        <v>2.7397075667977333E-2</v>
      </c>
      <c r="B606">
        <v>1.4324476942420006E-2</v>
      </c>
    </row>
    <row r="607" spans="1:2" x14ac:dyDescent="0.25">
      <c r="A607">
        <v>3.3238202333450317E-2</v>
      </c>
      <c r="B607">
        <v>2.771398052573204E-2</v>
      </c>
    </row>
    <row r="608" spans="1:2" x14ac:dyDescent="0.25">
      <c r="A608">
        <v>3.7020985037088394E-2</v>
      </c>
      <c r="B608">
        <v>2.9161648824810982E-2</v>
      </c>
    </row>
    <row r="609" spans="1:2" x14ac:dyDescent="0.25">
      <c r="A609">
        <v>0.1231967955827713</v>
      </c>
      <c r="B609">
        <v>2.3724548816680908</v>
      </c>
    </row>
    <row r="610" spans="1:2" x14ac:dyDescent="0.25">
      <c r="A610">
        <v>3.6832954734563828E-2</v>
      </c>
      <c r="B610">
        <v>1.308052659034729</v>
      </c>
    </row>
    <row r="611" spans="1:2" x14ac:dyDescent="0.25">
      <c r="A611">
        <v>3.7154745310544968E-2</v>
      </c>
      <c r="B611">
        <v>9.152635931968689E-2</v>
      </c>
    </row>
    <row r="612" spans="1:2" x14ac:dyDescent="0.25">
      <c r="A612">
        <v>3.4622002393007278E-2</v>
      </c>
      <c r="B612">
        <v>0.15044313669204712</v>
      </c>
    </row>
    <row r="613" spans="1:2" x14ac:dyDescent="0.25">
      <c r="A613">
        <v>3.1679734587669373E-2</v>
      </c>
      <c r="B613">
        <v>0.2999020516872406</v>
      </c>
    </row>
    <row r="614" spans="1:2" x14ac:dyDescent="0.25">
      <c r="A614">
        <v>3.2810360193252563E-2</v>
      </c>
      <c r="B614">
        <v>0.32587349414825439</v>
      </c>
    </row>
    <row r="615" spans="1:2" x14ac:dyDescent="0.25">
      <c r="A615">
        <v>0.15739482641220093</v>
      </c>
      <c r="B615">
        <v>0.51401376724243164</v>
      </c>
    </row>
    <row r="616" spans="1:2" x14ac:dyDescent="0.25">
      <c r="A616">
        <v>0.21331712603569031</v>
      </c>
      <c r="B616">
        <v>1.155085563659668</v>
      </c>
    </row>
    <row r="617" spans="1:2" x14ac:dyDescent="0.25">
      <c r="A617">
        <v>0.46793779730796814</v>
      </c>
      <c r="B617">
        <v>6.9753007888793945</v>
      </c>
    </row>
    <row r="618" spans="1:2" x14ac:dyDescent="0.25">
      <c r="A618">
        <v>0.45263385772705078</v>
      </c>
      <c r="B618">
        <v>5.0663948059082031</v>
      </c>
    </row>
    <row r="619" spans="1:2" x14ac:dyDescent="0.25">
      <c r="A619">
        <v>0.50290405750274658</v>
      </c>
      <c r="B619">
        <v>5.4317898750305176</v>
      </c>
    </row>
    <row r="620" spans="1:2" x14ac:dyDescent="0.25">
      <c r="A620">
        <v>0.34236204624176025</v>
      </c>
      <c r="B620">
        <v>2.1410999298095703</v>
      </c>
    </row>
    <row r="621" spans="1:2" x14ac:dyDescent="0.25">
      <c r="A621">
        <v>0.29198655486106873</v>
      </c>
      <c r="B621">
        <v>2.5486342906951904</v>
      </c>
    </row>
    <row r="622" spans="1:2" x14ac:dyDescent="0.25">
      <c r="A622">
        <v>0.18392492830753326</v>
      </c>
      <c r="B622">
        <v>1.6678270101547241</v>
      </c>
    </row>
    <row r="623" spans="1:2" x14ac:dyDescent="0.25">
      <c r="A623">
        <v>3.524060919880867E-2</v>
      </c>
      <c r="B623">
        <v>0.51489806175231934</v>
      </c>
    </row>
    <row r="624" spans="1:2" x14ac:dyDescent="0.25">
      <c r="A624">
        <v>3.1001752242445946E-2</v>
      </c>
      <c r="B624">
        <v>0.20344172418117523</v>
      </c>
    </row>
    <row r="625" spans="1:2" x14ac:dyDescent="0.25">
      <c r="A625">
        <v>3.3757306635379791E-2</v>
      </c>
      <c r="B625">
        <v>0.13857544958591461</v>
      </c>
    </row>
    <row r="626" spans="1:2" x14ac:dyDescent="0.25">
      <c r="A626">
        <v>3.2840434461832047E-2</v>
      </c>
      <c r="B626">
        <v>0.13947232067584991</v>
      </c>
    </row>
    <row r="627" spans="1:2" x14ac:dyDescent="0.25">
      <c r="A627">
        <v>3.4131765365600586E-2</v>
      </c>
      <c r="B627">
        <v>9.9241718649864197E-2</v>
      </c>
    </row>
    <row r="628" spans="1:2" x14ac:dyDescent="0.25">
      <c r="A628">
        <v>3.3426355570554733E-2</v>
      </c>
      <c r="B628">
        <v>0.13278310000896454</v>
      </c>
    </row>
    <row r="629" spans="1:2" x14ac:dyDescent="0.25">
      <c r="A629">
        <v>3.3256862312555313E-2</v>
      </c>
      <c r="B629">
        <v>0.10300910472869873</v>
      </c>
    </row>
    <row r="630" spans="1:2" x14ac:dyDescent="0.25">
      <c r="A630">
        <v>3.2127805054187775E-2</v>
      </c>
      <c r="B630">
        <v>0.10928042978048325</v>
      </c>
    </row>
    <row r="631" spans="1:2" x14ac:dyDescent="0.25">
      <c r="A631">
        <v>3.7602979689836502E-2</v>
      </c>
      <c r="B631">
        <v>8.0563269555568695E-2</v>
      </c>
    </row>
    <row r="632" spans="1:2" x14ac:dyDescent="0.25">
      <c r="A632">
        <v>3.0619626864790916E-2</v>
      </c>
      <c r="B632">
        <v>7.8387685120105743E-2</v>
      </c>
    </row>
    <row r="633" spans="1:2" x14ac:dyDescent="0.25">
      <c r="A633">
        <v>0.13257148861885071</v>
      </c>
      <c r="B633">
        <v>2.3643815517425537</v>
      </c>
    </row>
    <row r="634" spans="1:2" x14ac:dyDescent="0.25">
      <c r="A634">
        <v>4.2144734412431717E-2</v>
      </c>
      <c r="B634">
        <v>1.2574664354324341</v>
      </c>
    </row>
    <row r="635" spans="1:2" x14ac:dyDescent="0.25">
      <c r="A635">
        <v>2.6684386655688286E-2</v>
      </c>
      <c r="B635">
        <v>0.1266895979642868</v>
      </c>
    </row>
    <row r="636" spans="1:2" x14ac:dyDescent="0.25">
      <c r="A636">
        <v>2.9590656980872154E-2</v>
      </c>
      <c r="B636">
        <v>0.1029675155878067</v>
      </c>
    </row>
    <row r="637" spans="1:2" x14ac:dyDescent="0.25">
      <c r="A637">
        <v>3.1260192394256592E-2</v>
      </c>
      <c r="B637">
        <v>0.24913053214550018</v>
      </c>
    </row>
    <row r="638" spans="1:2" x14ac:dyDescent="0.25">
      <c r="A638">
        <v>3.1850486993789673E-2</v>
      </c>
      <c r="B638">
        <v>0.28091520071029663</v>
      </c>
    </row>
    <row r="639" spans="1:2" x14ac:dyDescent="0.25">
      <c r="A639">
        <v>3.2444987446069717E-2</v>
      </c>
      <c r="B639">
        <v>0.36973297595977783</v>
      </c>
    </row>
    <row r="640" spans="1:2" x14ac:dyDescent="0.25">
      <c r="A640">
        <v>3.2357040792703629E-2</v>
      </c>
      <c r="B640">
        <v>0.30933839082717896</v>
      </c>
    </row>
    <row r="641" spans="1:2" x14ac:dyDescent="0.25">
      <c r="A641">
        <v>3.4060727804899216E-2</v>
      </c>
      <c r="B641">
        <v>0.39432302117347717</v>
      </c>
    </row>
    <row r="642" spans="1:2" x14ac:dyDescent="0.25">
      <c r="A642">
        <v>3.2059039920568466E-2</v>
      </c>
      <c r="B642">
        <v>0.41351461410522461</v>
      </c>
    </row>
    <row r="643" spans="1:2" x14ac:dyDescent="0.25">
      <c r="A643">
        <v>3.3057417720556259E-2</v>
      </c>
      <c r="B643">
        <v>0.54935991764068604</v>
      </c>
    </row>
    <row r="644" spans="1:2" x14ac:dyDescent="0.25">
      <c r="A644">
        <v>3.2556727528572083E-2</v>
      </c>
      <c r="B644">
        <v>0.46894878149032593</v>
      </c>
    </row>
    <row r="645" spans="1:2" x14ac:dyDescent="0.25">
      <c r="A645">
        <v>3.3414583653211594E-2</v>
      </c>
      <c r="B645">
        <v>0.45184773206710815</v>
      </c>
    </row>
    <row r="646" spans="1:2" x14ac:dyDescent="0.25">
      <c r="A646">
        <v>3.3370088785886765E-2</v>
      </c>
      <c r="B646">
        <v>0.31183621287345886</v>
      </c>
    </row>
    <row r="647" spans="1:2" x14ac:dyDescent="0.25">
      <c r="A647">
        <v>3.1029501929879189E-2</v>
      </c>
      <c r="B647">
        <v>0.3039667010307312</v>
      </c>
    </row>
    <row r="648" spans="1:2" x14ac:dyDescent="0.25">
      <c r="A648">
        <v>2.8927253559231758E-2</v>
      </c>
      <c r="B648">
        <v>9.2444539070129395E-2</v>
      </c>
    </row>
    <row r="649" spans="1:2" x14ac:dyDescent="0.25">
      <c r="A649">
        <v>3.1431976705789566E-2</v>
      </c>
      <c r="B649">
        <v>0.11834703385829926</v>
      </c>
    </row>
    <row r="650" spans="1:2" x14ac:dyDescent="0.25">
      <c r="A650">
        <v>3.8338087499141693E-2</v>
      </c>
      <c r="B650">
        <v>0.14226649701595306</v>
      </c>
    </row>
    <row r="651" spans="1:2" x14ac:dyDescent="0.25">
      <c r="A651">
        <v>3.3288445323705673E-2</v>
      </c>
      <c r="B651">
        <v>0.12626613676548004</v>
      </c>
    </row>
    <row r="652" spans="1:2" x14ac:dyDescent="0.25">
      <c r="A652">
        <v>3.3171627670526505E-2</v>
      </c>
      <c r="B652">
        <v>9.5492154359817505E-2</v>
      </c>
    </row>
    <row r="653" spans="1:2" x14ac:dyDescent="0.25">
      <c r="A653">
        <v>3.241918608546257E-2</v>
      </c>
      <c r="B653">
        <v>6.9072365760803223E-2</v>
      </c>
    </row>
    <row r="654" spans="1:2" x14ac:dyDescent="0.25">
      <c r="A654">
        <v>3.2029837369918823E-2</v>
      </c>
      <c r="B654">
        <v>7.8834742307662964E-2</v>
      </c>
    </row>
    <row r="655" spans="1:2" x14ac:dyDescent="0.25">
      <c r="A655">
        <v>3.4005600959062576E-2</v>
      </c>
      <c r="B655">
        <v>7.4671320617198944E-2</v>
      </c>
    </row>
    <row r="656" spans="1:2" x14ac:dyDescent="0.25">
      <c r="A656">
        <v>3.0644122511148453E-2</v>
      </c>
      <c r="B656">
        <v>7.050681859254837E-2</v>
      </c>
    </row>
    <row r="657" spans="1:2" x14ac:dyDescent="0.25">
      <c r="A657">
        <v>0.1979173868894577</v>
      </c>
      <c r="B657">
        <v>2.3554906845092773</v>
      </c>
    </row>
    <row r="658" spans="1:2" x14ac:dyDescent="0.25">
      <c r="A658">
        <v>3.4636959433555603E-2</v>
      </c>
      <c r="B658">
        <v>1.2907805442810059</v>
      </c>
    </row>
    <row r="659" spans="1:2" x14ac:dyDescent="0.25">
      <c r="A659">
        <v>3.260476142168045E-2</v>
      </c>
      <c r="B659">
        <v>9.8432600498199463E-2</v>
      </c>
    </row>
    <row r="660" spans="1:2" x14ac:dyDescent="0.25">
      <c r="A660">
        <v>9.7610160708427429E-2</v>
      </c>
      <c r="B660">
        <v>9.4081282615661621E-2</v>
      </c>
    </row>
    <row r="661" spans="1:2" x14ac:dyDescent="0.25">
      <c r="A661">
        <v>3.5377707332372665E-2</v>
      </c>
      <c r="B661">
        <v>0.13338993489742279</v>
      </c>
    </row>
    <row r="662" spans="1:2" x14ac:dyDescent="0.25">
      <c r="A662">
        <v>2.7571940794587135E-2</v>
      </c>
      <c r="B662">
        <v>8.2853011786937714E-2</v>
      </c>
    </row>
    <row r="663" spans="1:2" x14ac:dyDescent="0.25">
      <c r="A663">
        <v>3.3293657004833221E-2</v>
      </c>
      <c r="B663">
        <v>8.488377183675766E-2</v>
      </c>
    </row>
    <row r="664" spans="1:2" x14ac:dyDescent="0.25">
      <c r="A664">
        <v>3.3865541219711304E-2</v>
      </c>
      <c r="B664">
        <v>0.13293667137622833</v>
      </c>
    </row>
    <row r="665" spans="1:2" x14ac:dyDescent="0.25">
      <c r="A665">
        <v>3.0728358775377274E-2</v>
      </c>
      <c r="B665">
        <v>0.15824761986732483</v>
      </c>
    </row>
    <row r="666" spans="1:2" x14ac:dyDescent="0.25">
      <c r="A666">
        <v>3.3544674515724182E-2</v>
      </c>
      <c r="B666">
        <v>0.1993030309677124</v>
      </c>
    </row>
    <row r="667" spans="1:2" x14ac:dyDescent="0.25">
      <c r="A667">
        <v>3.4730244427919388E-2</v>
      </c>
      <c r="B667">
        <v>0.23805761337280273</v>
      </c>
    </row>
    <row r="668" spans="1:2" x14ac:dyDescent="0.25">
      <c r="A668">
        <v>3.2232243567705154E-2</v>
      </c>
      <c r="B668">
        <v>0.20235645771026611</v>
      </c>
    </row>
    <row r="669" spans="1:2" x14ac:dyDescent="0.25">
      <c r="A669">
        <v>3.21388840675354E-2</v>
      </c>
      <c r="B669">
        <v>0.24207279086112976</v>
      </c>
    </row>
    <row r="670" spans="1:2" x14ac:dyDescent="0.25">
      <c r="A670">
        <v>3.2472308725118637E-2</v>
      </c>
      <c r="B670">
        <v>0.29733851552009583</v>
      </c>
    </row>
    <row r="671" spans="1:2" x14ac:dyDescent="0.25">
      <c r="A671">
        <v>3.2799184322357178E-2</v>
      </c>
      <c r="B671">
        <v>0.33502262830734253</v>
      </c>
    </row>
    <row r="672" spans="1:2" x14ac:dyDescent="0.25">
      <c r="A672">
        <v>3.1637344509363174E-2</v>
      </c>
      <c r="B672">
        <v>0.21036708354949951</v>
      </c>
    </row>
    <row r="673" spans="1:2" x14ac:dyDescent="0.25">
      <c r="A673">
        <v>2.8666179627180099E-2</v>
      </c>
      <c r="B673">
        <v>0.10417814552783966</v>
      </c>
    </row>
    <row r="674" spans="1:2" x14ac:dyDescent="0.25">
      <c r="A674">
        <v>3.0027486383914948E-2</v>
      </c>
      <c r="B674">
        <v>4.0341805666685104E-2</v>
      </c>
    </row>
    <row r="675" spans="1:2" x14ac:dyDescent="0.25">
      <c r="A675">
        <v>3.3394906669855118E-2</v>
      </c>
      <c r="B675">
        <v>6.1863183975219727E-2</v>
      </c>
    </row>
    <row r="676" spans="1:2" x14ac:dyDescent="0.25">
      <c r="A676">
        <v>3.1963441520929337E-2</v>
      </c>
      <c r="B676">
        <v>7.573062926530838E-2</v>
      </c>
    </row>
    <row r="677" spans="1:2" x14ac:dyDescent="0.25">
      <c r="A677">
        <v>3.2304286956787109E-2</v>
      </c>
      <c r="B677">
        <v>8.0982118844985962E-2</v>
      </c>
    </row>
    <row r="678" spans="1:2" x14ac:dyDescent="0.25">
      <c r="A678">
        <v>3.0115626752376556E-2</v>
      </c>
      <c r="B678">
        <v>0.71474653482437134</v>
      </c>
    </row>
    <row r="679" spans="1:2" x14ac:dyDescent="0.25">
      <c r="A679">
        <v>3.6084387451410294E-2</v>
      </c>
      <c r="B679">
        <v>0.55974531173706055</v>
      </c>
    </row>
    <row r="680" spans="1:2" x14ac:dyDescent="0.25">
      <c r="A680">
        <v>0.19199003279209137</v>
      </c>
      <c r="B680">
        <v>0.10345593094825745</v>
      </c>
    </row>
    <row r="681" spans="1:2" x14ac:dyDescent="0.25">
      <c r="A681">
        <v>0.14387071132659912</v>
      </c>
      <c r="B681">
        <v>2.38466477394104</v>
      </c>
    </row>
    <row r="682" spans="1:2" x14ac:dyDescent="0.25">
      <c r="A682">
        <v>7.0082098245620728E-2</v>
      </c>
      <c r="B682">
        <v>4.0625019073486328</v>
      </c>
    </row>
    <row r="683" spans="1:2" x14ac:dyDescent="0.25">
      <c r="A683">
        <v>3.4139633178710938E-2</v>
      </c>
      <c r="B683">
        <v>3.4704616069793701</v>
      </c>
    </row>
    <row r="684" spans="1:2" x14ac:dyDescent="0.25">
      <c r="A684">
        <v>3.3004604279994965E-2</v>
      </c>
      <c r="B684">
        <v>0.40498051047325134</v>
      </c>
    </row>
    <row r="685" spans="1:2" x14ac:dyDescent="0.25">
      <c r="A685">
        <v>3.3814579248428345E-2</v>
      </c>
      <c r="B685">
        <v>0.55518972873687744</v>
      </c>
    </row>
    <row r="686" spans="1:2" x14ac:dyDescent="0.25">
      <c r="A686">
        <v>3.3118624240159988E-2</v>
      </c>
      <c r="B686">
        <v>0.51414370536804199</v>
      </c>
    </row>
    <row r="687" spans="1:2" x14ac:dyDescent="0.25">
      <c r="A687">
        <v>3.2297715544700623E-2</v>
      </c>
      <c r="B687">
        <v>0.57415169477462769</v>
      </c>
    </row>
    <row r="688" spans="1:2" x14ac:dyDescent="0.25">
      <c r="A688">
        <v>3.2011076807975769E-2</v>
      </c>
      <c r="B688">
        <v>0.52363115549087524</v>
      </c>
    </row>
    <row r="689" spans="1:2" x14ac:dyDescent="0.25">
      <c r="A689">
        <v>3.3862851560115814E-2</v>
      </c>
      <c r="B689">
        <v>0.50775671005249023</v>
      </c>
    </row>
    <row r="690" spans="1:2" x14ac:dyDescent="0.25">
      <c r="A690">
        <v>3.6034137010574341E-2</v>
      </c>
      <c r="B690">
        <v>0.36041265726089478</v>
      </c>
    </row>
    <row r="691" spans="1:2" x14ac:dyDescent="0.25">
      <c r="A691">
        <v>3.8626022636890411E-2</v>
      </c>
      <c r="B691">
        <v>0.36454972624778748</v>
      </c>
    </row>
    <row r="692" spans="1:2" x14ac:dyDescent="0.25">
      <c r="A692">
        <v>3.8469903171062469E-2</v>
      </c>
      <c r="B692">
        <v>0.31870824098587036</v>
      </c>
    </row>
    <row r="693" spans="1:2" x14ac:dyDescent="0.25">
      <c r="A693">
        <v>3.8599468767642975E-2</v>
      </c>
      <c r="B693">
        <v>0.36684876680374146</v>
      </c>
    </row>
    <row r="694" spans="1:2" x14ac:dyDescent="0.25">
      <c r="A694">
        <v>3.8592401891946793E-2</v>
      </c>
      <c r="B694">
        <v>0.33418631553649902</v>
      </c>
    </row>
    <row r="695" spans="1:2" x14ac:dyDescent="0.25">
      <c r="A695">
        <v>3.7263683974742889E-2</v>
      </c>
      <c r="B695">
        <v>0.35136476159095764</v>
      </c>
    </row>
    <row r="696" spans="1:2" x14ac:dyDescent="0.25">
      <c r="A696">
        <v>3.7084314972162247E-2</v>
      </c>
      <c r="B696">
        <v>0.23430095613002777</v>
      </c>
    </row>
    <row r="697" spans="1:2" x14ac:dyDescent="0.25">
      <c r="A697">
        <v>2.9306450858712196E-2</v>
      </c>
      <c r="B697">
        <v>0.14468191564083099</v>
      </c>
    </row>
    <row r="698" spans="1:2" x14ac:dyDescent="0.25">
      <c r="A698">
        <v>3.3720791339874268E-2</v>
      </c>
      <c r="B698">
        <v>0.1259310245513916</v>
      </c>
    </row>
    <row r="699" spans="1:2" x14ac:dyDescent="0.25">
      <c r="A699">
        <v>3.2568681985139847E-2</v>
      </c>
      <c r="B699">
        <v>5.6217480450868607E-2</v>
      </c>
    </row>
    <row r="700" spans="1:2" x14ac:dyDescent="0.25">
      <c r="A700">
        <v>3.8018975406885147E-2</v>
      </c>
      <c r="B700">
        <v>2.4953790009021759E-2</v>
      </c>
    </row>
    <row r="701" spans="1:2" x14ac:dyDescent="0.25">
      <c r="A701">
        <v>3.6554832011461258E-2</v>
      </c>
      <c r="B701">
        <v>0</v>
      </c>
    </row>
    <row r="702" spans="1:2" x14ac:dyDescent="0.25">
      <c r="A702">
        <v>3.8613587617874146E-2</v>
      </c>
      <c r="B702">
        <v>5.2888084203004837E-2</v>
      </c>
    </row>
    <row r="703" spans="1:2" x14ac:dyDescent="0.25">
      <c r="A703">
        <v>3.5171762108802795E-2</v>
      </c>
      <c r="B703">
        <v>3.2590128481388092E-2</v>
      </c>
    </row>
    <row r="704" spans="1:2" x14ac:dyDescent="0.25">
      <c r="A704">
        <v>4.1450019925832748E-2</v>
      </c>
      <c r="B704">
        <v>8.7421732023358345E-3</v>
      </c>
    </row>
    <row r="705" spans="1:2" x14ac:dyDescent="0.25">
      <c r="A705">
        <v>0.17070463299751282</v>
      </c>
      <c r="B705">
        <v>2.3196115493774414</v>
      </c>
    </row>
    <row r="706" spans="1:2" x14ac:dyDescent="0.25">
      <c r="A706">
        <v>7.2250507771968842E-2</v>
      </c>
      <c r="B706">
        <v>1.4068450927734375</v>
      </c>
    </row>
    <row r="707" spans="1:2" x14ac:dyDescent="0.25">
      <c r="A707">
        <v>3.5759195685386658E-2</v>
      </c>
      <c r="B707">
        <v>5.9651966094970703</v>
      </c>
    </row>
    <row r="708" spans="1:2" x14ac:dyDescent="0.25">
      <c r="A708">
        <v>4.0232013911008835E-2</v>
      </c>
      <c r="B708">
        <v>0.27280738949775696</v>
      </c>
    </row>
    <row r="709" spans="1:2" x14ac:dyDescent="0.25">
      <c r="A709">
        <v>3.8108762353658676E-2</v>
      </c>
      <c r="B709">
        <v>0.38728183507919312</v>
      </c>
    </row>
    <row r="710" spans="1:2" x14ac:dyDescent="0.25">
      <c r="A710">
        <v>3.6039862781763077E-2</v>
      </c>
      <c r="B710">
        <v>0.23910462856292725</v>
      </c>
    </row>
    <row r="711" spans="1:2" x14ac:dyDescent="0.25">
      <c r="A711">
        <v>3.7097550928592682E-2</v>
      </c>
      <c r="B711">
        <v>0.41109424829483032</v>
      </c>
    </row>
    <row r="712" spans="1:2" x14ac:dyDescent="0.25">
      <c r="A712">
        <v>3.8292635232210159E-2</v>
      </c>
      <c r="B712">
        <v>0.52315682172775269</v>
      </c>
    </row>
    <row r="713" spans="1:2" x14ac:dyDescent="0.25">
      <c r="A713">
        <v>3.6292560398578644E-2</v>
      </c>
      <c r="B713">
        <v>0.63150018453598022</v>
      </c>
    </row>
    <row r="714" spans="1:2" x14ac:dyDescent="0.25">
      <c r="A714">
        <v>3.7653479725122452E-2</v>
      </c>
      <c r="B714">
        <v>0.59638684988021851</v>
      </c>
    </row>
    <row r="715" spans="1:2" x14ac:dyDescent="0.25">
      <c r="A715">
        <v>3.6586079746484756E-2</v>
      </c>
      <c r="B715">
        <v>0.65263795852661133</v>
      </c>
    </row>
    <row r="716" spans="1:2" x14ac:dyDescent="0.25">
      <c r="A716">
        <v>3.7161916494369507E-2</v>
      </c>
      <c r="B716">
        <v>0.5754430890083313</v>
      </c>
    </row>
    <row r="717" spans="1:2" x14ac:dyDescent="0.25">
      <c r="A717">
        <v>3.4325245767831802E-2</v>
      </c>
      <c r="B717">
        <v>0.63714122772216797</v>
      </c>
    </row>
    <row r="718" spans="1:2" x14ac:dyDescent="0.25">
      <c r="A718">
        <v>3.8514379411935806E-2</v>
      </c>
      <c r="B718">
        <v>0.44205066561698914</v>
      </c>
    </row>
    <row r="719" spans="1:2" x14ac:dyDescent="0.25">
      <c r="A719">
        <v>3.6481373012065887E-2</v>
      </c>
      <c r="B719">
        <v>0.34261810779571533</v>
      </c>
    </row>
    <row r="720" spans="1:2" x14ac:dyDescent="0.25">
      <c r="A720">
        <v>3.0104447156190872E-2</v>
      </c>
      <c r="B720">
        <v>9.0704604983329773E-2</v>
      </c>
    </row>
    <row r="721" spans="1:2" x14ac:dyDescent="0.25">
      <c r="A721">
        <v>3.2136227935552597E-2</v>
      </c>
      <c r="B721">
        <v>7.2488002479076385E-2</v>
      </c>
    </row>
    <row r="722" spans="1:2" x14ac:dyDescent="0.25">
      <c r="A722">
        <v>3.4110844135284424E-2</v>
      </c>
      <c r="B722">
        <v>4.7049589455127716E-2</v>
      </c>
    </row>
    <row r="723" spans="1:2" x14ac:dyDescent="0.25">
      <c r="A723">
        <v>3.8886569440364838E-2</v>
      </c>
      <c r="B723">
        <v>8.7365038692951202E-2</v>
      </c>
    </row>
    <row r="724" spans="1:2" x14ac:dyDescent="0.25">
      <c r="A724">
        <v>3.722698986530304E-2</v>
      </c>
      <c r="B724">
        <v>4.1238501667976379E-2</v>
      </c>
    </row>
    <row r="725" spans="1:2" x14ac:dyDescent="0.25">
      <c r="A725">
        <v>3.7647955119609833E-2</v>
      </c>
      <c r="B725">
        <v>2.5841010734438896E-2</v>
      </c>
    </row>
    <row r="726" spans="1:2" x14ac:dyDescent="0.25">
      <c r="A726">
        <v>3.5679083317518234E-2</v>
      </c>
      <c r="B726">
        <v>0.53889626264572144</v>
      </c>
    </row>
    <row r="727" spans="1:2" x14ac:dyDescent="0.25">
      <c r="A727">
        <v>3.7910465151071548E-2</v>
      </c>
      <c r="B727">
        <v>0.57624244689941406</v>
      </c>
    </row>
    <row r="728" spans="1:2" x14ac:dyDescent="0.25">
      <c r="A728">
        <v>3.6275684833526611E-2</v>
      </c>
      <c r="B728">
        <v>3.5177215933799744E-2</v>
      </c>
    </row>
    <row r="729" spans="1:2" x14ac:dyDescent="0.25">
      <c r="A729">
        <v>0.22822685539722443</v>
      </c>
      <c r="B729">
        <v>2.3496658802032471</v>
      </c>
    </row>
    <row r="730" spans="1:2" x14ac:dyDescent="0.25">
      <c r="A730">
        <v>0.23242108523845673</v>
      </c>
      <c r="B730">
        <v>1.3018568754196167</v>
      </c>
    </row>
    <row r="731" spans="1:2" x14ac:dyDescent="0.25">
      <c r="A731">
        <v>4.291992262005806E-2</v>
      </c>
      <c r="B731">
        <v>6.2834315001964569E-2</v>
      </c>
    </row>
    <row r="732" spans="1:2" x14ac:dyDescent="0.25">
      <c r="A732">
        <v>4.202767089009285E-2</v>
      </c>
      <c r="B732">
        <v>7.3766358196735382E-2</v>
      </c>
    </row>
    <row r="733" spans="1:2" x14ac:dyDescent="0.25">
      <c r="A733">
        <v>3.7224233150482178E-2</v>
      </c>
      <c r="B733">
        <v>8.6520716547966003E-2</v>
      </c>
    </row>
    <row r="734" spans="1:2" x14ac:dyDescent="0.25">
      <c r="A734">
        <v>4.0094070136547089E-2</v>
      </c>
      <c r="B734">
        <v>0.22731618583202362</v>
      </c>
    </row>
    <row r="735" spans="1:2" x14ac:dyDescent="0.25">
      <c r="A735">
        <v>3.7976384162902832E-2</v>
      </c>
      <c r="B735">
        <v>0.40381318330764771</v>
      </c>
    </row>
    <row r="736" spans="1:2" x14ac:dyDescent="0.25">
      <c r="A736">
        <v>3.7111092358827591E-2</v>
      </c>
      <c r="B736">
        <v>0.3797193169593811</v>
      </c>
    </row>
    <row r="737" spans="1:2" x14ac:dyDescent="0.25">
      <c r="A737">
        <v>3.6964483559131622E-2</v>
      </c>
      <c r="B737">
        <v>0.43133348226547241</v>
      </c>
    </row>
    <row r="738" spans="1:2" x14ac:dyDescent="0.25">
      <c r="A738">
        <v>3.4625411033630371E-2</v>
      </c>
      <c r="B738">
        <v>0.29766976833343506</v>
      </c>
    </row>
    <row r="739" spans="1:2" x14ac:dyDescent="0.25">
      <c r="A739">
        <v>3.5388197749853134E-2</v>
      </c>
      <c r="B739">
        <v>0.16983188688755035</v>
      </c>
    </row>
    <row r="740" spans="1:2" x14ac:dyDescent="0.25">
      <c r="A740">
        <v>3.5850889980792999E-2</v>
      </c>
      <c r="B740">
        <v>9.1215841472148895E-2</v>
      </c>
    </row>
    <row r="741" spans="1:2" x14ac:dyDescent="0.25">
      <c r="A741">
        <v>3.7022769451141357E-2</v>
      </c>
      <c r="B741">
        <v>9.231269359588623E-2</v>
      </c>
    </row>
    <row r="742" spans="1:2" x14ac:dyDescent="0.25">
      <c r="A742">
        <v>3.5937432199716568E-2</v>
      </c>
      <c r="B742">
        <v>9.0321473777294159E-2</v>
      </c>
    </row>
    <row r="743" spans="1:2" x14ac:dyDescent="0.25">
      <c r="A743">
        <v>3.6063514649868011E-2</v>
      </c>
      <c r="B743">
        <v>9.6968591213226318E-2</v>
      </c>
    </row>
    <row r="744" spans="1:2" x14ac:dyDescent="0.25">
      <c r="A744">
        <v>3.3901616930961609E-2</v>
      </c>
      <c r="B744">
        <v>0.13060764968395233</v>
      </c>
    </row>
    <row r="745" spans="1:2" x14ac:dyDescent="0.25">
      <c r="A745">
        <v>3.6944475024938583E-2</v>
      </c>
      <c r="B745">
        <v>4.2374011129140854E-2</v>
      </c>
    </row>
    <row r="746" spans="1:2" x14ac:dyDescent="0.25">
      <c r="A746">
        <v>3.3413682132959366E-2</v>
      </c>
      <c r="B746">
        <v>3.4468844532966614E-2</v>
      </c>
    </row>
    <row r="747" spans="1:2" x14ac:dyDescent="0.25">
      <c r="A747">
        <v>3.8764830678701401E-2</v>
      </c>
      <c r="B747">
        <v>4.3913748115301132E-2</v>
      </c>
    </row>
    <row r="748" spans="1:2" x14ac:dyDescent="0.25">
      <c r="A748">
        <v>3.8161929696798325E-2</v>
      </c>
      <c r="B748">
        <v>3.4874629229307175E-2</v>
      </c>
    </row>
    <row r="749" spans="1:2" x14ac:dyDescent="0.25">
      <c r="A749">
        <v>3.8012310862541199E-2</v>
      </c>
      <c r="B749">
        <v>4.2054075747728348E-2</v>
      </c>
    </row>
    <row r="750" spans="1:2" x14ac:dyDescent="0.25">
      <c r="A750">
        <v>0.16512538492679596</v>
      </c>
      <c r="B750">
        <v>8.0326467752456665E-2</v>
      </c>
    </row>
    <row r="751" spans="1:2" x14ac:dyDescent="0.25">
      <c r="A751">
        <v>0.15648813545703888</v>
      </c>
      <c r="B751">
        <v>8.5214972496032715E-2</v>
      </c>
    </row>
    <row r="752" spans="1:2" x14ac:dyDescent="0.25">
      <c r="A752">
        <v>0.27908635139465332</v>
      </c>
      <c r="B752">
        <v>8.0177515745162964E-2</v>
      </c>
    </row>
    <row r="753" spans="1:2" x14ac:dyDescent="0.25">
      <c r="A753">
        <v>0.33418238162994385</v>
      </c>
      <c r="B753">
        <v>2.3350715637207031</v>
      </c>
    </row>
    <row r="754" spans="1:2" x14ac:dyDescent="0.25">
      <c r="A754">
        <v>0.20512498915195465</v>
      </c>
      <c r="B754">
        <v>1.2794960737228394</v>
      </c>
    </row>
    <row r="755" spans="1:2" x14ac:dyDescent="0.25">
      <c r="A755">
        <v>4.1764680296182632E-2</v>
      </c>
      <c r="B755">
        <v>9.2161878943443298E-2</v>
      </c>
    </row>
    <row r="756" spans="1:2" x14ac:dyDescent="0.25">
      <c r="A756">
        <v>3.7004731595516205E-2</v>
      </c>
      <c r="B756">
        <v>0.11478155106306076</v>
      </c>
    </row>
    <row r="757" spans="1:2" x14ac:dyDescent="0.25">
      <c r="A757">
        <v>3.7601906806230545E-2</v>
      </c>
      <c r="B757">
        <v>5.6203298270702362E-2</v>
      </c>
    </row>
    <row r="758" spans="1:2" x14ac:dyDescent="0.25">
      <c r="A758">
        <v>3.792354092001915E-2</v>
      </c>
      <c r="B758">
        <v>0.12964366376399994</v>
      </c>
    </row>
    <row r="759" spans="1:2" x14ac:dyDescent="0.25">
      <c r="A759">
        <v>3.6318153142929077E-2</v>
      </c>
      <c r="B759">
        <v>0.25542277097702026</v>
      </c>
    </row>
    <row r="760" spans="1:2" x14ac:dyDescent="0.25">
      <c r="A760">
        <v>3.8786262273788452E-2</v>
      </c>
      <c r="B760">
        <v>0.28782328963279724</v>
      </c>
    </row>
    <row r="761" spans="1:2" x14ac:dyDescent="0.25">
      <c r="A761">
        <v>3.719063475728035E-2</v>
      </c>
      <c r="B761">
        <v>0.35129156708717346</v>
      </c>
    </row>
    <row r="762" spans="1:2" x14ac:dyDescent="0.25">
      <c r="A762">
        <v>3.7525519728660583E-2</v>
      </c>
      <c r="B762">
        <v>0.32163840532302856</v>
      </c>
    </row>
    <row r="763" spans="1:2" x14ac:dyDescent="0.25">
      <c r="A763">
        <v>3.7798922508955002E-2</v>
      </c>
      <c r="B763">
        <v>0.36502358317375183</v>
      </c>
    </row>
    <row r="764" spans="1:2" x14ac:dyDescent="0.25">
      <c r="A764">
        <v>3.6416798830032349E-2</v>
      </c>
      <c r="B764">
        <v>0.29767367243766785</v>
      </c>
    </row>
    <row r="765" spans="1:2" x14ac:dyDescent="0.25">
      <c r="A765">
        <v>3.4299150109291077E-2</v>
      </c>
      <c r="B765">
        <v>0.23755773901939392</v>
      </c>
    </row>
    <row r="766" spans="1:2" x14ac:dyDescent="0.25">
      <c r="A766">
        <v>3.5454090684652328E-2</v>
      </c>
      <c r="B766">
        <v>7.8302696347236633E-2</v>
      </c>
    </row>
    <row r="767" spans="1:2" x14ac:dyDescent="0.25">
      <c r="A767">
        <v>3.7481136620044708E-2</v>
      </c>
      <c r="B767">
        <v>7.5271330773830414E-2</v>
      </c>
    </row>
    <row r="768" spans="1:2" x14ac:dyDescent="0.25">
      <c r="A768">
        <v>3.5906627774238586E-2</v>
      </c>
      <c r="B768">
        <v>8.7484747171401978E-2</v>
      </c>
    </row>
    <row r="769" spans="1:2" x14ac:dyDescent="0.25">
      <c r="A769">
        <v>3.6481410264968872E-2</v>
      </c>
      <c r="B769">
        <v>5.8415554463863373E-2</v>
      </c>
    </row>
    <row r="770" spans="1:2" x14ac:dyDescent="0.25">
      <c r="A770">
        <v>4.1093450039625168E-2</v>
      </c>
      <c r="B770">
        <v>0</v>
      </c>
    </row>
    <row r="771" spans="1:2" x14ac:dyDescent="0.25">
      <c r="A771">
        <v>3.7800110876560211E-2</v>
      </c>
      <c r="B771">
        <v>2.9869772493839264E-2</v>
      </c>
    </row>
    <row r="772" spans="1:2" x14ac:dyDescent="0.25">
      <c r="A772">
        <v>4.0158133953809738E-2</v>
      </c>
      <c r="B772">
        <v>7.0784308016300201E-2</v>
      </c>
    </row>
    <row r="773" spans="1:2" x14ac:dyDescent="0.25">
      <c r="A773">
        <v>3.4063607454299927E-2</v>
      </c>
      <c r="B773">
        <v>5.3186606615781784E-2</v>
      </c>
    </row>
    <row r="774" spans="1:2" x14ac:dyDescent="0.25">
      <c r="A774">
        <v>4.6032372862100601E-2</v>
      </c>
      <c r="B774">
        <v>0.75172895193099976</v>
      </c>
    </row>
    <row r="775" spans="1:2" x14ac:dyDescent="0.25">
      <c r="A775">
        <v>5.9852723032236099E-2</v>
      </c>
      <c r="B775">
        <v>0.50223278999328613</v>
      </c>
    </row>
    <row r="776" spans="1:2" x14ac:dyDescent="0.25">
      <c r="A776">
        <v>3.8262587040662766E-2</v>
      </c>
      <c r="B776">
        <v>0.11428197473287582</v>
      </c>
    </row>
    <row r="777" spans="1:2" x14ac:dyDescent="0.25">
      <c r="A777">
        <v>0.15252877771854401</v>
      </c>
      <c r="B777">
        <v>2.2942354679107666</v>
      </c>
    </row>
    <row r="778" spans="1:2" x14ac:dyDescent="0.25">
      <c r="A778">
        <v>5.938372015953064E-2</v>
      </c>
      <c r="B778">
        <v>1.3199213743209839</v>
      </c>
    </row>
    <row r="779" spans="1:2" x14ac:dyDescent="0.25">
      <c r="A779">
        <v>3.9272002875804901E-2</v>
      </c>
      <c r="B779">
        <v>0.1043136790394783</v>
      </c>
    </row>
    <row r="780" spans="1:2" x14ac:dyDescent="0.25">
      <c r="A780">
        <v>3.9618141949176788E-2</v>
      </c>
      <c r="B780">
        <v>7.2777308523654938E-2</v>
      </c>
    </row>
    <row r="781" spans="1:2" x14ac:dyDescent="0.25">
      <c r="A781">
        <v>3.3426042646169662E-2</v>
      </c>
      <c r="B781">
        <v>7.7411018311977386E-2</v>
      </c>
    </row>
    <row r="782" spans="1:2" x14ac:dyDescent="0.25">
      <c r="A782">
        <v>2.9233913868665695E-2</v>
      </c>
      <c r="B782">
        <v>8.4783598780632019E-2</v>
      </c>
    </row>
    <row r="783" spans="1:2" x14ac:dyDescent="0.25">
      <c r="A783">
        <v>0.15949980914592743</v>
      </c>
      <c r="B783">
        <v>0.23195911943912506</v>
      </c>
    </row>
    <row r="784" spans="1:2" x14ac:dyDescent="0.25">
      <c r="A784">
        <v>6.2456876039505005E-2</v>
      </c>
      <c r="B784">
        <v>0.30975827574729919</v>
      </c>
    </row>
    <row r="785" spans="1:2" x14ac:dyDescent="0.25">
      <c r="A785">
        <v>3.117867186665535E-2</v>
      </c>
      <c r="B785">
        <v>0.45168501138687134</v>
      </c>
    </row>
    <row r="786" spans="1:2" x14ac:dyDescent="0.25">
      <c r="A786">
        <v>3.1881216913461685E-2</v>
      </c>
      <c r="B786">
        <v>0.44034507870674133</v>
      </c>
    </row>
    <row r="787" spans="1:2" x14ac:dyDescent="0.25">
      <c r="A787">
        <v>3.2890640199184418E-2</v>
      </c>
      <c r="B787">
        <v>0.56784844398498535</v>
      </c>
    </row>
    <row r="788" spans="1:2" x14ac:dyDescent="0.25">
      <c r="A788">
        <v>3.2941121608018875E-2</v>
      </c>
      <c r="B788">
        <v>0.40771043300628662</v>
      </c>
    </row>
    <row r="789" spans="1:2" x14ac:dyDescent="0.25">
      <c r="A789">
        <v>3.0062180012464523E-2</v>
      </c>
      <c r="B789">
        <v>0.30973401665687561</v>
      </c>
    </row>
    <row r="790" spans="1:2" x14ac:dyDescent="0.25">
      <c r="A790">
        <v>3.2383769750595093E-2</v>
      </c>
      <c r="B790">
        <v>0.11957293748855591</v>
      </c>
    </row>
    <row r="791" spans="1:2" x14ac:dyDescent="0.25">
      <c r="A791">
        <v>3.0405271798372269E-2</v>
      </c>
      <c r="B791">
        <v>0.10689333081245422</v>
      </c>
    </row>
    <row r="792" spans="1:2" x14ac:dyDescent="0.25">
      <c r="A792">
        <v>3.0765611678361893E-2</v>
      </c>
      <c r="B792">
        <v>0.19295789301395416</v>
      </c>
    </row>
    <row r="793" spans="1:2" x14ac:dyDescent="0.25">
      <c r="A793">
        <v>3.071252629160881E-2</v>
      </c>
      <c r="B793">
        <v>0.19865097105503082</v>
      </c>
    </row>
    <row r="794" spans="1:2" x14ac:dyDescent="0.25">
      <c r="A794">
        <v>2.8262119740247726E-2</v>
      </c>
      <c r="B794">
        <v>6.6615581512451172E-2</v>
      </c>
    </row>
    <row r="795" spans="1:2" x14ac:dyDescent="0.25">
      <c r="A795">
        <v>3.2865934073925018E-2</v>
      </c>
      <c r="B795">
        <v>5.0021976232528687E-2</v>
      </c>
    </row>
    <row r="796" spans="1:2" x14ac:dyDescent="0.25">
      <c r="A796">
        <v>3.3083856105804443E-2</v>
      </c>
      <c r="B796">
        <v>4.1979968547821045E-2</v>
      </c>
    </row>
    <row r="797" spans="1:2" x14ac:dyDescent="0.25">
      <c r="A797">
        <v>3.3035438507795334E-2</v>
      </c>
      <c r="B797">
        <v>7.9436823725700378E-3</v>
      </c>
    </row>
    <row r="798" spans="1:2" x14ac:dyDescent="0.25">
      <c r="A798">
        <v>3.0488912016153336E-2</v>
      </c>
      <c r="B798">
        <v>5.7618387043476105E-2</v>
      </c>
    </row>
    <row r="799" spans="1:2" x14ac:dyDescent="0.25">
      <c r="A799">
        <v>2.93436199426651E-2</v>
      </c>
      <c r="B799">
        <v>7.0813536643981934E-2</v>
      </c>
    </row>
    <row r="800" spans="1:2" x14ac:dyDescent="0.25">
      <c r="A800">
        <v>3.5143669694662094E-2</v>
      </c>
      <c r="B800">
        <v>6.139654666185379E-2</v>
      </c>
    </row>
    <row r="801" spans="1:2" x14ac:dyDescent="0.25">
      <c r="A801">
        <v>0.1199604868888855</v>
      </c>
      <c r="B801">
        <v>2.3285508155822754</v>
      </c>
    </row>
    <row r="802" spans="1:2" x14ac:dyDescent="0.25">
      <c r="A802">
        <v>2.9269114136695862E-2</v>
      </c>
      <c r="B802">
        <v>1.2761319875717163</v>
      </c>
    </row>
    <row r="803" spans="1:2" x14ac:dyDescent="0.25">
      <c r="A803">
        <v>3.1913720071315765E-2</v>
      </c>
      <c r="B803">
        <v>7.2387427091598511E-2</v>
      </c>
    </row>
    <row r="804" spans="1:2" x14ac:dyDescent="0.25">
      <c r="A804">
        <v>3.2684717327356339E-2</v>
      </c>
      <c r="B804">
        <v>6.297600269317627E-2</v>
      </c>
    </row>
    <row r="805" spans="1:2" x14ac:dyDescent="0.25">
      <c r="A805">
        <v>3.380826860666275E-2</v>
      </c>
      <c r="B805">
        <v>0.1206999346613884</v>
      </c>
    </row>
    <row r="806" spans="1:2" x14ac:dyDescent="0.25">
      <c r="A806">
        <v>3.2980997115373611E-2</v>
      </c>
      <c r="B806">
        <v>0.10187936574220657</v>
      </c>
    </row>
    <row r="807" spans="1:2" x14ac:dyDescent="0.25">
      <c r="A807">
        <v>3.0386196449398994E-2</v>
      </c>
      <c r="B807">
        <v>0.23512817919254303</v>
      </c>
    </row>
    <row r="808" spans="1:2" x14ac:dyDescent="0.25">
      <c r="A808">
        <v>3.136787936091423E-2</v>
      </c>
      <c r="B808">
        <v>0.32954055070877075</v>
      </c>
    </row>
    <row r="809" spans="1:2" x14ac:dyDescent="0.25">
      <c r="A809">
        <v>3.3163685351610184E-2</v>
      </c>
      <c r="B809">
        <v>0.43962442874908447</v>
      </c>
    </row>
    <row r="810" spans="1:2" x14ac:dyDescent="0.25">
      <c r="A810">
        <v>3.3152379095554352E-2</v>
      </c>
      <c r="B810">
        <v>0.48080727458000183</v>
      </c>
    </row>
    <row r="811" spans="1:2" x14ac:dyDescent="0.25">
      <c r="A811">
        <v>3.1753897666931152E-2</v>
      </c>
      <c r="B811">
        <v>0.55077970027923584</v>
      </c>
    </row>
    <row r="812" spans="1:2" x14ac:dyDescent="0.25">
      <c r="A812">
        <v>3.277939185500145E-2</v>
      </c>
      <c r="B812">
        <v>0.40320885181427002</v>
      </c>
    </row>
    <row r="813" spans="1:2" x14ac:dyDescent="0.25">
      <c r="A813">
        <v>2.8390603139996529E-2</v>
      </c>
      <c r="B813">
        <v>0.32903397083282471</v>
      </c>
    </row>
    <row r="814" spans="1:2" x14ac:dyDescent="0.25">
      <c r="A814">
        <v>3.0348649248480797E-2</v>
      </c>
      <c r="B814">
        <v>0.13405622541904449</v>
      </c>
    </row>
    <row r="815" spans="1:2" x14ac:dyDescent="0.25">
      <c r="A815">
        <v>3.1753432005643845E-2</v>
      </c>
      <c r="B815">
        <v>0.12636247277259827</v>
      </c>
    </row>
    <row r="816" spans="1:2" x14ac:dyDescent="0.25">
      <c r="A816">
        <v>3.1648658215999603E-2</v>
      </c>
      <c r="B816">
        <v>3.4731678664684296E-2</v>
      </c>
    </row>
    <row r="817" spans="1:2" x14ac:dyDescent="0.25">
      <c r="A817">
        <v>3.2122094184160233E-2</v>
      </c>
      <c r="B817">
        <v>6.0866717249155045E-2</v>
      </c>
    </row>
    <row r="818" spans="1:2" x14ac:dyDescent="0.25">
      <c r="A818">
        <v>2.9311042279005051E-2</v>
      </c>
      <c r="B818">
        <v>2.4434337392449379E-2</v>
      </c>
    </row>
    <row r="819" spans="1:2" x14ac:dyDescent="0.25">
      <c r="A819">
        <v>3.30372154712677E-2</v>
      </c>
      <c r="B819">
        <v>9.9730782210826874E-2</v>
      </c>
    </row>
    <row r="820" spans="1:2" x14ac:dyDescent="0.25">
      <c r="A820">
        <v>3.3349085599184036E-2</v>
      </c>
      <c r="B820">
        <v>1.5860876068472862E-2</v>
      </c>
    </row>
    <row r="821" spans="1:2" x14ac:dyDescent="0.25">
      <c r="A821">
        <v>3.0895793810486794E-2</v>
      </c>
      <c r="B821">
        <v>0.12435659021139145</v>
      </c>
    </row>
    <row r="822" spans="1:2" x14ac:dyDescent="0.25">
      <c r="A822">
        <v>3.1713355332612991E-2</v>
      </c>
      <c r="B822">
        <v>0.71121937036514282</v>
      </c>
    </row>
    <row r="823" spans="1:2" x14ac:dyDescent="0.25">
      <c r="A823">
        <v>3.2498586922883987E-2</v>
      </c>
      <c r="B823">
        <v>0.70251482725143433</v>
      </c>
    </row>
    <row r="824" spans="1:2" x14ac:dyDescent="0.25">
      <c r="A824">
        <v>3.368750587105751E-2</v>
      </c>
      <c r="B824">
        <v>5.2580617368221283E-2</v>
      </c>
    </row>
    <row r="825" spans="1:2" x14ac:dyDescent="0.25">
      <c r="A825">
        <v>0.11184778064489365</v>
      </c>
      <c r="B825">
        <v>2.3586852550506592</v>
      </c>
    </row>
    <row r="826" spans="1:2" x14ac:dyDescent="0.25">
      <c r="A826">
        <v>0.11283676326274872</v>
      </c>
      <c r="B826">
        <v>1.3185043334960937</v>
      </c>
    </row>
    <row r="827" spans="1:2" x14ac:dyDescent="0.25">
      <c r="A827">
        <v>2.5851551443338394E-2</v>
      </c>
      <c r="B827">
        <v>0.12254492193460464</v>
      </c>
    </row>
    <row r="828" spans="1:2" x14ac:dyDescent="0.25">
      <c r="A828">
        <v>3.2598938792943954E-2</v>
      </c>
      <c r="B828">
        <v>0.12331699579954147</v>
      </c>
    </row>
    <row r="829" spans="1:2" x14ac:dyDescent="0.25">
      <c r="A829">
        <v>3.599119558930397E-2</v>
      </c>
      <c r="B829">
        <v>0.14403623342514038</v>
      </c>
    </row>
    <row r="830" spans="1:2" x14ac:dyDescent="0.25">
      <c r="A830">
        <v>3.1374506652355194E-2</v>
      </c>
      <c r="B830">
        <v>0.18018274009227753</v>
      </c>
    </row>
    <row r="831" spans="1:2" x14ac:dyDescent="0.25">
      <c r="A831">
        <v>3.1450696289539337E-2</v>
      </c>
      <c r="B831">
        <v>0.40419095754623413</v>
      </c>
    </row>
    <row r="832" spans="1:2" x14ac:dyDescent="0.25">
      <c r="A832">
        <v>3.2546024769544601E-2</v>
      </c>
      <c r="B832">
        <v>0.45818778872489929</v>
      </c>
    </row>
    <row r="833" spans="1:2" x14ac:dyDescent="0.25">
      <c r="A833">
        <v>3.3366110175848007E-2</v>
      </c>
      <c r="B833">
        <v>0.54759609699249268</v>
      </c>
    </row>
    <row r="834" spans="1:2" x14ac:dyDescent="0.25">
      <c r="A834">
        <v>3.28691266477108E-2</v>
      </c>
      <c r="B834">
        <v>0.53655004501342773</v>
      </c>
    </row>
    <row r="835" spans="1:2" x14ac:dyDescent="0.25">
      <c r="A835">
        <v>3.24249267578125E-2</v>
      </c>
      <c r="B835">
        <v>0.63703101873397827</v>
      </c>
    </row>
    <row r="836" spans="1:2" x14ac:dyDescent="0.25">
      <c r="A836">
        <v>3.1493708491325378E-2</v>
      </c>
      <c r="B836">
        <v>0.53133469820022583</v>
      </c>
    </row>
    <row r="837" spans="1:2" x14ac:dyDescent="0.25">
      <c r="A837">
        <v>3.3294655382633209E-2</v>
      </c>
      <c r="B837">
        <v>0.62236660718917847</v>
      </c>
    </row>
    <row r="838" spans="1:2" x14ac:dyDescent="0.25">
      <c r="A838">
        <v>3.1843088567256927E-2</v>
      </c>
      <c r="B838">
        <v>0.54556900262832642</v>
      </c>
    </row>
    <row r="839" spans="1:2" x14ac:dyDescent="0.25">
      <c r="A839">
        <v>3.0645987018942833E-2</v>
      </c>
      <c r="B839">
        <v>0.51824331283569336</v>
      </c>
    </row>
    <row r="840" spans="1:2" x14ac:dyDescent="0.25">
      <c r="A840">
        <v>2.6231743395328522E-2</v>
      </c>
      <c r="B840">
        <v>0.20167791843414307</v>
      </c>
    </row>
    <row r="841" spans="1:2" x14ac:dyDescent="0.25">
      <c r="A841">
        <v>2.821703813970089E-2</v>
      </c>
      <c r="B841">
        <v>0.11638296395540237</v>
      </c>
    </row>
    <row r="842" spans="1:2" x14ac:dyDescent="0.25">
      <c r="A842">
        <v>3.1030850484967232E-2</v>
      </c>
      <c r="B842">
        <v>6.7952647805213928E-2</v>
      </c>
    </row>
    <row r="843" spans="1:2" x14ac:dyDescent="0.25">
      <c r="A843">
        <v>3.2447516918182373E-2</v>
      </c>
      <c r="B843">
        <v>4.3094728142023087E-2</v>
      </c>
    </row>
    <row r="844" spans="1:2" x14ac:dyDescent="0.25">
      <c r="A844">
        <v>3.2196536660194397E-2</v>
      </c>
      <c r="B844">
        <v>7.9276733100414276E-2</v>
      </c>
    </row>
    <row r="845" spans="1:2" x14ac:dyDescent="0.25">
      <c r="A845">
        <v>3.2398346811532974E-2</v>
      </c>
      <c r="B845">
        <v>4.8257168382406235E-2</v>
      </c>
    </row>
    <row r="846" spans="1:2" x14ac:dyDescent="0.25">
      <c r="A846">
        <v>3.1426969915628433E-2</v>
      </c>
      <c r="B846">
        <v>5.2907094359397888E-2</v>
      </c>
    </row>
    <row r="847" spans="1:2" x14ac:dyDescent="0.25">
      <c r="A847">
        <v>3.3133883029222488E-2</v>
      </c>
      <c r="B847">
        <v>6.218361109495163E-2</v>
      </c>
    </row>
    <row r="848" spans="1:2" x14ac:dyDescent="0.25">
      <c r="A848">
        <v>3.128712996840477E-2</v>
      </c>
      <c r="B848">
        <v>4.4052168726921082E-2</v>
      </c>
    </row>
    <row r="849" spans="1:2" x14ac:dyDescent="0.25">
      <c r="A849">
        <v>0.12412197142839432</v>
      </c>
      <c r="B849">
        <v>2.3003005981445313</v>
      </c>
    </row>
    <row r="850" spans="1:2" x14ac:dyDescent="0.25">
      <c r="A850">
        <v>3.6189328879117966E-2</v>
      </c>
      <c r="B850">
        <v>3.2523658275604248</v>
      </c>
    </row>
    <row r="851" spans="1:2" x14ac:dyDescent="0.25">
      <c r="A851">
        <v>3.1024126335978508E-2</v>
      </c>
      <c r="B851">
        <v>4.0898900032043457</v>
      </c>
    </row>
    <row r="852" spans="1:2" x14ac:dyDescent="0.25">
      <c r="A852">
        <v>3.3217489719390869E-2</v>
      </c>
      <c r="B852">
        <v>0.46161189675331116</v>
      </c>
    </row>
    <row r="853" spans="1:2" x14ac:dyDescent="0.25">
      <c r="A853">
        <v>6.4110405743122101E-2</v>
      </c>
      <c r="B853">
        <v>0.52080047130584717</v>
      </c>
    </row>
    <row r="854" spans="1:2" x14ac:dyDescent="0.25">
      <c r="A854">
        <v>0.24090194702148438</v>
      </c>
      <c r="B854">
        <v>1.0597660541534424</v>
      </c>
    </row>
    <row r="855" spans="1:2" x14ac:dyDescent="0.25">
      <c r="A855">
        <v>0.22812993824481964</v>
      </c>
      <c r="B855">
        <v>2.5689859390258789</v>
      </c>
    </row>
    <row r="856" spans="1:2" x14ac:dyDescent="0.25">
      <c r="A856">
        <v>0.22115367650985718</v>
      </c>
      <c r="B856">
        <v>2.7700235843658447</v>
      </c>
    </row>
    <row r="857" spans="1:2" x14ac:dyDescent="0.25">
      <c r="A857">
        <v>0.15868210792541504</v>
      </c>
      <c r="B857">
        <v>2.7386493682861328</v>
      </c>
    </row>
    <row r="858" spans="1:2" x14ac:dyDescent="0.25">
      <c r="A858">
        <v>3.4873213618993759E-2</v>
      </c>
      <c r="B858">
        <v>0.76549220085144043</v>
      </c>
    </row>
    <row r="859" spans="1:2" x14ac:dyDescent="0.25">
      <c r="A859">
        <v>3.1480070203542709E-2</v>
      </c>
      <c r="B859">
        <v>0.81570249795913696</v>
      </c>
    </row>
    <row r="860" spans="1:2" x14ac:dyDescent="0.25">
      <c r="A860">
        <v>3.2381188124418259E-2</v>
      </c>
      <c r="B860">
        <v>0.73081845045089722</v>
      </c>
    </row>
    <row r="861" spans="1:2" x14ac:dyDescent="0.25">
      <c r="A861">
        <v>3.1472295522689819E-2</v>
      </c>
      <c r="B861">
        <v>0.88652044534683228</v>
      </c>
    </row>
    <row r="862" spans="1:2" x14ac:dyDescent="0.25">
      <c r="A862">
        <v>3.2423950731754303E-2</v>
      </c>
      <c r="B862">
        <v>0.83819270133972168</v>
      </c>
    </row>
    <row r="863" spans="1:2" x14ac:dyDescent="0.25">
      <c r="A863">
        <v>3.2388616353273392E-2</v>
      </c>
      <c r="B863">
        <v>0.88960862159729004</v>
      </c>
    </row>
    <row r="864" spans="1:2" x14ac:dyDescent="0.25">
      <c r="A864">
        <v>3.110552579164505E-2</v>
      </c>
      <c r="B864">
        <v>0.67468249797821045</v>
      </c>
    </row>
    <row r="865" spans="1:2" x14ac:dyDescent="0.25">
      <c r="A865">
        <v>2.5821926072239876E-2</v>
      </c>
      <c r="B865">
        <v>0.35562562942504883</v>
      </c>
    </row>
    <row r="866" spans="1:2" x14ac:dyDescent="0.25">
      <c r="A866">
        <v>2.7804937213659286E-2</v>
      </c>
      <c r="B866">
        <v>0.12279292941093445</v>
      </c>
    </row>
    <row r="867" spans="1:2" x14ac:dyDescent="0.25">
      <c r="A867">
        <v>3.1079083681106567E-2</v>
      </c>
      <c r="B867">
        <v>0.14574301242828369</v>
      </c>
    </row>
    <row r="868" spans="1:2" x14ac:dyDescent="0.25">
      <c r="A868">
        <v>3.3082593232393265E-2</v>
      </c>
      <c r="B868">
        <v>0.15516954660415649</v>
      </c>
    </row>
    <row r="869" spans="1:2" x14ac:dyDescent="0.25">
      <c r="A869">
        <v>3.3011190593242645E-2</v>
      </c>
      <c r="B869">
        <v>8.1604473292827606E-2</v>
      </c>
    </row>
    <row r="870" spans="1:2" x14ac:dyDescent="0.25">
      <c r="A870">
        <v>3.1890604645013809E-2</v>
      </c>
      <c r="B870">
        <v>1.1067739725112915</v>
      </c>
    </row>
    <row r="871" spans="1:2" x14ac:dyDescent="0.25">
      <c r="A871">
        <v>2.9686324298381805E-2</v>
      </c>
      <c r="B871">
        <v>0.56431961059570313</v>
      </c>
    </row>
    <row r="872" spans="1:2" x14ac:dyDescent="0.25">
      <c r="A872">
        <v>3.0584964901208878E-2</v>
      </c>
      <c r="B872">
        <v>0.18191857635974884</v>
      </c>
    </row>
    <row r="873" spans="1:2" x14ac:dyDescent="0.25">
      <c r="A873">
        <v>0.12173132598400116</v>
      </c>
      <c r="B873">
        <v>2.3196253776550293</v>
      </c>
    </row>
    <row r="874" spans="1:2" x14ac:dyDescent="0.25">
      <c r="A874">
        <v>4.0822423994541168E-2</v>
      </c>
      <c r="B874">
        <v>1.402198314666748</v>
      </c>
    </row>
    <row r="875" spans="1:2" x14ac:dyDescent="0.25">
      <c r="A875">
        <v>3.3127542585134506E-2</v>
      </c>
      <c r="B875">
        <v>5.9770312309265137</v>
      </c>
    </row>
    <row r="876" spans="1:2" x14ac:dyDescent="0.25">
      <c r="A876">
        <v>3.288186714053154E-2</v>
      </c>
      <c r="B876">
        <v>0.82119548320770264</v>
      </c>
    </row>
    <row r="877" spans="1:2" x14ac:dyDescent="0.25">
      <c r="A877">
        <v>3.2285496592521667E-2</v>
      </c>
      <c r="B877">
        <v>0.18006828427314758</v>
      </c>
    </row>
    <row r="878" spans="1:2" x14ac:dyDescent="0.25">
      <c r="A878">
        <v>3.3973425626754761E-2</v>
      </c>
      <c r="B878">
        <v>2.199415922164917</v>
      </c>
    </row>
    <row r="879" spans="1:2" x14ac:dyDescent="0.25">
      <c r="A879">
        <v>3.3640425652265549E-2</v>
      </c>
      <c r="B879">
        <v>6.8894205093383789</v>
      </c>
    </row>
    <row r="880" spans="1:2" x14ac:dyDescent="0.25">
      <c r="A880">
        <v>3.033873625099659E-2</v>
      </c>
      <c r="B880">
        <v>0.33047813177108765</v>
      </c>
    </row>
    <row r="881" spans="1:2" x14ac:dyDescent="0.25">
      <c r="A881">
        <v>3.1494811177253723E-2</v>
      </c>
      <c r="B881">
        <v>0.23090684413909912</v>
      </c>
    </row>
    <row r="882" spans="1:2" x14ac:dyDescent="0.25">
      <c r="A882">
        <v>3.1913217157125473E-2</v>
      </c>
      <c r="B882">
        <v>0.21078111231327057</v>
      </c>
    </row>
    <row r="883" spans="1:2" x14ac:dyDescent="0.25">
      <c r="A883">
        <v>3.1075125560164452E-2</v>
      </c>
      <c r="B883">
        <v>0.18956470489501953</v>
      </c>
    </row>
    <row r="884" spans="1:2" x14ac:dyDescent="0.25">
      <c r="A884">
        <v>3.1159659847617149E-2</v>
      </c>
      <c r="B884">
        <v>0.15697099268436432</v>
      </c>
    </row>
    <row r="885" spans="1:2" x14ac:dyDescent="0.25">
      <c r="A885">
        <v>3.1622365117073059E-2</v>
      </c>
      <c r="B885">
        <v>0.15569385886192322</v>
      </c>
    </row>
    <row r="886" spans="1:2" x14ac:dyDescent="0.25">
      <c r="A886">
        <v>3.1274750828742981E-2</v>
      </c>
      <c r="B886">
        <v>0.18371358513832092</v>
      </c>
    </row>
    <row r="887" spans="1:2" x14ac:dyDescent="0.25">
      <c r="A887">
        <v>3.133806586265564E-2</v>
      </c>
      <c r="B887">
        <v>0.23398689925670624</v>
      </c>
    </row>
    <row r="888" spans="1:2" x14ac:dyDescent="0.25">
      <c r="A888">
        <v>3.148438036441803E-2</v>
      </c>
      <c r="B888">
        <v>0.19721686840057373</v>
      </c>
    </row>
    <row r="889" spans="1:2" x14ac:dyDescent="0.25">
      <c r="A889">
        <v>3.4437179565429688E-2</v>
      </c>
      <c r="B889">
        <v>0.20934274792671204</v>
      </c>
    </row>
    <row r="890" spans="1:2" x14ac:dyDescent="0.25">
      <c r="A890">
        <v>2.4679295718669891E-2</v>
      </c>
      <c r="B890">
        <v>0.11709442734718323</v>
      </c>
    </row>
    <row r="891" spans="1:2" x14ac:dyDescent="0.25">
      <c r="A891">
        <v>3.7808079272508621E-2</v>
      </c>
      <c r="B891">
        <v>0.10144467651844025</v>
      </c>
    </row>
    <row r="892" spans="1:2" x14ac:dyDescent="0.25">
      <c r="A892">
        <v>3.2272595912218094E-2</v>
      </c>
      <c r="B892">
        <v>7.7597655355930328E-2</v>
      </c>
    </row>
    <row r="893" spans="1:2" x14ac:dyDescent="0.25">
      <c r="A893">
        <v>3.1355343759059906E-2</v>
      </c>
      <c r="B893">
        <v>5.6871306151151657E-2</v>
      </c>
    </row>
    <row r="894" spans="1:2" x14ac:dyDescent="0.25">
      <c r="A894">
        <v>2.762598916888237E-2</v>
      </c>
      <c r="B894">
        <v>8.160807192325592E-2</v>
      </c>
    </row>
    <row r="895" spans="1:2" x14ac:dyDescent="0.25">
      <c r="A895">
        <v>3.3022534102201462E-2</v>
      </c>
      <c r="B895">
        <v>0.11415156722068787</v>
      </c>
    </row>
    <row r="896" spans="1:2" x14ac:dyDescent="0.25">
      <c r="A896">
        <v>3.1833689659833908E-2</v>
      </c>
      <c r="B896">
        <v>9.003806859254837E-2</v>
      </c>
    </row>
    <row r="897" spans="1:2" x14ac:dyDescent="0.25">
      <c r="A897">
        <v>0.14386910200119019</v>
      </c>
      <c r="B897">
        <v>2.3069522380828857</v>
      </c>
    </row>
    <row r="898" spans="1:2" x14ac:dyDescent="0.25">
      <c r="A898">
        <v>4.6821095049381256E-2</v>
      </c>
      <c r="B898">
        <v>1.4298642873764038</v>
      </c>
    </row>
    <row r="899" spans="1:2" x14ac:dyDescent="0.25">
      <c r="A899">
        <v>3.2550837844610214E-2</v>
      </c>
      <c r="B899">
        <v>0.11082116514444351</v>
      </c>
    </row>
    <row r="900" spans="1:2" x14ac:dyDescent="0.25">
      <c r="A900">
        <v>3.2373681664466858E-2</v>
      </c>
      <c r="B900">
        <v>0.1339695006608963</v>
      </c>
    </row>
    <row r="901" spans="1:2" x14ac:dyDescent="0.25">
      <c r="A901">
        <v>3.0720792710781097E-2</v>
      </c>
      <c r="B901">
        <v>0.10000646859407425</v>
      </c>
    </row>
    <row r="902" spans="1:2" x14ac:dyDescent="0.25">
      <c r="A902">
        <v>3.4312322735786438E-2</v>
      </c>
      <c r="B902">
        <v>0.20975151658058167</v>
      </c>
    </row>
    <row r="903" spans="1:2" x14ac:dyDescent="0.25">
      <c r="A903">
        <v>3.337656706571579E-2</v>
      </c>
      <c r="B903">
        <v>0.34178543090820313</v>
      </c>
    </row>
    <row r="904" spans="1:2" x14ac:dyDescent="0.25">
      <c r="A904">
        <v>2.9538774862885475E-2</v>
      </c>
      <c r="B904">
        <v>0.3416922390460968</v>
      </c>
    </row>
    <row r="905" spans="1:2" x14ac:dyDescent="0.25">
      <c r="A905">
        <v>2.7526402845978737E-2</v>
      </c>
      <c r="B905">
        <v>0.3528728187084198</v>
      </c>
    </row>
    <row r="906" spans="1:2" x14ac:dyDescent="0.25">
      <c r="A906">
        <v>2.7689892798662186E-2</v>
      </c>
      <c r="B906">
        <v>0.33715718984603882</v>
      </c>
    </row>
    <row r="907" spans="1:2" x14ac:dyDescent="0.25">
      <c r="A907">
        <v>2.7369700372219086E-2</v>
      </c>
      <c r="B907">
        <v>0.36571159958839417</v>
      </c>
    </row>
    <row r="908" spans="1:2" x14ac:dyDescent="0.25">
      <c r="A908">
        <v>2.6814732700586319E-2</v>
      </c>
      <c r="B908">
        <v>0.27554163336753845</v>
      </c>
    </row>
    <row r="909" spans="1:2" x14ac:dyDescent="0.25">
      <c r="A909">
        <v>2.5784851983189583E-2</v>
      </c>
      <c r="B909">
        <v>0.2426774799823761</v>
      </c>
    </row>
    <row r="910" spans="1:2" x14ac:dyDescent="0.25">
      <c r="A910">
        <v>2.7063565328717232E-2</v>
      </c>
      <c r="B910">
        <v>0.25116646289825439</v>
      </c>
    </row>
    <row r="911" spans="1:2" x14ac:dyDescent="0.25">
      <c r="A911">
        <v>2.6704953983426094E-2</v>
      </c>
      <c r="B911">
        <v>0.28455978631973267</v>
      </c>
    </row>
    <row r="912" spans="1:2" x14ac:dyDescent="0.25">
      <c r="A912">
        <v>2.2624846547842026E-2</v>
      </c>
      <c r="B912">
        <v>0.11386030912399292</v>
      </c>
    </row>
    <row r="913" spans="1:2" x14ac:dyDescent="0.25">
      <c r="A913">
        <v>2.2332003340125084E-2</v>
      </c>
      <c r="B913">
        <v>0.17501421272754669</v>
      </c>
    </row>
    <row r="914" spans="1:2" x14ac:dyDescent="0.25">
      <c r="A914">
        <v>2.6265203952789307E-2</v>
      </c>
      <c r="B914">
        <v>6.9761589169502258E-2</v>
      </c>
    </row>
    <row r="915" spans="1:2" x14ac:dyDescent="0.25">
      <c r="A915">
        <v>2.8612960129976273E-2</v>
      </c>
      <c r="B915">
        <v>3.310108557343483E-2</v>
      </c>
    </row>
    <row r="916" spans="1:2" x14ac:dyDescent="0.25">
      <c r="A916">
        <v>2.6444021612405777E-2</v>
      </c>
      <c r="B916">
        <v>6.1847284436225891E-2</v>
      </c>
    </row>
    <row r="917" spans="1:2" x14ac:dyDescent="0.25">
      <c r="A917">
        <v>2.8083384037017822E-2</v>
      </c>
      <c r="B917">
        <v>5.5280379951000214E-2</v>
      </c>
    </row>
    <row r="918" spans="1:2" x14ac:dyDescent="0.25">
      <c r="A918">
        <v>2.5638166815042496E-2</v>
      </c>
      <c r="B918">
        <v>1.084761381149292</v>
      </c>
    </row>
    <row r="919" spans="1:2" x14ac:dyDescent="0.25">
      <c r="A919">
        <v>2.5534933432936668E-2</v>
      </c>
      <c r="B919">
        <v>0.71753448247909546</v>
      </c>
    </row>
    <row r="920" spans="1:2" x14ac:dyDescent="0.25">
      <c r="A920">
        <v>2.7566492557525635E-2</v>
      </c>
      <c r="B920">
        <v>0.15580414235591888</v>
      </c>
    </row>
    <row r="921" spans="1:2" x14ac:dyDescent="0.25">
      <c r="A921">
        <v>0.14553214609622955</v>
      </c>
      <c r="B921">
        <v>2.3219766616821289</v>
      </c>
    </row>
    <row r="922" spans="1:2" x14ac:dyDescent="0.25">
      <c r="A922">
        <v>6.2251653522253036E-2</v>
      </c>
      <c r="B922">
        <v>1.3337767124176025</v>
      </c>
    </row>
    <row r="923" spans="1:2" x14ac:dyDescent="0.25">
      <c r="A923">
        <v>2.9677987098693848E-2</v>
      </c>
      <c r="B923">
        <v>0.19611936807632446</v>
      </c>
    </row>
    <row r="924" spans="1:2" x14ac:dyDescent="0.25">
      <c r="A924">
        <v>2.6762599125504494E-2</v>
      </c>
      <c r="B924">
        <v>0.30352306365966797</v>
      </c>
    </row>
    <row r="925" spans="1:2" x14ac:dyDescent="0.25">
      <c r="A925">
        <v>2.8163773939013481E-2</v>
      </c>
      <c r="B925">
        <v>0.42886069416999817</v>
      </c>
    </row>
    <row r="926" spans="1:2" x14ac:dyDescent="0.25">
      <c r="A926">
        <v>2.7507288381457329E-2</v>
      </c>
      <c r="B926">
        <v>0.41299521923065186</v>
      </c>
    </row>
    <row r="927" spans="1:2" x14ac:dyDescent="0.25">
      <c r="A927">
        <v>2.8660440817475319E-2</v>
      </c>
      <c r="B927">
        <v>0.64796191453933716</v>
      </c>
    </row>
    <row r="928" spans="1:2" x14ac:dyDescent="0.25">
      <c r="A928">
        <v>2.7326494455337524E-2</v>
      </c>
      <c r="B928">
        <v>0.51799005270004272</v>
      </c>
    </row>
    <row r="929" spans="1:2" x14ac:dyDescent="0.25">
      <c r="A929">
        <v>2.7273502200841904E-2</v>
      </c>
      <c r="B929">
        <v>0.62963497638702393</v>
      </c>
    </row>
    <row r="930" spans="1:2" x14ac:dyDescent="0.25">
      <c r="A930">
        <v>2.7901738882064819E-2</v>
      </c>
      <c r="B930">
        <v>0.56006211042404175</v>
      </c>
    </row>
    <row r="931" spans="1:2" x14ac:dyDescent="0.25">
      <c r="A931">
        <v>2.7429727837443352E-2</v>
      </c>
      <c r="B931">
        <v>0.64376771450042725</v>
      </c>
    </row>
    <row r="932" spans="1:2" x14ac:dyDescent="0.25">
      <c r="A932">
        <v>2.738485112786293E-2</v>
      </c>
      <c r="B932">
        <v>0.58018040657043457</v>
      </c>
    </row>
    <row r="933" spans="1:2" x14ac:dyDescent="0.25">
      <c r="A933">
        <v>2.8399363160133362E-2</v>
      </c>
      <c r="B933">
        <v>0.67758649587631226</v>
      </c>
    </row>
    <row r="934" spans="1:2" x14ac:dyDescent="0.25">
      <c r="A934">
        <v>2.7356795966625214E-2</v>
      </c>
      <c r="B934">
        <v>0.58904540538787842</v>
      </c>
    </row>
    <row r="935" spans="1:2" x14ac:dyDescent="0.25">
      <c r="A935">
        <v>2.7051575481891632E-2</v>
      </c>
      <c r="B935">
        <v>0.69437342882156372</v>
      </c>
    </row>
    <row r="936" spans="1:2" x14ac:dyDescent="0.25">
      <c r="A936">
        <v>2.2534392774105072E-2</v>
      </c>
      <c r="B936">
        <v>0.52487200498580933</v>
      </c>
    </row>
    <row r="937" spans="1:2" x14ac:dyDescent="0.25">
      <c r="A937">
        <v>2.1676229313015938E-2</v>
      </c>
      <c r="B937">
        <v>0.30403178930282593</v>
      </c>
    </row>
    <row r="938" spans="1:2" x14ac:dyDescent="0.25">
      <c r="A938">
        <v>1.9975598901510239E-2</v>
      </c>
      <c r="B938">
        <v>0.20774292945861816</v>
      </c>
    </row>
    <row r="939" spans="1:2" x14ac:dyDescent="0.25">
      <c r="A939">
        <v>2.7729013934731483E-2</v>
      </c>
      <c r="B939">
        <v>0.1219184398651123</v>
      </c>
    </row>
    <row r="940" spans="1:2" x14ac:dyDescent="0.25">
      <c r="A940">
        <v>2.7300069108605385E-2</v>
      </c>
      <c r="B940">
        <v>1.5943344682455063E-2</v>
      </c>
    </row>
    <row r="941" spans="1:2" x14ac:dyDescent="0.25">
      <c r="A941">
        <v>2.6230219751596451E-2</v>
      </c>
      <c r="B941">
        <v>8.7275430560112E-2</v>
      </c>
    </row>
    <row r="942" spans="1:2" x14ac:dyDescent="0.25">
      <c r="A942">
        <v>2.6067456230521202E-2</v>
      </c>
      <c r="B942">
        <v>9.4588689506053925E-2</v>
      </c>
    </row>
    <row r="943" spans="1:2" x14ac:dyDescent="0.25">
      <c r="A943">
        <v>2.6704588904976845E-2</v>
      </c>
      <c r="B943">
        <v>7.226870208978653E-2</v>
      </c>
    </row>
    <row r="944" spans="1:2" x14ac:dyDescent="0.25">
      <c r="A944">
        <v>2.8592247515916824E-2</v>
      </c>
      <c r="B944">
        <v>0.11165845394134521</v>
      </c>
    </row>
    <row r="945" spans="1:2" x14ac:dyDescent="0.25">
      <c r="A945">
        <v>0.14226888120174408</v>
      </c>
      <c r="B945">
        <v>2.3467209339141846</v>
      </c>
    </row>
    <row r="946" spans="1:2" x14ac:dyDescent="0.25">
      <c r="A946">
        <v>5.7419907301664352E-2</v>
      </c>
      <c r="B946">
        <v>1.3778585195541382</v>
      </c>
    </row>
    <row r="947" spans="1:2" x14ac:dyDescent="0.25">
      <c r="A947">
        <v>2.8789535164833069E-2</v>
      </c>
      <c r="B947">
        <v>0.39521631598472595</v>
      </c>
    </row>
    <row r="948" spans="1:2" x14ac:dyDescent="0.25">
      <c r="A948">
        <v>2.7436617761850357E-2</v>
      </c>
      <c r="B948">
        <v>0.42206639051437378</v>
      </c>
    </row>
    <row r="949" spans="1:2" x14ac:dyDescent="0.25">
      <c r="A949">
        <v>2.7502477169036865E-2</v>
      </c>
      <c r="B949">
        <v>0.69340640306472778</v>
      </c>
    </row>
    <row r="950" spans="1:2" x14ac:dyDescent="0.25">
      <c r="A950">
        <v>2.638930082321167E-2</v>
      </c>
      <c r="B950">
        <v>0.6947283148765564</v>
      </c>
    </row>
    <row r="951" spans="1:2" x14ac:dyDescent="0.25">
      <c r="A951">
        <v>3.3684708178043365E-2</v>
      </c>
      <c r="B951">
        <v>0.72936928272247314</v>
      </c>
    </row>
    <row r="952" spans="1:2" x14ac:dyDescent="0.25">
      <c r="A952">
        <v>4.2265009135007858E-2</v>
      </c>
      <c r="B952">
        <v>0.66121524572372437</v>
      </c>
    </row>
    <row r="953" spans="1:2" x14ac:dyDescent="0.25">
      <c r="A953">
        <v>3.2715942710638046E-2</v>
      </c>
      <c r="B953">
        <v>0.8001401424407959</v>
      </c>
    </row>
    <row r="954" spans="1:2" x14ac:dyDescent="0.25">
      <c r="A954">
        <v>3.2819148153066635E-2</v>
      </c>
      <c r="B954">
        <v>0.7428281307220459</v>
      </c>
    </row>
    <row r="955" spans="1:2" x14ac:dyDescent="0.25">
      <c r="A955">
        <v>3.2339144498109818E-2</v>
      </c>
      <c r="B955">
        <v>0.84982079267501831</v>
      </c>
    </row>
    <row r="956" spans="1:2" x14ac:dyDescent="0.25">
      <c r="A956">
        <v>3.1803026795387268E-2</v>
      </c>
      <c r="B956">
        <v>0.72796618938446045</v>
      </c>
    </row>
    <row r="957" spans="1:2" x14ac:dyDescent="0.25">
      <c r="A957">
        <v>3.2415691763162613E-2</v>
      </c>
      <c r="B957">
        <v>0.83913815021514893</v>
      </c>
    </row>
    <row r="958" spans="1:2" x14ac:dyDescent="0.25">
      <c r="A958">
        <v>3.162723034620285E-2</v>
      </c>
      <c r="B958">
        <v>0.72356730699539185</v>
      </c>
    </row>
    <row r="959" spans="1:2" x14ac:dyDescent="0.25">
      <c r="A959">
        <v>3.1049083918333054E-2</v>
      </c>
      <c r="B959">
        <v>0.79808062314987183</v>
      </c>
    </row>
    <row r="960" spans="1:2" x14ac:dyDescent="0.25">
      <c r="A960">
        <v>2.3365668952465057E-2</v>
      </c>
      <c r="B960">
        <v>0.50070887804031372</v>
      </c>
    </row>
    <row r="961" spans="1:2" x14ac:dyDescent="0.25">
      <c r="A961">
        <v>2.8268814086914063E-2</v>
      </c>
      <c r="B961">
        <v>0.19043616950511932</v>
      </c>
    </row>
    <row r="962" spans="1:2" x14ac:dyDescent="0.25">
      <c r="A962">
        <v>3.0383234843611717E-2</v>
      </c>
      <c r="B962">
        <v>6.9092974066734314E-2</v>
      </c>
    </row>
    <row r="963" spans="1:2" x14ac:dyDescent="0.25">
      <c r="A963">
        <v>3.2409735023975372E-2</v>
      </c>
      <c r="B963">
        <v>4.8606239259243011E-2</v>
      </c>
    </row>
    <row r="964" spans="1:2" x14ac:dyDescent="0.25">
      <c r="A964">
        <v>3.2186124473810196E-2</v>
      </c>
      <c r="B964">
        <v>8.6995869874954224E-2</v>
      </c>
    </row>
    <row r="965" spans="1:2" x14ac:dyDescent="0.25">
      <c r="A965">
        <v>3.3642981201410294E-2</v>
      </c>
      <c r="B965">
        <v>4.2361527681350708E-2</v>
      </c>
    </row>
    <row r="966" spans="1:2" x14ac:dyDescent="0.25">
      <c r="A966">
        <v>2.9150351881980896E-2</v>
      </c>
      <c r="B966">
        <v>0.47883188724517822</v>
      </c>
    </row>
    <row r="967" spans="1:2" x14ac:dyDescent="0.25">
      <c r="A967">
        <v>3.2752528786659241E-2</v>
      </c>
      <c r="B967">
        <v>0.65063101053237915</v>
      </c>
    </row>
    <row r="968" spans="1:2" x14ac:dyDescent="0.25">
      <c r="A968">
        <v>2.9486153274774551E-2</v>
      </c>
      <c r="B968">
        <v>0.10591625422239304</v>
      </c>
    </row>
    <row r="969" spans="1:2" x14ac:dyDescent="0.25">
      <c r="A969">
        <v>0.15986274182796478</v>
      </c>
      <c r="B969">
        <v>2.3479690551757813</v>
      </c>
    </row>
    <row r="970" spans="1:2" x14ac:dyDescent="0.25">
      <c r="A970">
        <v>6.3679605722427368E-2</v>
      </c>
      <c r="B970">
        <v>1.3183417320251465</v>
      </c>
    </row>
    <row r="971" spans="1:2" x14ac:dyDescent="0.25">
      <c r="A971">
        <v>3.9339557290077209E-2</v>
      </c>
      <c r="B971">
        <v>0.12865008413791656</v>
      </c>
    </row>
    <row r="972" spans="1:2" x14ac:dyDescent="0.25">
      <c r="A972">
        <v>3.4609243273735046E-2</v>
      </c>
      <c r="B972">
        <v>0.156630739569664</v>
      </c>
    </row>
    <row r="973" spans="1:2" x14ac:dyDescent="0.25">
      <c r="A973">
        <v>3.2089963555335999E-2</v>
      </c>
      <c r="B973">
        <v>0.35704383254051208</v>
      </c>
    </row>
    <row r="974" spans="1:2" x14ac:dyDescent="0.25">
      <c r="A974">
        <v>3.1965319067239761E-2</v>
      </c>
      <c r="B974">
        <v>0.33237263560295105</v>
      </c>
    </row>
    <row r="975" spans="1:2" x14ac:dyDescent="0.25">
      <c r="A975">
        <v>3.2000526785850525E-2</v>
      </c>
      <c r="B975">
        <v>0.40072861313819885</v>
      </c>
    </row>
    <row r="976" spans="1:2" x14ac:dyDescent="0.25">
      <c r="A976">
        <v>3.1595621258020401E-2</v>
      </c>
      <c r="B976">
        <v>0.45398592948913574</v>
      </c>
    </row>
    <row r="977" spans="1:2" x14ac:dyDescent="0.25">
      <c r="A977">
        <v>3.1875427812337875E-2</v>
      </c>
      <c r="B977">
        <v>0.55681121349334717</v>
      </c>
    </row>
    <row r="978" spans="1:2" x14ac:dyDescent="0.25">
      <c r="A978">
        <v>3.3469051122665405E-2</v>
      </c>
      <c r="B978">
        <v>0.5179557204246521</v>
      </c>
    </row>
    <row r="979" spans="1:2" x14ac:dyDescent="0.25">
      <c r="A979">
        <v>3.1900342553853989E-2</v>
      </c>
      <c r="B979">
        <v>0.68621307611465454</v>
      </c>
    </row>
    <row r="980" spans="1:2" x14ac:dyDescent="0.25">
      <c r="A980">
        <v>3.22287417948246E-2</v>
      </c>
      <c r="B980">
        <v>0.65972143411636353</v>
      </c>
    </row>
    <row r="981" spans="1:2" x14ac:dyDescent="0.25">
      <c r="A981">
        <v>3.1450901180505753E-2</v>
      </c>
      <c r="B981">
        <v>0.7422446608543396</v>
      </c>
    </row>
    <row r="982" spans="1:2" x14ac:dyDescent="0.25">
      <c r="A982">
        <v>3.1956769526004791E-2</v>
      </c>
      <c r="B982">
        <v>0.66664624214172363</v>
      </c>
    </row>
    <row r="983" spans="1:2" x14ac:dyDescent="0.25">
      <c r="A983">
        <v>3.0820725485682487E-2</v>
      </c>
      <c r="B983">
        <v>0.61548149585723877</v>
      </c>
    </row>
    <row r="984" spans="1:2" x14ac:dyDescent="0.25">
      <c r="A984">
        <v>2.7850359678268433E-2</v>
      </c>
      <c r="B984">
        <v>0.235369011759758</v>
      </c>
    </row>
    <row r="985" spans="1:2" x14ac:dyDescent="0.25">
      <c r="A985">
        <v>2.8490569442510605E-2</v>
      </c>
      <c r="B985">
        <v>0.14017033576965332</v>
      </c>
    </row>
    <row r="986" spans="1:2" x14ac:dyDescent="0.25">
      <c r="A986">
        <v>3.329906240105629E-2</v>
      </c>
      <c r="B986">
        <v>0.12176195532083511</v>
      </c>
    </row>
    <row r="987" spans="1:2" x14ac:dyDescent="0.25">
      <c r="A987">
        <v>3.3066555857658386E-2</v>
      </c>
      <c r="B987">
        <v>7.6595626771450043E-2</v>
      </c>
    </row>
    <row r="988" spans="1:2" x14ac:dyDescent="0.25">
      <c r="A988">
        <v>3.8161396980285645E-2</v>
      </c>
      <c r="B988">
        <v>0.11342848092317581</v>
      </c>
    </row>
    <row r="989" spans="1:2" x14ac:dyDescent="0.25">
      <c r="A989">
        <v>0.20924295485019684</v>
      </c>
      <c r="B989">
        <v>0.11814659088850021</v>
      </c>
    </row>
    <row r="990" spans="1:2" x14ac:dyDescent="0.25">
      <c r="A990">
        <v>3.6330658942461014E-2</v>
      </c>
      <c r="B990">
        <v>0.11193566769361496</v>
      </c>
    </row>
    <row r="991" spans="1:2" x14ac:dyDescent="0.25">
      <c r="A991">
        <v>3.0232293531298637E-2</v>
      </c>
      <c r="B991">
        <v>0.10239462554454803</v>
      </c>
    </row>
    <row r="992" spans="1:2" x14ac:dyDescent="0.25">
      <c r="A992">
        <v>2.8698593378067017E-2</v>
      </c>
      <c r="B992">
        <v>0.12949866056442261</v>
      </c>
    </row>
    <row r="993" spans="1:2" x14ac:dyDescent="0.25">
      <c r="A993">
        <v>0.15214583277702332</v>
      </c>
      <c r="B993">
        <v>2.3385460376739502</v>
      </c>
    </row>
    <row r="994" spans="1:2" x14ac:dyDescent="0.25">
      <c r="A994">
        <v>0.11523104459047318</v>
      </c>
      <c r="B994">
        <v>1.3144445419311523</v>
      </c>
    </row>
    <row r="995" spans="1:2" x14ac:dyDescent="0.25">
      <c r="A995">
        <v>3.630298376083374E-2</v>
      </c>
      <c r="B995">
        <v>0.22298415005207062</v>
      </c>
    </row>
    <row r="996" spans="1:2" x14ac:dyDescent="0.25">
      <c r="A996">
        <v>3.6733299493789673E-2</v>
      </c>
      <c r="B996">
        <v>0.14619596302509308</v>
      </c>
    </row>
    <row r="997" spans="1:2" x14ac:dyDescent="0.25">
      <c r="A997">
        <v>3.2773479819297791E-2</v>
      </c>
      <c r="B997">
        <v>0.44432401657104492</v>
      </c>
    </row>
    <row r="998" spans="1:2" x14ac:dyDescent="0.25">
      <c r="A998">
        <v>3.0350107699632645E-2</v>
      </c>
      <c r="B998">
        <v>0.47149723768234253</v>
      </c>
    </row>
    <row r="999" spans="1:2" x14ac:dyDescent="0.25">
      <c r="A999">
        <v>3.3635810017585754E-2</v>
      </c>
      <c r="B999">
        <v>0.53789454698562622</v>
      </c>
    </row>
    <row r="1000" spans="1:2" x14ac:dyDescent="0.25">
      <c r="A1000">
        <v>3.2755326479673386E-2</v>
      </c>
      <c r="B1000">
        <v>0.53021770715713501</v>
      </c>
    </row>
    <row r="1001" spans="1:2" x14ac:dyDescent="0.25">
      <c r="A1001">
        <v>3.4737162292003632E-2</v>
      </c>
      <c r="B1001">
        <v>0.70474231243133545</v>
      </c>
    </row>
    <row r="1002" spans="1:2" x14ac:dyDescent="0.25">
      <c r="A1002">
        <v>3.293793648481369E-2</v>
      </c>
      <c r="B1002">
        <v>0.7596580982208252</v>
      </c>
    </row>
    <row r="1003" spans="1:2" x14ac:dyDescent="0.25">
      <c r="A1003">
        <v>3.1530015170574188E-2</v>
      </c>
      <c r="B1003">
        <v>0.89731299877166748</v>
      </c>
    </row>
    <row r="1004" spans="1:2" x14ac:dyDescent="0.25">
      <c r="A1004">
        <v>3.227568045258522E-2</v>
      </c>
      <c r="B1004">
        <v>0.8113713264465332</v>
      </c>
    </row>
    <row r="1005" spans="1:2" x14ac:dyDescent="0.25">
      <c r="A1005">
        <v>3.0433926731348038E-2</v>
      </c>
      <c r="B1005">
        <v>0.90828579664230347</v>
      </c>
    </row>
    <row r="1006" spans="1:2" x14ac:dyDescent="0.25">
      <c r="A1006">
        <v>2.891046553850174E-2</v>
      </c>
      <c r="B1006">
        <v>0.57549810409545898</v>
      </c>
    </row>
    <row r="1007" spans="1:2" x14ac:dyDescent="0.25">
      <c r="A1007">
        <v>2.9089434072375298E-2</v>
      </c>
      <c r="B1007">
        <v>0.57994097471237183</v>
      </c>
    </row>
    <row r="1008" spans="1:2" x14ac:dyDescent="0.25">
      <c r="A1008">
        <v>3.0225431546568871E-2</v>
      </c>
      <c r="B1008">
        <v>0.43671351671218872</v>
      </c>
    </row>
    <row r="1009" spans="1:2" x14ac:dyDescent="0.25">
      <c r="A1009">
        <v>1.9544064998626709E-2</v>
      </c>
      <c r="B1009">
        <v>0.22908201813697815</v>
      </c>
    </row>
    <row r="1010" spans="1:2" x14ac:dyDescent="0.25">
      <c r="A1010">
        <v>5.5034416727721691E-3</v>
      </c>
      <c r="B1010">
        <v>6.9790080189704895E-2</v>
      </c>
    </row>
    <row r="1011" spans="1:2" x14ac:dyDescent="0.25">
      <c r="A1011">
        <v>1.1393365450203419E-2</v>
      </c>
      <c r="B1011">
        <v>0.10392512381076813</v>
      </c>
    </row>
    <row r="1012" spans="1:2" x14ac:dyDescent="0.25">
      <c r="A1012">
        <v>1.5264046378433704E-2</v>
      </c>
      <c r="B1012">
        <v>2.1548997610807419E-2</v>
      </c>
    </row>
    <row r="1013" spans="1:2" x14ac:dyDescent="0.25">
      <c r="A1013">
        <v>2.8877301141619682E-2</v>
      </c>
      <c r="B1013">
        <v>0.11561328172683716</v>
      </c>
    </row>
    <row r="1014" spans="1:2" x14ac:dyDescent="0.25">
      <c r="A1014">
        <v>3.2056406140327454E-2</v>
      </c>
      <c r="B1014">
        <v>0.45903778076171875</v>
      </c>
    </row>
    <row r="1015" spans="1:2" x14ac:dyDescent="0.25">
      <c r="A1015">
        <v>3.2973527908325195E-2</v>
      </c>
      <c r="B1015">
        <v>0.64073079824447632</v>
      </c>
    </row>
    <row r="1016" spans="1:2" x14ac:dyDescent="0.25">
      <c r="A1016">
        <v>3.2951924949884415E-2</v>
      </c>
      <c r="B1016">
        <v>7.8172981739044189E-2</v>
      </c>
    </row>
    <row r="1017" spans="1:2" x14ac:dyDescent="0.25">
      <c r="A1017">
        <v>0.15116322040557861</v>
      </c>
      <c r="B1017">
        <v>2.2732598781585693</v>
      </c>
    </row>
    <row r="1018" spans="1:2" x14ac:dyDescent="0.25">
      <c r="A1018">
        <v>5.9958070516586304E-2</v>
      </c>
      <c r="B1018">
        <v>3.2534406185150146</v>
      </c>
    </row>
    <row r="1019" spans="1:2" x14ac:dyDescent="0.25">
      <c r="A1019">
        <v>3.6752235144376755E-2</v>
      </c>
      <c r="B1019">
        <v>4.3464088439941406</v>
      </c>
    </row>
    <row r="1020" spans="1:2" x14ac:dyDescent="0.25">
      <c r="A1020">
        <v>3.1936537474393845E-2</v>
      </c>
      <c r="B1020">
        <v>0.37364089488983154</v>
      </c>
    </row>
    <row r="1021" spans="1:2" x14ac:dyDescent="0.25">
      <c r="A1021">
        <v>3.3614251762628555E-2</v>
      </c>
      <c r="B1021">
        <v>0.38419926166534424</v>
      </c>
    </row>
    <row r="1022" spans="1:2" x14ac:dyDescent="0.25">
      <c r="A1022">
        <v>3.7948645651340485E-2</v>
      </c>
      <c r="B1022">
        <v>0.42258122563362122</v>
      </c>
    </row>
    <row r="1023" spans="1:2" x14ac:dyDescent="0.25">
      <c r="A1023">
        <v>3.1618613749742508E-2</v>
      </c>
      <c r="B1023">
        <v>0.75467658042907715</v>
      </c>
    </row>
    <row r="1024" spans="1:2" x14ac:dyDescent="0.25">
      <c r="A1024">
        <v>3.3274330198764801E-2</v>
      </c>
      <c r="B1024">
        <v>0.86378103494644165</v>
      </c>
    </row>
    <row r="1025" spans="1:2" x14ac:dyDescent="0.25">
      <c r="A1025">
        <v>3.1800083816051483E-2</v>
      </c>
      <c r="B1025">
        <v>1.116901159286499</v>
      </c>
    </row>
    <row r="1026" spans="1:2" x14ac:dyDescent="0.25">
      <c r="A1026">
        <v>3.1537476927042007E-2</v>
      </c>
      <c r="B1026">
        <v>1.013967752456665</v>
      </c>
    </row>
    <row r="1027" spans="1:2" x14ac:dyDescent="0.25">
      <c r="A1027">
        <v>3.2336588948965073E-2</v>
      </c>
      <c r="B1027">
        <v>1.2093920707702637</v>
      </c>
    </row>
    <row r="1028" spans="1:2" x14ac:dyDescent="0.25">
      <c r="A1028">
        <v>3.2177310436964035E-2</v>
      </c>
      <c r="B1028">
        <v>1.0599733591079712</v>
      </c>
    </row>
    <row r="1029" spans="1:2" x14ac:dyDescent="0.25">
      <c r="A1029">
        <v>3.2631013542413712E-2</v>
      </c>
      <c r="B1029">
        <v>1.0875285863876343</v>
      </c>
    </row>
    <row r="1030" spans="1:2" x14ac:dyDescent="0.25">
      <c r="A1030">
        <v>3.18601094186306E-2</v>
      </c>
      <c r="B1030">
        <v>0.96607506275177002</v>
      </c>
    </row>
    <row r="1031" spans="1:2" x14ac:dyDescent="0.25">
      <c r="A1031">
        <v>3.144482895731926E-2</v>
      </c>
      <c r="B1031">
        <v>1.1377918720245361</v>
      </c>
    </row>
    <row r="1032" spans="1:2" x14ac:dyDescent="0.25">
      <c r="A1032">
        <v>3.2080728560686111E-2</v>
      </c>
      <c r="B1032">
        <v>1.0076987743377686</v>
      </c>
    </row>
    <row r="1033" spans="1:2" x14ac:dyDescent="0.25">
      <c r="A1033">
        <v>2.7883522212505341E-2</v>
      </c>
      <c r="B1033">
        <v>0.69110417366027832</v>
      </c>
    </row>
    <row r="1034" spans="1:2" x14ac:dyDescent="0.25">
      <c r="A1034">
        <v>2.41242665797472E-2</v>
      </c>
      <c r="B1034">
        <v>0.2083839625120163</v>
      </c>
    </row>
    <row r="1035" spans="1:2" x14ac:dyDescent="0.25">
      <c r="A1035">
        <v>2.6079019531607628E-2</v>
      </c>
      <c r="B1035">
        <v>8.9640974998474121E-2</v>
      </c>
    </row>
    <row r="1036" spans="1:2" x14ac:dyDescent="0.25">
      <c r="A1036">
        <v>3.3237773925065994E-2</v>
      </c>
      <c r="B1036">
        <v>4.2525496333837509E-2</v>
      </c>
    </row>
    <row r="1037" spans="1:2" x14ac:dyDescent="0.25">
      <c r="A1037">
        <v>3.2623324543237686E-2</v>
      </c>
      <c r="B1037">
        <v>7.7406018972396851E-2</v>
      </c>
    </row>
    <row r="1038" spans="1:2" x14ac:dyDescent="0.25">
      <c r="A1038">
        <v>3.0646964907646179E-2</v>
      </c>
      <c r="B1038">
        <v>9.017036110162735E-2</v>
      </c>
    </row>
    <row r="1039" spans="1:2" x14ac:dyDescent="0.25">
      <c r="A1039">
        <v>3.0665626749396324E-2</v>
      </c>
      <c r="B1039">
        <v>5.7011689990758896E-2</v>
      </c>
    </row>
    <row r="1040" spans="1:2" x14ac:dyDescent="0.25">
      <c r="A1040">
        <v>3.4311141818761826E-2</v>
      </c>
      <c r="B1040">
        <v>0.14970740675926208</v>
      </c>
    </row>
    <row r="1041" spans="1:2" x14ac:dyDescent="0.25">
      <c r="A1041">
        <v>0.121019646525383</v>
      </c>
      <c r="B1041">
        <v>2.3064882755279541</v>
      </c>
    </row>
    <row r="1042" spans="1:2" x14ac:dyDescent="0.25">
      <c r="A1042">
        <v>3.1290248036384583E-2</v>
      </c>
      <c r="B1042">
        <v>1.5644583702087402</v>
      </c>
    </row>
    <row r="1043" spans="1:2" x14ac:dyDescent="0.25">
      <c r="A1043">
        <v>3.3870387822389603E-2</v>
      </c>
      <c r="B1043">
        <v>6.2041187286376953</v>
      </c>
    </row>
    <row r="1044" spans="1:2" x14ac:dyDescent="0.25">
      <c r="A1044">
        <v>3.2640255987644196E-2</v>
      </c>
      <c r="B1044">
        <v>0.68794310092926025</v>
      </c>
    </row>
    <row r="1045" spans="1:2" x14ac:dyDescent="0.25">
      <c r="A1045">
        <v>3.1047364696860313E-2</v>
      </c>
      <c r="B1045">
        <v>0.59331172704696655</v>
      </c>
    </row>
    <row r="1046" spans="1:2" x14ac:dyDescent="0.25">
      <c r="A1046">
        <v>3.214254230260849E-2</v>
      </c>
      <c r="B1046">
        <v>0.50946879386901855</v>
      </c>
    </row>
    <row r="1047" spans="1:2" x14ac:dyDescent="0.25">
      <c r="A1047">
        <v>3.1344201415777206E-2</v>
      </c>
      <c r="B1047">
        <v>0.52575838565826416</v>
      </c>
    </row>
    <row r="1048" spans="1:2" x14ac:dyDescent="0.25">
      <c r="A1048">
        <v>3.5156678408384323E-2</v>
      </c>
      <c r="B1048">
        <v>0.62540698051452637</v>
      </c>
    </row>
    <row r="1049" spans="1:2" x14ac:dyDescent="0.25">
      <c r="A1049">
        <v>3.1498774886131287E-2</v>
      </c>
      <c r="B1049">
        <v>0.35477477312088013</v>
      </c>
    </row>
    <row r="1050" spans="1:2" x14ac:dyDescent="0.25">
      <c r="A1050">
        <v>3.1676400452852249E-2</v>
      </c>
      <c r="B1050">
        <v>0.52103632688522339</v>
      </c>
    </row>
    <row r="1051" spans="1:2" x14ac:dyDescent="0.25">
      <c r="A1051">
        <v>3.0457079410552979E-2</v>
      </c>
      <c r="B1051">
        <v>0.48933723568916321</v>
      </c>
    </row>
    <row r="1052" spans="1:2" x14ac:dyDescent="0.25">
      <c r="A1052">
        <v>3.2204397022724152E-2</v>
      </c>
      <c r="B1052">
        <v>0.40266788005828857</v>
      </c>
    </row>
    <row r="1053" spans="1:2" x14ac:dyDescent="0.25">
      <c r="A1053">
        <v>3.1603936105966568E-2</v>
      </c>
      <c r="B1053">
        <v>0.4600469172000885</v>
      </c>
    </row>
    <row r="1054" spans="1:2" x14ac:dyDescent="0.25">
      <c r="A1054">
        <v>3.6649670451879501E-2</v>
      </c>
      <c r="B1054">
        <v>0.43309196829795837</v>
      </c>
    </row>
    <row r="1055" spans="1:2" x14ac:dyDescent="0.25">
      <c r="A1055">
        <v>3.793715313076973E-2</v>
      </c>
      <c r="B1055">
        <v>0.71543145179748535</v>
      </c>
    </row>
    <row r="1056" spans="1:2" x14ac:dyDescent="0.25">
      <c r="A1056">
        <v>3.0181996524333954E-2</v>
      </c>
      <c r="B1056">
        <v>0.77376550436019897</v>
      </c>
    </row>
    <row r="1057" spans="1:2" x14ac:dyDescent="0.25">
      <c r="A1057">
        <v>3.1656205654144287E-2</v>
      </c>
      <c r="B1057">
        <v>0.89082390069961548</v>
      </c>
    </row>
    <row r="1058" spans="1:2" x14ac:dyDescent="0.25">
      <c r="A1058">
        <v>3.0805183574557304E-2</v>
      </c>
      <c r="B1058">
        <v>0.7690349817276001</v>
      </c>
    </row>
    <row r="1059" spans="1:2" x14ac:dyDescent="0.25">
      <c r="A1059">
        <v>2.9714399948716164E-2</v>
      </c>
      <c r="B1059">
        <v>0.6015281081199646</v>
      </c>
    </row>
    <row r="1060" spans="1:2" x14ac:dyDescent="0.25">
      <c r="A1060">
        <v>2.6200596243143082E-2</v>
      </c>
      <c r="B1060">
        <v>0.17238731682300568</v>
      </c>
    </row>
    <row r="1061" spans="1:2" x14ac:dyDescent="0.25">
      <c r="A1061">
        <v>2.7057494968175888E-2</v>
      </c>
      <c r="B1061">
        <v>0.1618552953004837</v>
      </c>
    </row>
    <row r="1062" spans="1:2" x14ac:dyDescent="0.25">
      <c r="A1062">
        <v>2.7182966470718384E-2</v>
      </c>
      <c r="B1062">
        <v>0.51999080181121826</v>
      </c>
    </row>
    <row r="1063" spans="1:2" x14ac:dyDescent="0.25">
      <c r="A1063">
        <v>3.4164268523454666E-2</v>
      </c>
      <c r="B1063">
        <v>0.66135168075561523</v>
      </c>
    </row>
    <row r="1064" spans="1:2" x14ac:dyDescent="0.25">
      <c r="A1064">
        <v>3.3129539340734482E-2</v>
      </c>
      <c r="B1064">
        <v>8.367764949798584E-2</v>
      </c>
    </row>
    <row r="1065" spans="1:2" x14ac:dyDescent="0.25">
      <c r="A1065">
        <v>0.20648889243602753</v>
      </c>
      <c r="B1065">
        <v>2.2712240219116211</v>
      </c>
    </row>
    <row r="1066" spans="1:2" x14ac:dyDescent="0.25">
      <c r="A1066">
        <v>0.16363924741744995</v>
      </c>
      <c r="B1066">
        <v>1.3414996862411499</v>
      </c>
    </row>
    <row r="1067" spans="1:2" x14ac:dyDescent="0.25">
      <c r="A1067">
        <v>2.3949962109327316E-2</v>
      </c>
      <c r="B1067">
        <v>0.14055384695529938</v>
      </c>
    </row>
    <row r="1068" spans="1:2" x14ac:dyDescent="0.25">
      <c r="A1068">
        <v>3.0526448041200638E-2</v>
      </c>
      <c r="B1068">
        <v>0.23550261557102203</v>
      </c>
    </row>
    <row r="1069" spans="1:2" x14ac:dyDescent="0.25">
      <c r="A1069">
        <v>3.1763177365064621E-2</v>
      </c>
      <c r="B1069">
        <v>0.3706895112991333</v>
      </c>
    </row>
    <row r="1070" spans="1:2" x14ac:dyDescent="0.25">
      <c r="A1070">
        <v>3.1955640763044357E-2</v>
      </c>
      <c r="B1070">
        <v>0.42094594240188599</v>
      </c>
    </row>
    <row r="1071" spans="1:2" x14ac:dyDescent="0.25">
      <c r="A1071">
        <v>3.620075061917305E-2</v>
      </c>
      <c r="B1071">
        <v>0.56200975179672241</v>
      </c>
    </row>
    <row r="1072" spans="1:2" x14ac:dyDescent="0.25">
      <c r="A1072">
        <v>3.6405190825462341E-2</v>
      </c>
      <c r="B1072">
        <v>0.44647061824798584</v>
      </c>
    </row>
    <row r="1073" spans="1:2" x14ac:dyDescent="0.25">
      <c r="A1073">
        <v>3.3066693693399429E-2</v>
      </c>
      <c r="B1073">
        <v>0.69885349273681641</v>
      </c>
    </row>
    <row r="1074" spans="1:2" x14ac:dyDescent="0.25">
      <c r="A1074">
        <v>3.1622372567653656E-2</v>
      </c>
      <c r="B1074">
        <v>0.7638821005821228</v>
      </c>
    </row>
    <row r="1075" spans="1:2" x14ac:dyDescent="0.25">
      <c r="A1075">
        <v>2.7447761967778206E-2</v>
      </c>
      <c r="B1075">
        <v>0.8795819878578186</v>
      </c>
    </row>
    <row r="1076" spans="1:2" x14ac:dyDescent="0.25">
      <c r="A1076">
        <v>2.6680551469326019E-2</v>
      </c>
      <c r="B1076">
        <v>0.83569002151489258</v>
      </c>
    </row>
    <row r="1077" spans="1:2" x14ac:dyDescent="0.25">
      <c r="A1077">
        <v>2.6490991935133934E-2</v>
      </c>
      <c r="B1077">
        <v>0.95343494415283203</v>
      </c>
    </row>
    <row r="1078" spans="1:2" x14ac:dyDescent="0.25">
      <c r="A1078">
        <v>2.6335909962654114E-2</v>
      </c>
      <c r="B1078">
        <v>0.84442943334579468</v>
      </c>
    </row>
    <row r="1079" spans="1:2" x14ac:dyDescent="0.25">
      <c r="A1079">
        <v>2.9233230277895927E-2</v>
      </c>
      <c r="B1079">
        <v>0.74139463901519775</v>
      </c>
    </row>
    <row r="1080" spans="1:2" x14ac:dyDescent="0.25">
      <c r="A1080">
        <v>2.7428267523646355E-2</v>
      </c>
      <c r="B1080">
        <v>0.68966156244277954</v>
      </c>
    </row>
    <row r="1081" spans="1:2" x14ac:dyDescent="0.25">
      <c r="A1081">
        <v>2.4551078677177429E-2</v>
      </c>
      <c r="B1081">
        <v>0.64350026845932007</v>
      </c>
    </row>
    <row r="1082" spans="1:2" x14ac:dyDescent="0.25">
      <c r="A1082">
        <v>2.0972693338990211E-2</v>
      </c>
      <c r="B1082">
        <v>0.16548828780651093</v>
      </c>
    </row>
    <row r="1083" spans="1:2" x14ac:dyDescent="0.25">
      <c r="A1083">
        <v>2.3798920214176178E-2</v>
      </c>
      <c r="B1083">
        <v>7.5684987008571625E-2</v>
      </c>
    </row>
    <row r="1084" spans="1:2" x14ac:dyDescent="0.25">
      <c r="A1084">
        <v>3.2030142843723297E-2</v>
      </c>
      <c r="B1084">
        <v>8.0107107758522034E-2</v>
      </c>
    </row>
    <row r="1085" spans="1:2" x14ac:dyDescent="0.25">
      <c r="A1085">
        <v>2.9244845733046532E-2</v>
      </c>
      <c r="B1085">
        <v>0.15382315218448639</v>
      </c>
    </row>
    <row r="1086" spans="1:2" x14ac:dyDescent="0.25">
      <c r="A1086">
        <v>0.10670235008001328</v>
      </c>
      <c r="B1086">
        <v>0.11098182946443558</v>
      </c>
    </row>
    <row r="1087" spans="1:2" x14ac:dyDescent="0.25">
      <c r="A1087">
        <v>3.402826189994812E-2</v>
      </c>
      <c r="B1087">
        <v>4.3564092367887497E-2</v>
      </c>
    </row>
    <row r="1088" spans="1:2" x14ac:dyDescent="0.25">
      <c r="A1088">
        <v>3.511708602309227E-2</v>
      </c>
      <c r="B1088">
        <v>3.9552632719278336E-2</v>
      </c>
    </row>
    <row r="1089" spans="1:2" x14ac:dyDescent="0.25">
      <c r="A1089">
        <v>0.14908167719841003</v>
      </c>
      <c r="B1089">
        <v>2.2930288314819336</v>
      </c>
    </row>
    <row r="1090" spans="1:2" x14ac:dyDescent="0.25">
      <c r="A1090">
        <v>5.0555862486362457E-2</v>
      </c>
      <c r="B1090">
        <v>1.4296644926071167</v>
      </c>
    </row>
    <row r="1091" spans="1:2" x14ac:dyDescent="0.25">
      <c r="A1091">
        <v>2.4959942325949669E-2</v>
      </c>
      <c r="B1091">
        <v>0.17429432272911072</v>
      </c>
    </row>
    <row r="1092" spans="1:2" x14ac:dyDescent="0.25">
      <c r="A1092">
        <v>3.0661564320325851E-2</v>
      </c>
      <c r="B1092">
        <v>4.1479988098144531</v>
      </c>
    </row>
    <row r="1093" spans="1:2" x14ac:dyDescent="0.25">
      <c r="A1093">
        <v>2.5250127539038658E-2</v>
      </c>
      <c r="B1093">
        <v>2.3081002235412598</v>
      </c>
    </row>
    <row r="1094" spans="1:2" x14ac:dyDescent="0.25">
      <c r="A1094">
        <v>0.13410545885562897</v>
      </c>
      <c r="B1094">
        <v>0.6439359188079834</v>
      </c>
    </row>
    <row r="1095" spans="1:2" x14ac:dyDescent="0.25">
      <c r="A1095">
        <v>0.22370055317878723</v>
      </c>
      <c r="B1095">
        <v>1.8378032445907593</v>
      </c>
    </row>
    <row r="1096" spans="1:2" x14ac:dyDescent="0.25">
      <c r="A1096">
        <v>0.11515394598245621</v>
      </c>
      <c r="B1096">
        <v>1.6121293306350708</v>
      </c>
    </row>
    <row r="1097" spans="1:2" x14ac:dyDescent="0.25">
      <c r="A1097">
        <v>2.8927821666002274E-2</v>
      </c>
      <c r="B1097">
        <v>1.1346368789672852</v>
      </c>
    </row>
    <row r="1098" spans="1:2" x14ac:dyDescent="0.25">
      <c r="A1098">
        <v>2.6624402031302452E-2</v>
      </c>
      <c r="B1098">
        <v>1.1167093515396118</v>
      </c>
    </row>
    <row r="1099" spans="1:2" x14ac:dyDescent="0.25">
      <c r="A1099">
        <v>2.7812037616968155E-2</v>
      </c>
      <c r="B1099">
        <v>1.2798999547958374</v>
      </c>
    </row>
    <row r="1100" spans="1:2" x14ac:dyDescent="0.25">
      <c r="A1100">
        <v>2.8212223201990128E-2</v>
      </c>
      <c r="B1100">
        <v>1.1981921195983887</v>
      </c>
    </row>
    <row r="1101" spans="1:2" x14ac:dyDescent="0.25">
      <c r="A1101">
        <v>2.6888163760304451E-2</v>
      </c>
      <c r="B1101">
        <v>1.2714024782180786</v>
      </c>
    </row>
    <row r="1102" spans="1:2" x14ac:dyDescent="0.25">
      <c r="A1102">
        <v>2.8089171275496483E-2</v>
      </c>
      <c r="B1102">
        <v>1.0899173021316528</v>
      </c>
    </row>
    <row r="1103" spans="1:2" x14ac:dyDescent="0.25">
      <c r="A1103">
        <v>2.7549708262085915E-2</v>
      </c>
      <c r="B1103">
        <v>1.2630041837692261</v>
      </c>
    </row>
    <row r="1104" spans="1:2" x14ac:dyDescent="0.25">
      <c r="A1104">
        <v>2.6436759158968925E-2</v>
      </c>
      <c r="B1104">
        <v>1.0145773887634277</v>
      </c>
    </row>
    <row r="1105" spans="1:2" x14ac:dyDescent="0.25">
      <c r="A1105">
        <v>2.2736988961696625E-2</v>
      </c>
      <c r="B1105">
        <v>0.54280346632003784</v>
      </c>
    </row>
    <row r="1106" spans="1:2" x14ac:dyDescent="0.25">
      <c r="A1106">
        <v>1.9574884325265884E-2</v>
      </c>
      <c r="B1106">
        <v>0.19461558759212494</v>
      </c>
    </row>
    <row r="1107" spans="1:2" x14ac:dyDescent="0.25">
      <c r="A1107">
        <v>2.9155327007174492E-2</v>
      </c>
      <c r="B1107">
        <v>0.14969243109226227</v>
      </c>
    </row>
    <row r="1108" spans="1:2" x14ac:dyDescent="0.25">
      <c r="A1108">
        <v>3.0646501109004021E-2</v>
      </c>
      <c r="B1108">
        <v>5.2283529192209244E-2</v>
      </c>
    </row>
    <row r="1109" spans="1:2" x14ac:dyDescent="0.25">
      <c r="A1109">
        <v>2.627948671579361E-2</v>
      </c>
      <c r="B1109">
        <v>7.2456985712051392E-2</v>
      </c>
    </row>
    <row r="1110" spans="1:2" x14ac:dyDescent="0.25">
      <c r="A1110">
        <v>2.6839900761842728E-2</v>
      </c>
      <c r="B1110">
        <v>0.53689277172088623</v>
      </c>
    </row>
    <row r="1111" spans="1:2" x14ac:dyDescent="0.25">
      <c r="A1111">
        <v>2.4872943758964539E-2</v>
      </c>
      <c r="B1111">
        <v>0.58419805765151978</v>
      </c>
    </row>
    <row r="1112" spans="1:2" x14ac:dyDescent="0.25">
      <c r="A1112">
        <v>3.1657330691814423E-2</v>
      </c>
      <c r="B1112">
        <v>0.1066010519862175</v>
      </c>
    </row>
    <row r="1113" spans="1:2" x14ac:dyDescent="0.25">
      <c r="A1113">
        <v>0.10242357850074768</v>
      </c>
      <c r="B1113">
        <v>2.2980639934539795</v>
      </c>
    </row>
    <row r="1114" spans="1:2" x14ac:dyDescent="0.25">
      <c r="A1114">
        <v>0.17965222895145416</v>
      </c>
      <c r="B1114">
        <v>1.7894805669784546</v>
      </c>
    </row>
    <row r="1115" spans="1:2" x14ac:dyDescent="0.25">
      <c r="A1115">
        <v>2.958310954272747E-2</v>
      </c>
      <c r="B1115">
        <v>0.94045603275299072</v>
      </c>
    </row>
    <row r="1116" spans="1:2" x14ac:dyDescent="0.25">
      <c r="A1116">
        <v>2.900211326777935E-2</v>
      </c>
      <c r="B1116">
        <v>1.098570704460144</v>
      </c>
    </row>
    <row r="1117" spans="1:2" x14ac:dyDescent="0.25">
      <c r="A1117">
        <v>2.8504135087132454E-2</v>
      </c>
      <c r="B1117">
        <v>1.2967618703842163</v>
      </c>
    </row>
    <row r="1118" spans="1:2" x14ac:dyDescent="0.25">
      <c r="A1118">
        <v>2.7533672749996185E-2</v>
      </c>
      <c r="B1118">
        <v>1.0540744066238403</v>
      </c>
    </row>
    <row r="1119" spans="1:2" x14ac:dyDescent="0.25">
      <c r="A1119">
        <v>2.6955220848321915E-2</v>
      </c>
      <c r="B1119">
        <v>1.3435105085372925</v>
      </c>
    </row>
    <row r="1120" spans="1:2" x14ac:dyDescent="0.25">
      <c r="A1120">
        <v>2.9682805761694908E-2</v>
      </c>
      <c r="B1120">
        <v>1.1865347623825073</v>
      </c>
    </row>
    <row r="1121" spans="1:2" x14ac:dyDescent="0.25">
      <c r="A1121">
        <v>2.8268728405237198E-2</v>
      </c>
      <c r="B1121">
        <v>1.5622211694717407</v>
      </c>
    </row>
    <row r="1122" spans="1:2" x14ac:dyDescent="0.25">
      <c r="A1122">
        <v>2.7156619355082512E-2</v>
      </c>
      <c r="B1122">
        <v>1.5370601415634155</v>
      </c>
    </row>
    <row r="1123" spans="1:2" x14ac:dyDescent="0.25">
      <c r="A1123">
        <v>2.4962740018963814E-2</v>
      </c>
      <c r="B1123">
        <v>1.660480260848999</v>
      </c>
    </row>
    <row r="1124" spans="1:2" x14ac:dyDescent="0.25">
      <c r="A1124">
        <v>2.6900380849838257E-2</v>
      </c>
      <c r="B1124">
        <v>1.4263420104980469</v>
      </c>
    </row>
    <row r="1125" spans="1:2" x14ac:dyDescent="0.25">
      <c r="A1125">
        <v>2.7286268770694733E-2</v>
      </c>
      <c r="B1125">
        <v>1.694580078125</v>
      </c>
    </row>
    <row r="1126" spans="1:2" x14ac:dyDescent="0.25">
      <c r="A1126">
        <v>2.7303926646709442E-2</v>
      </c>
      <c r="B1126">
        <v>1.5006182193756104</v>
      </c>
    </row>
    <row r="1127" spans="1:2" x14ac:dyDescent="0.25">
      <c r="A1127">
        <v>2.6838446035981178E-2</v>
      </c>
      <c r="B1127">
        <v>1.8054181337356567</v>
      </c>
    </row>
    <row r="1128" spans="1:2" x14ac:dyDescent="0.25">
      <c r="A1128">
        <v>2.3149564862251282E-2</v>
      </c>
      <c r="B1128">
        <v>1.4802918434143066</v>
      </c>
    </row>
    <row r="1129" spans="1:2" x14ac:dyDescent="0.25">
      <c r="A1129">
        <v>2.6128420606255531E-2</v>
      </c>
      <c r="B1129">
        <v>1.3581557273864746</v>
      </c>
    </row>
    <row r="1130" spans="1:2" x14ac:dyDescent="0.25">
      <c r="A1130">
        <v>2.5019621476531029E-2</v>
      </c>
      <c r="B1130">
        <v>0.52509200572967529</v>
      </c>
    </row>
    <row r="1131" spans="1:2" x14ac:dyDescent="0.25">
      <c r="A1131">
        <v>2.2363539785146713E-2</v>
      </c>
      <c r="B1131">
        <v>0.15715742111206055</v>
      </c>
    </row>
    <row r="1132" spans="1:2" x14ac:dyDescent="0.25">
      <c r="A1132">
        <v>2.7885396033525467E-2</v>
      </c>
      <c r="B1132">
        <v>0.12096130847930908</v>
      </c>
    </row>
    <row r="1133" spans="1:2" x14ac:dyDescent="0.25">
      <c r="A1133">
        <v>3.0563347041606903E-2</v>
      </c>
      <c r="B1133">
        <v>0.19528113305568695</v>
      </c>
    </row>
    <row r="1134" spans="1:2" x14ac:dyDescent="0.25">
      <c r="A1134">
        <v>3.0303213745355606E-2</v>
      </c>
      <c r="B1134">
        <v>0.18226185441017151</v>
      </c>
    </row>
    <row r="1135" spans="1:2" x14ac:dyDescent="0.25">
      <c r="A1135">
        <v>2.9958579689264297E-2</v>
      </c>
      <c r="B1135">
        <v>0.19599780440330505</v>
      </c>
    </row>
    <row r="1136" spans="1:2" x14ac:dyDescent="0.25">
      <c r="A1136">
        <v>2.2043842822313309E-2</v>
      </c>
      <c r="B1136">
        <v>0.1998857706785202</v>
      </c>
    </row>
    <row r="1137" spans="1:2" x14ac:dyDescent="0.25">
      <c r="A1137">
        <v>0.14129248261451721</v>
      </c>
      <c r="B1137">
        <v>2.3800923824310303</v>
      </c>
    </row>
    <row r="1138" spans="1:2" x14ac:dyDescent="0.25">
      <c r="A1138">
        <v>4.0414176881313324E-2</v>
      </c>
      <c r="B1138">
        <v>1.3142467737197876</v>
      </c>
    </row>
    <row r="1139" spans="1:2" x14ac:dyDescent="0.25">
      <c r="A1139">
        <v>2.9389632865786552E-2</v>
      </c>
      <c r="B1139">
        <v>0.35257518291473389</v>
      </c>
    </row>
    <row r="1140" spans="1:2" x14ac:dyDescent="0.25">
      <c r="A1140">
        <v>2.7275333181023598E-2</v>
      </c>
      <c r="B1140">
        <v>0.5999453067779541</v>
      </c>
    </row>
    <row r="1141" spans="1:2" x14ac:dyDescent="0.25">
      <c r="A1141">
        <v>2.7642367407679558E-2</v>
      </c>
      <c r="B1141">
        <v>0.89414972066879272</v>
      </c>
    </row>
    <row r="1142" spans="1:2" x14ac:dyDescent="0.25">
      <c r="A1142">
        <v>2.7328042313456535E-2</v>
      </c>
      <c r="B1142">
        <v>0.89018386602401733</v>
      </c>
    </row>
    <row r="1143" spans="1:2" x14ac:dyDescent="0.25">
      <c r="A1143">
        <v>2.6568477973341942E-2</v>
      </c>
      <c r="B1143">
        <v>0.97738969326019287</v>
      </c>
    </row>
    <row r="1144" spans="1:2" x14ac:dyDescent="0.25">
      <c r="A1144">
        <v>2.7679441496729851E-2</v>
      </c>
      <c r="B1144">
        <v>0.95496684312820435</v>
      </c>
    </row>
    <row r="1145" spans="1:2" x14ac:dyDescent="0.25">
      <c r="A1145">
        <v>2.670658752322197E-2</v>
      </c>
      <c r="B1145">
        <v>1.0298049449920654</v>
      </c>
    </row>
    <row r="1146" spans="1:2" x14ac:dyDescent="0.25">
      <c r="A1146">
        <v>2.7455804869532585E-2</v>
      </c>
      <c r="B1146">
        <v>0.75477868318557739</v>
      </c>
    </row>
    <row r="1147" spans="1:2" x14ac:dyDescent="0.25">
      <c r="A1147">
        <v>2.7661677449941635E-2</v>
      </c>
      <c r="B1147">
        <v>1.0879424810409546</v>
      </c>
    </row>
    <row r="1148" spans="1:2" x14ac:dyDescent="0.25">
      <c r="A1148">
        <v>2.8265869244933128E-2</v>
      </c>
      <c r="B1148">
        <v>1.2261941432952881</v>
      </c>
    </row>
    <row r="1149" spans="1:2" x14ac:dyDescent="0.25">
      <c r="A1149">
        <v>2.7263008058071136E-2</v>
      </c>
      <c r="B1149">
        <v>1.4148200750350952</v>
      </c>
    </row>
    <row r="1150" spans="1:2" x14ac:dyDescent="0.25">
      <c r="A1150">
        <v>2.7561644092202187E-2</v>
      </c>
      <c r="B1150">
        <v>1.0956851243972778</v>
      </c>
    </row>
    <row r="1151" spans="1:2" x14ac:dyDescent="0.25">
      <c r="A1151">
        <v>2.5724085047841072E-2</v>
      </c>
      <c r="B1151">
        <v>1.3009300231933594</v>
      </c>
    </row>
    <row r="1152" spans="1:2" x14ac:dyDescent="0.25">
      <c r="A1152">
        <v>2.5219295173883438E-2</v>
      </c>
      <c r="B1152">
        <v>0.71426868438720703</v>
      </c>
    </row>
    <row r="1153" spans="1:2" x14ac:dyDescent="0.25">
      <c r="A1153">
        <v>2.6401521638035774E-2</v>
      </c>
      <c r="B1153">
        <v>0.46236687898635864</v>
      </c>
    </row>
    <row r="1154" spans="1:2" x14ac:dyDescent="0.25">
      <c r="A1154">
        <v>2.3788796737790108E-2</v>
      </c>
      <c r="B1154">
        <v>0.21020007133483887</v>
      </c>
    </row>
    <row r="1155" spans="1:2" x14ac:dyDescent="0.25">
      <c r="A1155">
        <v>2.1630242466926575E-2</v>
      </c>
      <c r="B1155">
        <v>0.12893451750278473</v>
      </c>
    </row>
    <row r="1156" spans="1:2" x14ac:dyDescent="0.25">
      <c r="A1156">
        <v>2.8901891782879829E-2</v>
      </c>
      <c r="B1156">
        <v>0.14974509179592133</v>
      </c>
    </row>
    <row r="1157" spans="1:2" x14ac:dyDescent="0.25">
      <c r="A1157">
        <v>2.9189208522439003E-2</v>
      </c>
      <c r="B1157">
        <v>0.13197101652622223</v>
      </c>
    </row>
    <row r="1158" spans="1:2" x14ac:dyDescent="0.25">
      <c r="A1158">
        <v>2.9067188501358032E-2</v>
      </c>
      <c r="B1158">
        <v>0.51036620140075684</v>
      </c>
    </row>
    <row r="1159" spans="1:2" x14ac:dyDescent="0.25">
      <c r="A1159">
        <v>2.8744760900735855E-2</v>
      </c>
      <c r="B1159">
        <v>0.64846968650817871</v>
      </c>
    </row>
    <row r="1160" spans="1:2" x14ac:dyDescent="0.25">
      <c r="A1160">
        <v>2.4825341999530792E-2</v>
      </c>
      <c r="B1160">
        <v>7.0092134177684784E-2</v>
      </c>
    </row>
    <row r="1161" spans="1:2" x14ac:dyDescent="0.25">
      <c r="A1161">
        <v>0.10408393293619156</v>
      </c>
      <c r="B1161">
        <v>2.3853130340576172</v>
      </c>
    </row>
    <row r="1162" spans="1:2" x14ac:dyDescent="0.25">
      <c r="A1162">
        <v>2.3971375077962875E-2</v>
      </c>
      <c r="B1162">
        <v>1.418526291847229</v>
      </c>
    </row>
    <row r="1163" spans="1:2" x14ac:dyDescent="0.25">
      <c r="A1163">
        <v>3.0675090849399567E-2</v>
      </c>
      <c r="B1163">
        <v>0.1124495267868042</v>
      </c>
    </row>
    <row r="1164" spans="1:2" x14ac:dyDescent="0.25">
      <c r="A1164">
        <v>3.0728204175829887E-2</v>
      </c>
      <c r="B1164">
        <v>0.24482960999011993</v>
      </c>
    </row>
    <row r="1165" spans="1:2" x14ac:dyDescent="0.25">
      <c r="A1165">
        <v>2.7779202908277512E-2</v>
      </c>
      <c r="B1165">
        <v>0.69222098588943481</v>
      </c>
    </row>
    <row r="1166" spans="1:2" x14ac:dyDescent="0.25">
      <c r="A1166">
        <v>2.7342949062585831E-2</v>
      </c>
      <c r="B1166">
        <v>0.61233735084533691</v>
      </c>
    </row>
    <row r="1167" spans="1:2" x14ac:dyDescent="0.25">
      <c r="A1167">
        <v>2.6475979015231133E-2</v>
      </c>
      <c r="B1167">
        <v>0.64268654584884644</v>
      </c>
    </row>
    <row r="1168" spans="1:2" x14ac:dyDescent="0.25">
      <c r="A1168">
        <v>2.8027910739183426E-2</v>
      </c>
      <c r="B1168">
        <v>0.58985590934753418</v>
      </c>
    </row>
    <row r="1169" spans="1:2" x14ac:dyDescent="0.25">
      <c r="A1169">
        <v>2.847609668970108E-2</v>
      </c>
      <c r="B1169">
        <v>0.89988332986831665</v>
      </c>
    </row>
    <row r="1170" spans="1:2" x14ac:dyDescent="0.25">
      <c r="A1170">
        <v>2.731676772236824E-2</v>
      </c>
      <c r="B1170">
        <v>0.74928128719329834</v>
      </c>
    </row>
    <row r="1171" spans="1:2" x14ac:dyDescent="0.25">
      <c r="A1171">
        <v>2.8650591149926186E-2</v>
      </c>
      <c r="B1171">
        <v>0.89775592088699341</v>
      </c>
    </row>
    <row r="1172" spans="1:2" x14ac:dyDescent="0.25">
      <c r="A1172">
        <v>2.8033601120114326E-2</v>
      </c>
      <c r="B1172">
        <v>0.92857170104980469</v>
      </c>
    </row>
    <row r="1173" spans="1:2" x14ac:dyDescent="0.25">
      <c r="A1173">
        <v>2.7426935732364655E-2</v>
      </c>
      <c r="B1173">
        <v>1.0834904909133911</v>
      </c>
    </row>
    <row r="1174" spans="1:2" x14ac:dyDescent="0.25">
      <c r="A1174">
        <v>2.7591913938522339E-2</v>
      </c>
      <c r="B1174">
        <v>1.1025432348251343</v>
      </c>
    </row>
    <row r="1175" spans="1:2" x14ac:dyDescent="0.25">
      <c r="A1175">
        <v>2.7724221348762512E-2</v>
      </c>
      <c r="B1175">
        <v>1.3151826858520508</v>
      </c>
    </row>
    <row r="1176" spans="1:2" x14ac:dyDescent="0.25">
      <c r="A1176">
        <v>2.2048786282539368E-2</v>
      </c>
      <c r="B1176">
        <v>0.81376832723617554</v>
      </c>
    </row>
    <row r="1177" spans="1:2" x14ac:dyDescent="0.25">
      <c r="A1177">
        <v>2.0222760736942291E-2</v>
      </c>
      <c r="B1177">
        <v>0.39418670535087585</v>
      </c>
    </row>
    <row r="1178" spans="1:2" x14ac:dyDescent="0.25">
      <c r="A1178">
        <v>2.200101874768734E-2</v>
      </c>
      <c r="B1178">
        <v>0.13312774896621704</v>
      </c>
    </row>
    <row r="1179" spans="1:2" x14ac:dyDescent="0.25">
      <c r="A1179">
        <v>2.8844414278864861E-2</v>
      </c>
      <c r="B1179">
        <v>0.11186069995164871</v>
      </c>
    </row>
    <row r="1180" spans="1:2" x14ac:dyDescent="0.25">
      <c r="A1180">
        <v>2.5679489597678185E-2</v>
      </c>
      <c r="B1180">
        <v>0.11565594375133514</v>
      </c>
    </row>
    <row r="1181" spans="1:2" x14ac:dyDescent="0.25">
      <c r="A1181">
        <v>2.6308422908186913E-2</v>
      </c>
      <c r="B1181">
        <v>0.13661323487758636</v>
      </c>
    </row>
    <row r="1182" spans="1:2" x14ac:dyDescent="0.25">
      <c r="A1182">
        <v>2.7435503900051117E-2</v>
      </c>
      <c r="B1182">
        <v>0.17415802180767059</v>
      </c>
    </row>
    <row r="1183" spans="1:2" x14ac:dyDescent="0.25">
      <c r="A1183">
        <v>2.3879827931523323E-2</v>
      </c>
      <c r="B1183">
        <v>0.15900696814060211</v>
      </c>
    </row>
    <row r="1184" spans="1:2" x14ac:dyDescent="0.25">
      <c r="A1184">
        <v>2.7566513046622276E-2</v>
      </c>
      <c r="B1184">
        <v>0.15882338583469391</v>
      </c>
    </row>
    <row r="1185" spans="1:2" x14ac:dyDescent="0.25">
      <c r="A1185">
        <v>0.12085075676441193</v>
      </c>
      <c r="B1185">
        <v>2.293332576751709</v>
      </c>
    </row>
    <row r="1186" spans="1:2" x14ac:dyDescent="0.25">
      <c r="A1186">
        <v>4.5414730906486511E-2</v>
      </c>
      <c r="B1186">
        <v>2.4706988334655762</v>
      </c>
    </row>
    <row r="1187" spans="1:2" x14ac:dyDescent="0.25">
      <c r="A1187">
        <v>2.6269065216183662E-2</v>
      </c>
      <c r="B1187">
        <v>5.2053709030151367</v>
      </c>
    </row>
    <row r="1188" spans="1:2" x14ac:dyDescent="0.25">
      <c r="A1188">
        <v>2.5461712852120399E-2</v>
      </c>
      <c r="B1188">
        <v>0.63464128971099854</v>
      </c>
    </row>
    <row r="1189" spans="1:2" x14ac:dyDescent="0.25">
      <c r="A1189">
        <v>2.721441350877285E-2</v>
      </c>
      <c r="B1189">
        <v>0.81437605619430542</v>
      </c>
    </row>
    <row r="1190" spans="1:2" x14ac:dyDescent="0.25">
      <c r="A1190">
        <v>2.5570888072252274E-2</v>
      </c>
      <c r="B1190">
        <v>0.69025099277496338</v>
      </c>
    </row>
    <row r="1191" spans="1:2" x14ac:dyDescent="0.25">
      <c r="A1191">
        <v>2.7963848784565926E-2</v>
      </c>
      <c r="B1191">
        <v>0.76066899299621582</v>
      </c>
    </row>
    <row r="1192" spans="1:2" x14ac:dyDescent="0.25">
      <c r="A1192">
        <v>2.7318740263581276E-2</v>
      </c>
      <c r="B1192">
        <v>0.69370573759078979</v>
      </c>
    </row>
    <row r="1193" spans="1:2" x14ac:dyDescent="0.25">
      <c r="A1193">
        <v>2.5694815441966057E-2</v>
      </c>
      <c r="B1193">
        <v>0.81852978467941284</v>
      </c>
    </row>
    <row r="1194" spans="1:2" x14ac:dyDescent="0.25">
      <c r="A1194">
        <v>2.791396901011467E-2</v>
      </c>
      <c r="B1194">
        <v>0.71910244226455688</v>
      </c>
    </row>
    <row r="1195" spans="1:2" x14ac:dyDescent="0.25">
      <c r="A1195">
        <v>2.612023614346981E-2</v>
      </c>
      <c r="B1195">
        <v>0.78075939416885376</v>
      </c>
    </row>
    <row r="1196" spans="1:2" x14ac:dyDescent="0.25">
      <c r="A1196">
        <v>2.6551920920610428E-2</v>
      </c>
      <c r="B1196">
        <v>0.68095928430557251</v>
      </c>
    </row>
    <row r="1197" spans="1:2" x14ac:dyDescent="0.25">
      <c r="A1197">
        <v>2.7866004034876823E-2</v>
      </c>
      <c r="B1197">
        <v>0.76547485589981079</v>
      </c>
    </row>
    <row r="1198" spans="1:2" x14ac:dyDescent="0.25">
      <c r="A1198">
        <v>2.6790294796228409E-2</v>
      </c>
      <c r="B1198">
        <v>0.73976641893386841</v>
      </c>
    </row>
    <row r="1199" spans="1:2" x14ac:dyDescent="0.25">
      <c r="A1199">
        <v>2.7431773021817207E-2</v>
      </c>
      <c r="B1199">
        <v>0.78126817941665649</v>
      </c>
    </row>
    <row r="1200" spans="1:2" x14ac:dyDescent="0.25">
      <c r="A1200">
        <v>2.1792177110910416E-2</v>
      </c>
      <c r="B1200">
        <v>0.48464128375053406</v>
      </c>
    </row>
    <row r="1201" spans="1:2" x14ac:dyDescent="0.25">
      <c r="A1201">
        <v>2.2012254223227501E-2</v>
      </c>
      <c r="B1201">
        <v>0.17906484007835388</v>
      </c>
    </row>
    <row r="1202" spans="1:2" x14ac:dyDescent="0.25">
      <c r="A1202">
        <v>2.9541114345192909E-2</v>
      </c>
      <c r="B1202">
        <v>0.11079616844654083</v>
      </c>
    </row>
    <row r="1203" spans="1:2" x14ac:dyDescent="0.25">
      <c r="A1203">
        <v>2.3815851658582687E-2</v>
      </c>
      <c r="B1203">
        <v>0.15773636102676392</v>
      </c>
    </row>
    <row r="1204" spans="1:2" x14ac:dyDescent="0.25">
      <c r="A1204">
        <v>2.92050801217556E-2</v>
      </c>
      <c r="B1204">
        <v>0.15535664558410645</v>
      </c>
    </row>
    <row r="1205" spans="1:2" x14ac:dyDescent="0.25">
      <c r="A1205">
        <v>3.1015276908874512E-2</v>
      </c>
      <c r="B1205">
        <v>0.14492876827716827</v>
      </c>
    </row>
    <row r="1206" spans="1:2" x14ac:dyDescent="0.25">
      <c r="A1206">
        <v>2.5367917492985725E-2</v>
      </c>
      <c r="B1206">
        <v>0.51514852046966553</v>
      </c>
    </row>
    <row r="1207" spans="1:2" x14ac:dyDescent="0.25">
      <c r="A1207">
        <v>2.9621230438351631E-2</v>
      </c>
      <c r="B1207">
        <v>0.52937930822372437</v>
      </c>
    </row>
    <row r="1208" spans="1:2" x14ac:dyDescent="0.25">
      <c r="A1208">
        <v>3.0518552288413048E-2</v>
      </c>
      <c r="B1208">
        <v>0.18047937750816345</v>
      </c>
    </row>
    <row r="1209" spans="1:2" x14ac:dyDescent="0.25">
      <c r="A1209">
        <v>0.20512878894805908</v>
      </c>
      <c r="B1209">
        <v>2.3169217109680176</v>
      </c>
    </row>
    <row r="1210" spans="1:2" x14ac:dyDescent="0.25">
      <c r="A1210">
        <v>0.19814497232437134</v>
      </c>
      <c r="B1210">
        <v>1.4508712291717529</v>
      </c>
    </row>
    <row r="1211" spans="1:2" x14ac:dyDescent="0.25">
      <c r="A1211">
        <v>2.6782507076859474E-2</v>
      </c>
      <c r="B1211">
        <v>6.0257859230041504</v>
      </c>
    </row>
    <row r="1212" spans="1:2" x14ac:dyDescent="0.25">
      <c r="A1212">
        <v>3.0134499073028564E-2</v>
      </c>
      <c r="B1212">
        <v>0.57477837800979614</v>
      </c>
    </row>
    <row r="1213" spans="1:2" x14ac:dyDescent="0.25">
      <c r="A1213">
        <v>2.8190832585096359E-2</v>
      </c>
      <c r="B1213">
        <v>0.69209575653076172</v>
      </c>
    </row>
    <row r="1214" spans="1:2" x14ac:dyDescent="0.25">
      <c r="A1214">
        <v>2.7612892910838127E-2</v>
      </c>
      <c r="B1214">
        <v>0.71211934089660645</v>
      </c>
    </row>
    <row r="1215" spans="1:2" x14ac:dyDescent="0.25">
      <c r="A1215">
        <v>2.6750331744551659E-2</v>
      </c>
      <c r="B1215">
        <v>0.91961449384689331</v>
      </c>
    </row>
    <row r="1216" spans="1:2" x14ac:dyDescent="0.25">
      <c r="A1216">
        <v>2.7064032852649689E-2</v>
      </c>
      <c r="B1216">
        <v>1.0190705060958862</v>
      </c>
    </row>
    <row r="1217" spans="1:2" x14ac:dyDescent="0.25">
      <c r="A1217">
        <v>2.789604663848877E-2</v>
      </c>
      <c r="B1217">
        <v>1.2207434177398682</v>
      </c>
    </row>
    <row r="1218" spans="1:2" x14ac:dyDescent="0.25">
      <c r="A1218">
        <v>0.13051079213619232</v>
      </c>
      <c r="B1218">
        <v>1.0911704301834106</v>
      </c>
    </row>
    <row r="1219" spans="1:2" x14ac:dyDescent="0.25">
      <c r="A1219">
        <v>6.3522458076477051E-2</v>
      </c>
      <c r="B1219">
        <v>1.2511224746704102</v>
      </c>
    </row>
    <row r="1220" spans="1:2" x14ac:dyDescent="0.25">
      <c r="A1220">
        <v>0.10668259114027023</v>
      </c>
      <c r="B1220">
        <v>1.4231113195419312</v>
      </c>
    </row>
    <row r="1221" spans="1:2" x14ac:dyDescent="0.25">
      <c r="A1221">
        <v>2.4448715150356293E-2</v>
      </c>
      <c r="B1221">
        <v>1.1685401201248169</v>
      </c>
    </row>
    <row r="1222" spans="1:2" x14ac:dyDescent="0.25">
      <c r="A1222">
        <v>2.6939459145069122E-2</v>
      </c>
      <c r="B1222">
        <v>1.025016188621521</v>
      </c>
    </row>
    <row r="1223" spans="1:2" x14ac:dyDescent="0.25">
      <c r="A1223">
        <v>2.6727164164185524E-2</v>
      </c>
      <c r="B1223">
        <v>1.0700780153274536</v>
      </c>
    </row>
    <row r="1224" spans="1:2" x14ac:dyDescent="0.25">
      <c r="A1224">
        <v>2.5774272158741951E-2</v>
      </c>
      <c r="B1224">
        <v>0.84645390510559082</v>
      </c>
    </row>
    <row r="1225" spans="1:2" x14ac:dyDescent="0.25">
      <c r="A1225">
        <v>2.0372617989778519E-2</v>
      </c>
      <c r="B1225">
        <v>0.38665163516998291</v>
      </c>
    </row>
    <row r="1226" spans="1:2" x14ac:dyDescent="0.25">
      <c r="A1226">
        <v>2.7525521814823151E-2</v>
      </c>
      <c r="B1226">
        <v>6.3280366361141205E-2</v>
      </c>
    </row>
    <row r="1227" spans="1:2" x14ac:dyDescent="0.25">
      <c r="A1227">
        <v>2.5812407955527306E-2</v>
      </c>
      <c r="B1227">
        <v>0.10476397722959518</v>
      </c>
    </row>
    <row r="1228" spans="1:2" x14ac:dyDescent="0.25">
      <c r="A1228">
        <v>2.9859073460102081E-2</v>
      </c>
      <c r="B1228">
        <v>0.14353714883327484</v>
      </c>
    </row>
    <row r="1229" spans="1:2" x14ac:dyDescent="0.25">
      <c r="A1229">
        <v>2.7602102607488632E-2</v>
      </c>
      <c r="B1229">
        <v>0.12089011818170547</v>
      </c>
    </row>
    <row r="1230" spans="1:2" x14ac:dyDescent="0.25">
      <c r="A1230">
        <v>3.0764032155275345E-2</v>
      </c>
      <c r="B1230">
        <v>0.12811389565467834</v>
      </c>
    </row>
    <row r="1231" spans="1:2" x14ac:dyDescent="0.25">
      <c r="A1231">
        <v>1.8926849588751793E-2</v>
      </c>
      <c r="B1231">
        <v>7.8326456248760223E-2</v>
      </c>
    </row>
    <row r="1232" spans="1:2" x14ac:dyDescent="0.25">
      <c r="A1232">
        <v>2.6676319539546967E-2</v>
      </c>
      <c r="B1232">
        <v>9.4022281467914581E-2</v>
      </c>
    </row>
    <row r="1233" spans="1:2" x14ac:dyDescent="0.25">
      <c r="A1233">
        <v>0.12624500691890717</v>
      </c>
      <c r="B1233">
        <v>2.3119943141937256</v>
      </c>
    </row>
    <row r="1234" spans="1:2" x14ac:dyDescent="0.25">
      <c r="A1234">
        <v>3.0381776392459869E-2</v>
      </c>
      <c r="B1234">
        <v>1.4343163967132568</v>
      </c>
    </row>
    <row r="1235" spans="1:2" x14ac:dyDescent="0.25">
      <c r="A1235">
        <v>2.9433371499180794E-2</v>
      </c>
      <c r="B1235">
        <v>0.21461203694343567</v>
      </c>
    </row>
    <row r="1236" spans="1:2" x14ac:dyDescent="0.25">
      <c r="A1236">
        <v>2.6841092854738235E-2</v>
      </c>
      <c r="B1236">
        <v>0.51000463962554932</v>
      </c>
    </row>
    <row r="1237" spans="1:2" x14ac:dyDescent="0.25">
      <c r="A1237">
        <v>2.8266638517379761E-2</v>
      </c>
      <c r="B1237">
        <v>0.88430321216583252</v>
      </c>
    </row>
    <row r="1238" spans="1:2" x14ac:dyDescent="0.25">
      <c r="A1238">
        <v>2.6344459503889084E-2</v>
      </c>
      <c r="B1238">
        <v>0.9508020281791687</v>
      </c>
    </row>
    <row r="1239" spans="1:2" x14ac:dyDescent="0.25">
      <c r="A1239">
        <v>2.8295375406742096E-2</v>
      </c>
      <c r="B1239">
        <v>1.1917235851287842</v>
      </c>
    </row>
    <row r="1240" spans="1:2" x14ac:dyDescent="0.25">
      <c r="A1240">
        <v>2.9911048710346222E-2</v>
      </c>
      <c r="B1240">
        <v>1.1994985342025757</v>
      </c>
    </row>
    <row r="1241" spans="1:2" x14ac:dyDescent="0.25">
      <c r="A1241">
        <v>3.4780487418174744E-2</v>
      </c>
      <c r="B1241">
        <v>1.3599019050598145</v>
      </c>
    </row>
    <row r="1242" spans="1:2" x14ac:dyDescent="0.25">
      <c r="A1242">
        <v>3.765418753027916E-2</v>
      </c>
      <c r="B1242">
        <v>1.0937513113021851</v>
      </c>
    </row>
    <row r="1243" spans="1:2" x14ac:dyDescent="0.25">
      <c r="A1243">
        <v>3.666016086935997E-2</v>
      </c>
      <c r="B1243">
        <v>1.2463158369064331</v>
      </c>
    </row>
    <row r="1244" spans="1:2" x14ac:dyDescent="0.25">
      <c r="A1244">
        <v>4.0317289531230927E-2</v>
      </c>
      <c r="B1244">
        <v>1.136951208114624</v>
      </c>
    </row>
    <row r="1245" spans="1:2" x14ac:dyDescent="0.25">
      <c r="A1245">
        <v>3.6151375621557236E-2</v>
      </c>
      <c r="B1245">
        <v>1.5700138807296753</v>
      </c>
    </row>
    <row r="1246" spans="1:2" x14ac:dyDescent="0.25">
      <c r="A1246">
        <v>3.6416400223970413E-2</v>
      </c>
      <c r="B1246">
        <v>1.4044926166534424</v>
      </c>
    </row>
    <row r="1247" spans="1:2" x14ac:dyDescent="0.25">
      <c r="A1247">
        <v>3.4812320023775101E-2</v>
      </c>
      <c r="B1247">
        <v>1.2925567626953125</v>
      </c>
    </row>
    <row r="1248" spans="1:2" x14ac:dyDescent="0.25">
      <c r="A1248">
        <v>3.1041450798511505E-2</v>
      </c>
      <c r="B1248">
        <v>0.57983517646789551</v>
      </c>
    </row>
    <row r="1249" spans="1:2" x14ac:dyDescent="0.25">
      <c r="A1249">
        <v>3.2040864229202271E-2</v>
      </c>
      <c r="B1249">
        <v>0.20267453789710999</v>
      </c>
    </row>
    <row r="1250" spans="1:2" x14ac:dyDescent="0.25">
      <c r="A1250">
        <v>3.4731205552816391E-2</v>
      </c>
      <c r="B1250">
        <v>0.1282174289226532</v>
      </c>
    </row>
    <row r="1251" spans="1:2" x14ac:dyDescent="0.25">
      <c r="A1251">
        <v>3.5897184163331985E-2</v>
      </c>
      <c r="B1251">
        <v>0.1244688481092453</v>
      </c>
    </row>
    <row r="1252" spans="1:2" x14ac:dyDescent="0.25">
      <c r="A1252">
        <v>3.7149369716644287E-2</v>
      </c>
      <c r="B1252">
        <v>0.10341542959213257</v>
      </c>
    </row>
    <row r="1253" spans="1:2" x14ac:dyDescent="0.25">
      <c r="A1253">
        <v>3.4973166882991791E-2</v>
      </c>
      <c r="B1253">
        <v>0.20126646757125854</v>
      </c>
    </row>
    <row r="1254" spans="1:2" x14ac:dyDescent="0.25">
      <c r="A1254">
        <v>3.748602420091629E-2</v>
      </c>
      <c r="B1254">
        <v>0.47271227836608887</v>
      </c>
    </row>
    <row r="1255" spans="1:2" x14ac:dyDescent="0.25">
      <c r="A1255">
        <v>3.6279086023569107E-2</v>
      </c>
      <c r="B1255">
        <v>0.73525708913803101</v>
      </c>
    </row>
    <row r="1256" spans="1:2" x14ac:dyDescent="0.25">
      <c r="A1256">
        <v>3.6249242722988129E-2</v>
      </c>
      <c r="B1256">
        <v>0.12428794801235199</v>
      </c>
    </row>
    <row r="1257" spans="1:2" x14ac:dyDescent="0.25">
      <c r="A1257">
        <v>0.13502374291419983</v>
      </c>
      <c r="B1257">
        <v>2.3268792629241943</v>
      </c>
    </row>
    <row r="1258" spans="1:2" x14ac:dyDescent="0.25">
      <c r="A1258">
        <v>5.8438632637262344E-2</v>
      </c>
      <c r="B1258">
        <v>1.4999792575836182</v>
      </c>
    </row>
    <row r="1259" spans="1:2" x14ac:dyDescent="0.25">
      <c r="A1259">
        <v>3.6928277462720871E-2</v>
      </c>
      <c r="B1259">
        <v>0.71396297216415405</v>
      </c>
    </row>
    <row r="1260" spans="1:2" x14ac:dyDescent="0.25">
      <c r="A1260">
        <v>3.7719931453466415E-2</v>
      </c>
      <c r="B1260">
        <v>0.93184924125671387</v>
      </c>
    </row>
    <row r="1261" spans="1:2" x14ac:dyDescent="0.25">
      <c r="A1261">
        <v>3.7718288600444794E-2</v>
      </c>
      <c r="B1261">
        <v>1.182355523109436</v>
      </c>
    </row>
    <row r="1262" spans="1:2" x14ac:dyDescent="0.25">
      <c r="A1262">
        <v>3.7023492157459259E-2</v>
      </c>
      <c r="B1262">
        <v>1.1372573375701904</v>
      </c>
    </row>
    <row r="1263" spans="1:2" x14ac:dyDescent="0.25">
      <c r="A1263">
        <v>3.7487640976905823E-2</v>
      </c>
      <c r="B1263">
        <v>1.3387128114700317</v>
      </c>
    </row>
    <row r="1264" spans="1:2" x14ac:dyDescent="0.25">
      <c r="A1264">
        <v>3.7856739014387131E-2</v>
      </c>
      <c r="B1264">
        <v>1.2187403440475464</v>
      </c>
    </row>
    <row r="1265" spans="1:2" x14ac:dyDescent="0.25">
      <c r="A1265">
        <v>3.6502562463283539E-2</v>
      </c>
      <c r="B1265">
        <v>1.5146113634109497</v>
      </c>
    </row>
    <row r="1266" spans="1:2" x14ac:dyDescent="0.25">
      <c r="A1266">
        <v>3.7318125367164612E-2</v>
      </c>
      <c r="B1266">
        <v>1.2910884618759155</v>
      </c>
    </row>
    <row r="1267" spans="1:2" x14ac:dyDescent="0.25">
      <c r="A1267">
        <v>3.7518959492444992E-2</v>
      </c>
      <c r="B1267">
        <v>1.5416592359542847</v>
      </c>
    </row>
    <row r="1268" spans="1:2" x14ac:dyDescent="0.25">
      <c r="A1268">
        <v>3.6619432270526886E-2</v>
      </c>
      <c r="B1268">
        <v>1.4083033800125122</v>
      </c>
    </row>
    <row r="1269" spans="1:2" x14ac:dyDescent="0.25">
      <c r="A1269">
        <v>3.6292657256126404E-2</v>
      </c>
      <c r="B1269">
        <v>1.6153701543807983</v>
      </c>
    </row>
    <row r="1270" spans="1:2" x14ac:dyDescent="0.25">
      <c r="A1270">
        <v>3.5944603383541107E-2</v>
      </c>
      <c r="B1270">
        <v>1.3733416795730591</v>
      </c>
    </row>
    <row r="1271" spans="1:2" x14ac:dyDescent="0.25">
      <c r="A1271">
        <v>3.6608550697565079E-2</v>
      </c>
      <c r="B1271">
        <v>1.573455810546875</v>
      </c>
    </row>
    <row r="1272" spans="1:2" x14ac:dyDescent="0.25">
      <c r="A1272">
        <v>3.6329798400402069E-2</v>
      </c>
      <c r="B1272">
        <v>1.2081114053726196</v>
      </c>
    </row>
    <row r="1273" spans="1:2" x14ac:dyDescent="0.25">
      <c r="A1273">
        <v>3.1706906855106354E-2</v>
      </c>
      <c r="B1273">
        <v>0.76572000980377197</v>
      </c>
    </row>
    <row r="1274" spans="1:2" x14ac:dyDescent="0.25">
      <c r="A1274">
        <v>3.3873617649078369E-2</v>
      </c>
      <c r="B1274">
        <v>0.2438909113407135</v>
      </c>
    </row>
    <row r="1275" spans="1:2" x14ac:dyDescent="0.25">
      <c r="A1275">
        <v>3.2045666128396988E-2</v>
      </c>
      <c r="B1275">
        <v>0.11987291276454926</v>
      </c>
    </row>
    <row r="1276" spans="1:2" x14ac:dyDescent="0.25">
      <c r="A1276">
        <v>4.0532141923904419E-2</v>
      </c>
      <c r="B1276">
        <v>0.14420242607593536</v>
      </c>
    </row>
    <row r="1277" spans="1:2" x14ac:dyDescent="0.25">
      <c r="A1277">
        <v>3.8165289908647537E-2</v>
      </c>
      <c r="B1277">
        <v>0.22799871861934662</v>
      </c>
    </row>
    <row r="1278" spans="1:2" x14ac:dyDescent="0.25">
      <c r="A1278">
        <v>3.7556368857622147E-2</v>
      </c>
      <c r="B1278">
        <v>0.1152898296713829</v>
      </c>
    </row>
    <row r="1279" spans="1:2" x14ac:dyDescent="0.25">
      <c r="A1279">
        <v>2.7308838441967964E-2</v>
      </c>
      <c r="B1279">
        <v>4.4283550232648849E-2</v>
      </c>
    </row>
    <row r="1280" spans="1:2" x14ac:dyDescent="0.25">
      <c r="A1280">
        <v>3.968072310090065E-2</v>
      </c>
      <c r="B1280">
        <v>8.9401297271251678E-2</v>
      </c>
    </row>
    <row r="1281" spans="1:2" x14ac:dyDescent="0.25">
      <c r="A1281">
        <v>0.12116540968418121</v>
      </c>
      <c r="B1281">
        <v>2.3255581855773926</v>
      </c>
    </row>
    <row r="1282" spans="1:2" x14ac:dyDescent="0.25">
      <c r="A1282">
        <v>4.1447117924690247E-2</v>
      </c>
      <c r="B1282">
        <v>1.5925201177597046</v>
      </c>
    </row>
    <row r="1283" spans="1:2" x14ac:dyDescent="0.25">
      <c r="A1283">
        <v>3.9005812257528305E-2</v>
      </c>
      <c r="B1283">
        <v>0.86310291290283203</v>
      </c>
    </row>
    <row r="1284" spans="1:2" x14ac:dyDescent="0.25">
      <c r="A1284">
        <v>3.8489513099193573E-2</v>
      </c>
      <c r="B1284">
        <v>0.84712117910385132</v>
      </c>
    </row>
    <row r="1285" spans="1:2" x14ac:dyDescent="0.25">
      <c r="A1285">
        <v>3.661670908331871E-2</v>
      </c>
      <c r="B1285">
        <v>1.141771674156189</v>
      </c>
    </row>
    <row r="1286" spans="1:2" x14ac:dyDescent="0.25">
      <c r="A1286">
        <v>3.8746558129787445E-2</v>
      </c>
      <c r="B1286">
        <v>1.015699028968811</v>
      </c>
    </row>
    <row r="1287" spans="1:2" x14ac:dyDescent="0.25">
      <c r="A1287">
        <v>3.6464110016822815E-2</v>
      </c>
      <c r="B1287">
        <v>1.4920269250869751</v>
      </c>
    </row>
    <row r="1288" spans="1:2" x14ac:dyDescent="0.25">
      <c r="A1288">
        <v>3.8321327418088913E-2</v>
      </c>
      <c r="B1288">
        <v>1.2268552780151367</v>
      </c>
    </row>
    <row r="1289" spans="1:2" x14ac:dyDescent="0.25">
      <c r="A1289">
        <v>3.8629870861768723E-2</v>
      </c>
      <c r="B1289">
        <v>1.4576137065887451</v>
      </c>
    </row>
    <row r="1290" spans="1:2" x14ac:dyDescent="0.25">
      <c r="A1290">
        <v>3.57365682721138E-2</v>
      </c>
      <c r="B1290">
        <v>1.3142071962356567</v>
      </c>
    </row>
    <row r="1291" spans="1:2" x14ac:dyDescent="0.25">
      <c r="A1291">
        <v>3.751865029335022E-2</v>
      </c>
      <c r="B1291">
        <v>1.6279662847518921</v>
      </c>
    </row>
    <row r="1292" spans="1:2" x14ac:dyDescent="0.25">
      <c r="A1292">
        <v>3.7478797137737274E-2</v>
      </c>
      <c r="B1292">
        <v>1.4387685060501099</v>
      </c>
    </row>
    <row r="1293" spans="1:2" x14ac:dyDescent="0.25">
      <c r="A1293">
        <v>3.5789724439382553E-2</v>
      </c>
      <c r="B1293">
        <v>1.6507128477096558</v>
      </c>
    </row>
    <row r="1294" spans="1:2" x14ac:dyDescent="0.25">
      <c r="A1294">
        <v>3.7804238498210907E-2</v>
      </c>
      <c r="B1294">
        <v>1.3271616697311401</v>
      </c>
    </row>
    <row r="1295" spans="1:2" x14ac:dyDescent="0.25">
      <c r="A1295">
        <v>3.7269178777933121E-2</v>
      </c>
      <c r="B1295">
        <v>1.5666362047195435</v>
      </c>
    </row>
    <row r="1296" spans="1:2" x14ac:dyDescent="0.25">
      <c r="A1296">
        <v>3.3060032874345779E-2</v>
      </c>
      <c r="B1296">
        <v>1.2410290241241455</v>
      </c>
    </row>
    <row r="1297" spans="1:2" x14ac:dyDescent="0.25">
      <c r="A1297">
        <v>3.4309737384319305E-2</v>
      </c>
      <c r="B1297">
        <v>0.86456155776977539</v>
      </c>
    </row>
    <row r="1298" spans="1:2" x14ac:dyDescent="0.25">
      <c r="A1298">
        <v>3.7191145122051239E-2</v>
      </c>
      <c r="B1298">
        <v>0.50707006454467773</v>
      </c>
    </row>
    <row r="1299" spans="1:2" x14ac:dyDescent="0.25">
      <c r="A1299">
        <v>2.1825121715664864E-2</v>
      </c>
      <c r="B1299">
        <v>0.18810981512069702</v>
      </c>
    </row>
    <row r="1300" spans="1:2" x14ac:dyDescent="0.25">
      <c r="A1300">
        <v>0.13885574042797089</v>
      </c>
      <c r="B1300">
        <v>0.12969733774662018</v>
      </c>
    </row>
    <row r="1301" spans="1:2" x14ac:dyDescent="0.25">
      <c r="A1301">
        <v>0.22260214388370514</v>
      </c>
      <c r="B1301">
        <v>0.12126073241233826</v>
      </c>
    </row>
    <row r="1302" spans="1:2" x14ac:dyDescent="0.25">
      <c r="A1302">
        <v>3.9314150810241699E-2</v>
      </c>
      <c r="B1302">
        <v>0.51635336875915527</v>
      </c>
    </row>
    <row r="1303" spans="1:2" x14ac:dyDescent="0.25">
      <c r="A1303">
        <v>3.7275638431310654E-2</v>
      </c>
      <c r="B1303">
        <v>0.645987868309021</v>
      </c>
    </row>
    <row r="1304" spans="1:2" x14ac:dyDescent="0.25">
      <c r="A1304">
        <v>3.9059694856405258E-2</v>
      </c>
      <c r="B1304">
        <v>0.12700310349464417</v>
      </c>
    </row>
    <row r="1305" spans="1:2" x14ac:dyDescent="0.25">
      <c r="A1305">
        <v>0.15439553558826447</v>
      </c>
      <c r="B1305">
        <v>2.3118398189544678</v>
      </c>
    </row>
    <row r="1306" spans="1:2" x14ac:dyDescent="0.25">
      <c r="A1306">
        <v>8.5659608244895935E-2</v>
      </c>
      <c r="B1306">
        <v>1.365422248840332</v>
      </c>
    </row>
    <row r="1307" spans="1:2" x14ac:dyDescent="0.25">
      <c r="A1307">
        <v>3.320634737610817E-2</v>
      </c>
      <c r="B1307">
        <v>0.40156856179237366</v>
      </c>
    </row>
    <row r="1308" spans="1:2" x14ac:dyDescent="0.25">
      <c r="A1308">
        <v>3.7722967565059662E-2</v>
      </c>
      <c r="B1308">
        <v>0.67496424913406372</v>
      </c>
    </row>
    <row r="1309" spans="1:2" x14ac:dyDescent="0.25">
      <c r="A1309">
        <v>3.8006067276000977E-2</v>
      </c>
      <c r="B1309">
        <v>0.95429331064224243</v>
      </c>
    </row>
    <row r="1310" spans="1:2" x14ac:dyDescent="0.25">
      <c r="A1310">
        <v>3.7785075604915619E-2</v>
      </c>
      <c r="B1310">
        <v>1.0391108989715576</v>
      </c>
    </row>
    <row r="1311" spans="1:2" x14ac:dyDescent="0.25">
      <c r="A1311">
        <v>3.8914255797863007E-2</v>
      </c>
      <c r="B1311">
        <v>1.3398076295852661</v>
      </c>
    </row>
    <row r="1312" spans="1:2" x14ac:dyDescent="0.25">
      <c r="A1312">
        <v>3.7201859056949615E-2</v>
      </c>
      <c r="B1312">
        <v>1.1942331790924072</v>
      </c>
    </row>
    <row r="1313" spans="1:2" x14ac:dyDescent="0.25">
      <c r="A1313">
        <v>3.7410806864500046E-2</v>
      </c>
      <c r="B1313">
        <v>1.3421239852905273</v>
      </c>
    </row>
    <row r="1314" spans="1:2" x14ac:dyDescent="0.25">
      <c r="A1314">
        <v>3.6762211471796036E-2</v>
      </c>
      <c r="B1314">
        <v>1.1983047723770142</v>
      </c>
    </row>
    <row r="1315" spans="1:2" x14ac:dyDescent="0.25">
      <c r="A1315">
        <v>3.7649612873792648E-2</v>
      </c>
      <c r="B1315">
        <v>1.4675188064575195</v>
      </c>
    </row>
    <row r="1316" spans="1:2" x14ac:dyDescent="0.25">
      <c r="A1316">
        <v>3.6380011588335037E-2</v>
      </c>
      <c r="B1316">
        <v>1.3161767721176147</v>
      </c>
    </row>
    <row r="1317" spans="1:2" x14ac:dyDescent="0.25">
      <c r="A1317">
        <v>3.8669303059577942E-2</v>
      </c>
      <c r="B1317">
        <v>1.4697432518005371</v>
      </c>
    </row>
    <row r="1318" spans="1:2" x14ac:dyDescent="0.25">
      <c r="A1318">
        <v>3.5225421190261841E-2</v>
      </c>
      <c r="B1318">
        <v>1.341347336769104</v>
      </c>
    </row>
    <row r="1319" spans="1:2" x14ac:dyDescent="0.25">
      <c r="A1319">
        <v>3.6001786589622498E-2</v>
      </c>
      <c r="B1319">
        <v>1.5624797344207764</v>
      </c>
    </row>
    <row r="1320" spans="1:2" x14ac:dyDescent="0.25">
      <c r="A1320">
        <v>3.4226145595312119E-2</v>
      </c>
      <c r="B1320">
        <v>1.1090859174728394</v>
      </c>
    </row>
    <row r="1321" spans="1:2" x14ac:dyDescent="0.25">
      <c r="A1321">
        <v>3.5581141710281372E-2</v>
      </c>
      <c r="B1321">
        <v>1.0371248722076416</v>
      </c>
    </row>
    <row r="1322" spans="1:2" x14ac:dyDescent="0.25">
      <c r="A1322">
        <v>3.4894578158855438E-2</v>
      </c>
      <c r="B1322">
        <v>0.59317570924758911</v>
      </c>
    </row>
    <row r="1323" spans="1:2" x14ac:dyDescent="0.25">
      <c r="A1323">
        <v>2.9539572075009346E-2</v>
      </c>
      <c r="B1323">
        <v>0.17319789528846741</v>
      </c>
    </row>
    <row r="1324" spans="1:2" x14ac:dyDescent="0.25">
      <c r="A1324">
        <v>3.4219220280647278E-2</v>
      </c>
      <c r="B1324">
        <v>0.15670917928218842</v>
      </c>
    </row>
    <row r="1325" spans="1:2" x14ac:dyDescent="0.25">
      <c r="A1325">
        <v>3.9547089487314224E-2</v>
      </c>
      <c r="B1325">
        <v>9.8172552883625031E-2</v>
      </c>
    </row>
    <row r="1326" spans="1:2" x14ac:dyDescent="0.25">
      <c r="A1326">
        <v>3.6122515797615051E-2</v>
      </c>
      <c r="B1326">
        <v>0.12962327897548676</v>
      </c>
    </row>
    <row r="1327" spans="1:2" x14ac:dyDescent="0.25">
      <c r="A1327">
        <v>3.5932168364524841E-2</v>
      </c>
      <c r="B1327">
        <v>0.13331486284732819</v>
      </c>
    </row>
    <row r="1328" spans="1:2" x14ac:dyDescent="0.25">
      <c r="A1328">
        <v>3.7139654159545898E-2</v>
      </c>
      <c r="B1328">
        <v>5.3742963820695877E-2</v>
      </c>
    </row>
    <row r="1329" spans="1:2" x14ac:dyDescent="0.25">
      <c r="A1329">
        <v>0.14598177373409271</v>
      </c>
      <c r="B1329">
        <v>2.2662718296051025</v>
      </c>
    </row>
    <row r="1330" spans="1:2" x14ac:dyDescent="0.25">
      <c r="A1330">
        <v>0.20870703458786011</v>
      </c>
      <c r="B1330">
        <v>1.3488458395004272</v>
      </c>
    </row>
    <row r="1331" spans="1:2" x14ac:dyDescent="0.25">
      <c r="A1331">
        <v>3.7924729287624359E-2</v>
      </c>
      <c r="B1331">
        <v>0.11802514642477036</v>
      </c>
    </row>
    <row r="1332" spans="1:2" x14ac:dyDescent="0.25">
      <c r="A1332">
        <v>3.7860482931137085E-2</v>
      </c>
      <c r="B1332">
        <v>0.26236817240715027</v>
      </c>
    </row>
    <row r="1333" spans="1:2" x14ac:dyDescent="0.25">
      <c r="A1333">
        <v>3.915729746222496E-2</v>
      </c>
      <c r="B1333">
        <v>0.69546020030975342</v>
      </c>
    </row>
    <row r="1334" spans="1:2" x14ac:dyDescent="0.25">
      <c r="A1334">
        <v>3.8016706705093384E-2</v>
      </c>
      <c r="B1334">
        <v>0.83517992496490479</v>
      </c>
    </row>
    <row r="1335" spans="1:2" x14ac:dyDescent="0.25">
      <c r="A1335">
        <v>3.8140952587127686E-2</v>
      </c>
      <c r="B1335">
        <v>1.0601030588150024</v>
      </c>
    </row>
    <row r="1336" spans="1:2" x14ac:dyDescent="0.25">
      <c r="A1336">
        <v>3.7114452570676804E-2</v>
      </c>
      <c r="B1336">
        <v>1.1409486532211304</v>
      </c>
    </row>
    <row r="1337" spans="1:2" x14ac:dyDescent="0.25">
      <c r="A1337">
        <v>3.7877701222896576E-2</v>
      </c>
      <c r="B1337">
        <v>1.3616623878479004</v>
      </c>
    </row>
    <row r="1338" spans="1:2" x14ac:dyDescent="0.25">
      <c r="A1338">
        <v>3.6764182150363922E-2</v>
      </c>
      <c r="B1338">
        <v>1.2114332914352417</v>
      </c>
    </row>
    <row r="1339" spans="1:2" x14ac:dyDescent="0.25">
      <c r="A1339">
        <v>3.7069056183099747E-2</v>
      </c>
      <c r="B1339">
        <v>1.439347505569458</v>
      </c>
    </row>
    <row r="1340" spans="1:2" x14ac:dyDescent="0.25">
      <c r="A1340">
        <v>3.7558164447546005E-2</v>
      </c>
      <c r="B1340">
        <v>1.3404750823974609</v>
      </c>
    </row>
    <row r="1341" spans="1:2" x14ac:dyDescent="0.25">
      <c r="A1341">
        <v>3.6325816065073013E-2</v>
      </c>
      <c r="B1341">
        <v>1.4616684913635254</v>
      </c>
    </row>
    <row r="1342" spans="1:2" x14ac:dyDescent="0.25">
      <c r="A1342">
        <v>3.6653097718954086E-2</v>
      </c>
      <c r="B1342">
        <v>1.2774790525436401</v>
      </c>
    </row>
    <row r="1343" spans="1:2" x14ac:dyDescent="0.25">
      <c r="A1343">
        <v>3.7756871432065964E-2</v>
      </c>
      <c r="B1343">
        <v>1.5691152811050415</v>
      </c>
    </row>
    <row r="1344" spans="1:2" x14ac:dyDescent="0.25">
      <c r="A1344">
        <v>3.3978316932916641E-2</v>
      </c>
      <c r="B1344">
        <v>1.1656614542007446</v>
      </c>
    </row>
    <row r="1345" spans="1:2" x14ac:dyDescent="0.25">
      <c r="A1345">
        <v>3.1196707859635353E-2</v>
      </c>
      <c r="B1345">
        <v>0.59619396924972534</v>
      </c>
    </row>
    <row r="1346" spans="1:2" x14ac:dyDescent="0.25">
      <c r="A1346">
        <v>4.8385061323642731E-2</v>
      </c>
      <c r="B1346">
        <v>0.13081228733062744</v>
      </c>
    </row>
    <row r="1347" spans="1:2" x14ac:dyDescent="0.25">
      <c r="A1347">
        <v>0.17657901346683502</v>
      </c>
      <c r="B1347">
        <v>0.11615733057260513</v>
      </c>
    </row>
    <row r="1348" spans="1:2" x14ac:dyDescent="0.25">
      <c r="A1348">
        <v>2.4813072755932808E-2</v>
      </c>
      <c r="B1348">
        <v>9.4595342874526978E-2</v>
      </c>
    </row>
    <row r="1349" spans="1:2" x14ac:dyDescent="0.25">
      <c r="A1349">
        <v>3.3289097249507904E-2</v>
      </c>
      <c r="B1349">
        <v>0.1658351868391037</v>
      </c>
    </row>
    <row r="1350" spans="1:2" x14ac:dyDescent="0.25">
      <c r="A1350">
        <v>3.5781729966402054E-2</v>
      </c>
      <c r="B1350">
        <v>0.53570902347564697</v>
      </c>
    </row>
    <row r="1351" spans="1:2" x14ac:dyDescent="0.25">
      <c r="A1351">
        <v>3.612377867102623E-2</v>
      </c>
      <c r="B1351">
        <v>0.66359472274780273</v>
      </c>
    </row>
    <row r="1352" spans="1:2" x14ac:dyDescent="0.25">
      <c r="A1352">
        <v>3.6315914243459702E-2</v>
      </c>
      <c r="B1352">
        <v>0.18211419880390167</v>
      </c>
    </row>
    <row r="1353" spans="1:2" x14ac:dyDescent="0.25">
      <c r="A1353">
        <v>0.16129426658153534</v>
      </c>
      <c r="B1353">
        <v>2.3536758422851562</v>
      </c>
    </row>
    <row r="1354" spans="1:2" x14ac:dyDescent="0.25">
      <c r="A1354">
        <v>0.1300773024559021</v>
      </c>
      <c r="B1354">
        <v>4.6380429267883301</v>
      </c>
    </row>
    <row r="1355" spans="1:2" x14ac:dyDescent="0.25">
      <c r="A1355">
        <v>3.9925616234540939E-2</v>
      </c>
      <c r="B1355">
        <v>3.3614325523376465</v>
      </c>
    </row>
    <row r="1356" spans="1:2" x14ac:dyDescent="0.25">
      <c r="A1356">
        <v>3.8169573992490768E-2</v>
      </c>
      <c r="B1356">
        <v>1.0287002325057983</v>
      </c>
    </row>
    <row r="1357" spans="1:2" x14ac:dyDescent="0.25">
      <c r="A1357">
        <v>3.8245979696512222E-2</v>
      </c>
      <c r="B1357">
        <v>1.2963018417358398</v>
      </c>
    </row>
    <row r="1358" spans="1:2" x14ac:dyDescent="0.25">
      <c r="A1358">
        <v>3.782174363732338E-2</v>
      </c>
      <c r="B1358">
        <v>1.1734918355941772</v>
      </c>
    </row>
    <row r="1359" spans="1:2" x14ac:dyDescent="0.25">
      <c r="A1359">
        <v>3.7853173911571503E-2</v>
      </c>
      <c r="B1359">
        <v>1.4256998300552368</v>
      </c>
    </row>
    <row r="1360" spans="1:2" x14ac:dyDescent="0.25">
      <c r="A1360">
        <v>3.7121657282114029E-2</v>
      </c>
      <c r="B1360">
        <v>1.0474481582641602</v>
      </c>
    </row>
    <row r="1361" spans="1:2" x14ac:dyDescent="0.25">
      <c r="A1361">
        <v>3.7363220006227493E-2</v>
      </c>
      <c r="B1361">
        <v>1.2515485286712646</v>
      </c>
    </row>
    <row r="1362" spans="1:2" x14ac:dyDescent="0.25">
      <c r="A1362">
        <v>3.7292379885911942E-2</v>
      </c>
      <c r="B1362">
        <v>1.1069735288619995</v>
      </c>
    </row>
    <row r="1363" spans="1:2" x14ac:dyDescent="0.25">
      <c r="A1363">
        <v>3.803505003452301E-2</v>
      </c>
      <c r="B1363">
        <v>1.3614101409912109</v>
      </c>
    </row>
    <row r="1364" spans="1:2" x14ac:dyDescent="0.25">
      <c r="A1364">
        <v>3.6122802644968033E-2</v>
      </c>
      <c r="B1364">
        <v>1.1708047389984131</v>
      </c>
    </row>
    <row r="1365" spans="1:2" x14ac:dyDescent="0.25">
      <c r="A1365">
        <v>3.6086749285459518E-2</v>
      </c>
      <c r="B1365">
        <v>1.3477529287338257</v>
      </c>
    </row>
    <row r="1366" spans="1:2" x14ac:dyDescent="0.25">
      <c r="A1366">
        <v>3.731154277920723E-2</v>
      </c>
      <c r="B1366">
        <v>1.2038089036941528</v>
      </c>
    </row>
    <row r="1367" spans="1:2" x14ac:dyDescent="0.25">
      <c r="A1367">
        <v>3.7658926099538803E-2</v>
      </c>
      <c r="B1367">
        <v>1.429404616355896</v>
      </c>
    </row>
    <row r="1368" spans="1:2" x14ac:dyDescent="0.25">
      <c r="A1368">
        <v>3.2565385103225708E-2</v>
      </c>
      <c r="B1368">
        <v>1.0239108800888062</v>
      </c>
    </row>
    <row r="1369" spans="1:2" x14ac:dyDescent="0.25">
      <c r="A1369">
        <v>3.3914279192686081E-2</v>
      </c>
      <c r="B1369">
        <v>0.56159877777099609</v>
      </c>
    </row>
    <row r="1370" spans="1:2" x14ac:dyDescent="0.25">
      <c r="A1370">
        <v>3.002002090215683E-2</v>
      </c>
      <c r="B1370">
        <v>0.20027898252010345</v>
      </c>
    </row>
    <row r="1371" spans="1:2" x14ac:dyDescent="0.25">
      <c r="A1371">
        <v>7.9703137278556824E-2</v>
      </c>
      <c r="B1371">
        <v>0.12256389856338501</v>
      </c>
    </row>
    <row r="1372" spans="1:2" x14ac:dyDescent="0.25">
      <c r="A1372">
        <v>0.21369123458862305</v>
      </c>
      <c r="B1372">
        <v>0.11781062185764313</v>
      </c>
    </row>
    <row r="1373" spans="1:2" x14ac:dyDescent="0.25">
      <c r="A1373">
        <v>0.17553116381168365</v>
      </c>
      <c r="B1373">
        <v>0.12349612265825272</v>
      </c>
    </row>
    <row r="1374" spans="1:2" x14ac:dyDescent="0.25">
      <c r="A1374">
        <v>0.1185910776257515</v>
      </c>
      <c r="B1374">
        <v>0.10865367203950882</v>
      </c>
    </row>
    <row r="1375" spans="1:2" x14ac:dyDescent="0.25">
      <c r="A1375">
        <v>0.23518367111682892</v>
      </c>
      <c r="B1375">
        <v>7.8536979854106903E-2</v>
      </c>
    </row>
    <row r="1376" spans="1:2" x14ac:dyDescent="0.25">
      <c r="A1376">
        <v>0.25739458203315735</v>
      </c>
      <c r="B1376">
        <v>0.16124653816223145</v>
      </c>
    </row>
    <row r="1377" spans="1:2" x14ac:dyDescent="0.25">
      <c r="A1377">
        <v>0.26333737373352051</v>
      </c>
      <c r="B1377">
        <v>2.5115230083465576</v>
      </c>
    </row>
    <row r="1378" spans="1:2" x14ac:dyDescent="0.25">
      <c r="A1378">
        <v>0.26058575510978699</v>
      </c>
      <c r="B1378">
        <v>1.9187133312225342</v>
      </c>
    </row>
    <row r="1379" spans="1:2" x14ac:dyDescent="0.25">
      <c r="A1379">
        <v>0.22942648828029633</v>
      </c>
      <c r="B1379">
        <v>7.2984194755554199</v>
      </c>
    </row>
    <row r="1380" spans="1:2" x14ac:dyDescent="0.25">
      <c r="A1380">
        <v>0.22561834752559662</v>
      </c>
      <c r="B1380">
        <v>2.789482593536377</v>
      </c>
    </row>
    <row r="1381" spans="1:2" x14ac:dyDescent="0.25">
      <c r="A1381">
        <v>0.1646319180727005</v>
      </c>
      <c r="B1381">
        <v>3.2882113456726074</v>
      </c>
    </row>
    <row r="1382" spans="1:2" x14ac:dyDescent="0.25">
      <c r="A1382">
        <v>4.5260701328516006E-2</v>
      </c>
      <c r="B1382">
        <v>1.3390257358551025</v>
      </c>
    </row>
    <row r="1383" spans="1:2" x14ac:dyDescent="0.25">
      <c r="A1383">
        <v>3.508889302611351E-2</v>
      </c>
      <c r="B1383">
        <v>1.4253394603729248</v>
      </c>
    </row>
    <row r="1384" spans="1:2" x14ac:dyDescent="0.25">
      <c r="A1384">
        <v>3.434058278799057E-2</v>
      </c>
      <c r="B1384">
        <v>1.2030866146087646</v>
      </c>
    </row>
    <row r="1385" spans="1:2" x14ac:dyDescent="0.25">
      <c r="A1385">
        <v>2.3683613166213036E-2</v>
      </c>
      <c r="B1385">
        <v>1.2896567583084106</v>
      </c>
    </row>
    <row r="1386" spans="1:2" x14ac:dyDescent="0.25">
      <c r="A1386">
        <v>2.2509209811687469E-2</v>
      </c>
      <c r="B1386">
        <v>1.0353856086730957</v>
      </c>
    </row>
    <row r="1387" spans="1:2" x14ac:dyDescent="0.25">
      <c r="A1387">
        <v>2.1967651322484016E-2</v>
      </c>
      <c r="B1387">
        <v>1.1638314723968506</v>
      </c>
    </row>
    <row r="1388" spans="1:2" x14ac:dyDescent="0.25">
      <c r="A1388">
        <v>2.1907208487391472E-2</v>
      </c>
      <c r="B1388">
        <v>1.0182641744613647</v>
      </c>
    </row>
    <row r="1389" spans="1:2" x14ac:dyDescent="0.25">
      <c r="A1389">
        <v>2.1752675995230675E-2</v>
      </c>
      <c r="B1389">
        <v>1.2040303945541382</v>
      </c>
    </row>
    <row r="1390" spans="1:2" x14ac:dyDescent="0.25">
      <c r="A1390">
        <v>2.1527128294110298E-2</v>
      </c>
      <c r="B1390">
        <v>1.0061132907867432</v>
      </c>
    </row>
    <row r="1391" spans="1:2" x14ac:dyDescent="0.25">
      <c r="A1391">
        <v>2.2577911615371704E-2</v>
      </c>
      <c r="B1391">
        <v>0.92606818675994873</v>
      </c>
    </row>
    <row r="1392" spans="1:2" x14ac:dyDescent="0.25">
      <c r="A1392">
        <v>2.1227959543466568E-2</v>
      </c>
      <c r="B1392">
        <v>0.69573849439620972</v>
      </c>
    </row>
    <row r="1393" spans="1:2" x14ac:dyDescent="0.25">
      <c r="A1393">
        <v>2.094634436070919E-2</v>
      </c>
      <c r="B1393">
        <v>0.55116593837738037</v>
      </c>
    </row>
    <row r="1394" spans="1:2" x14ac:dyDescent="0.25">
      <c r="A1394">
        <v>2.0611846819519997E-2</v>
      </c>
      <c r="B1394">
        <v>0.33450847864151001</v>
      </c>
    </row>
    <row r="1395" spans="1:2" x14ac:dyDescent="0.25">
      <c r="A1395">
        <v>1.5669086948037148E-2</v>
      </c>
      <c r="B1395">
        <v>0.19335484504699707</v>
      </c>
    </row>
    <row r="1396" spans="1:2" x14ac:dyDescent="0.25">
      <c r="A1396">
        <v>1.83107890188694E-2</v>
      </c>
      <c r="B1396">
        <v>0.13342086970806122</v>
      </c>
    </row>
    <row r="1397" spans="1:2" x14ac:dyDescent="0.25">
      <c r="A1397">
        <v>2.4019164964556694E-2</v>
      </c>
      <c r="B1397">
        <v>0.11699049919843674</v>
      </c>
    </row>
    <row r="1398" spans="1:2" x14ac:dyDescent="0.25">
      <c r="A1398">
        <v>2.7818307280540466E-2</v>
      </c>
      <c r="B1398">
        <v>0.52654010057449341</v>
      </c>
    </row>
    <row r="1399" spans="1:2" x14ac:dyDescent="0.25">
      <c r="A1399">
        <v>2.735406719148159E-2</v>
      </c>
      <c r="B1399">
        <v>0.7159990668296814</v>
      </c>
    </row>
    <row r="1400" spans="1:2" x14ac:dyDescent="0.25">
      <c r="A1400">
        <v>2.5655254721641541E-2</v>
      </c>
      <c r="B1400">
        <v>5.8964766561985016E-2</v>
      </c>
    </row>
    <row r="1401" spans="1:2" x14ac:dyDescent="0.25">
      <c r="A1401">
        <v>0.12171671539545059</v>
      </c>
      <c r="B1401">
        <v>2.3487997055053711</v>
      </c>
    </row>
    <row r="1402" spans="1:2" x14ac:dyDescent="0.25">
      <c r="A1402">
        <v>1.6653845086693764E-2</v>
      </c>
      <c r="B1402">
        <v>4.0525970458984375</v>
      </c>
    </row>
    <row r="1403" spans="1:2" x14ac:dyDescent="0.25">
      <c r="A1403">
        <v>1.9802814349532127E-2</v>
      </c>
      <c r="B1403">
        <v>3.387014627456665</v>
      </c>
    </row>
    <row r="1404" spans="1:2" x14ac:dyDescent="0.25">
      <c r="A1404">
        <v>2.3943904787302017E-2</v>
      </c>
      <c r="B1404">
        <v>2.878777027130127</v>
      </c>
    </row>
    <row r="1405" spans="1:2" x14ac:dyDescent="0.25">
      <c r="A1405">
        <v>2.2897938266396523E-2</v>
      </c>
      <c r="B1405">
        <v>3.6361620426177979</v>
      </c>
    </row>
    <row r="1406" spans="1:2" x14ac:dyDescent="0.25">
      <c r="A1406">
        <v>2.3481052368879318E-2</v>
      </c>
      <c r="B1406">
        <v>2.9674749374389648</v>
      </c>
    </row>
    <row r="1407" spans="1:2" x14ac:dyDescent="0.25">
      <c r="A1407">
        <v>2.3052409291267395E-2</v>
      </c>
      <c r="B1407">
        <v>3.7838771343231201</v>
      </c>
    </row>
    <row r="1408" spans="1:2" x14ac:dyDescent="0.25">
      <c r="A1408">
        <v>2.2208625450730324E-2</v>
      </c>
      <c r="B1408">
        <v>0.9312329888343811</v>
      </c>
    </row>
    <row r="1409" spans="1:2" x14ac:dyDescent="0.25">
      <c r="A1409">
        <v>2.1677775308489799E-2</v>
      </c>
      <c r="B1409">
        <v>0.91600358486175537</v>
      </c>
    </row>
    <row r="1410" spans="1:2" x14ac:dyDescent="0.25">
      <c r="A1410">
        <v>2.1637804806232452E-2</v>
      </c>
      <c r="B1410">
        <v>0.84597545862197876</v>
      </c>
    </row>
    <row r="1411" spans="1:2" x14ac:dyDescent="0.25">
      <c r="A1411">
        <v>2.2062825039029121E-2</v>
      </c>
      <c r="B1411">
        <v>1.0608623027801514</v>
      </c>
    </row>
    <row r="1412" spans="1:2" x14ac:dyDescent="0.25">
      <c r="A1412">
        <v>2.2607782855629921E-2</v>
      </c>
      <c r="B1412">
        <v>1.0412704944610596</v>
      </c>
    </row>
    <row r="1413" spans="1:2" x14ac:dyDescent="0.25">
      <c r="A1413">
        <v>2.1345444023609161E-2</v>
      </c>
      <c r="B1413">
        <v>1.0483840703964233</v>
      </c>
    </row>
    <row r="1414" spans="1:2" x14ac:dyDescent="0.25">
      <c r="A1414">
        <v>2.2524872794747353E-2</v>
      </c>
      <c r="B1414">
        <v>1.0302473306655884</v>
      </c>
    </row>
    <row r="1415" spans="1:2" x14ac:dyDescent="0.25">
      <c r="A1415">
        <v>9.86471027135849E-2</v>
      </c>
      <c r="B1415">
        <v>1.6203261613845825</v>
      </c>
    </row>
    <row r="1416" spans="1:2" x14ac:dyDescent="0.25">
      <c r="A1416">
        <v>1.216604933142662E-2</v>
      </c>
      <c r="B1416">
        <v>0.96023392677307129</v>
      </c>
    </row>
    <row r="1417" spans="1:2" x14ac:dyDescent="0.25">
      <c r="A1417">
        <v>0.14430408179759979</v>
      </c>
      <c r="B1417">
        <v>0.59221345186233521</v>
      </c>
    </row>
    <row r="1418" spans="1:2" x14ac:dyDescent="0.25">
      <c r="A1418">
        <v>2.6844087988138199E-2</v>
      </c>
      <c r="B1418">
        <v>0.11516779661178589</v>
      </c>
    </row>
    <row r="1419" spans="1:2" x14ac:dyDescent="0.25">
      <c r="A1419">
        <v>2.3858480155467987E-2</v>
      </c>
      <c r="B1419">
        <v>0.12024309486150742</v>
      </c>
    </row>
    <row r="1420" spans="1:2" x14ac:dyDescent="0.25">
      <c r="A1420">
        <v>2.1341439336538315E-2</v>
      </c>
      <c r="B1420">
        <v>0.13034497201442719</v>
      </c>
    </row>
    <row r="1421" spans="1:2" x14ac:dyDescent="0.25">
      <c r="A1421">
        <v>2.0960364490747452E-2</v>
      </c>
      <c r="B1421">
        <v>8.6125925183296204E-2</v>
      </c>
    </row>
    <row r="1422" spans="1:2" x14ac:dyDescent="0.25">
      <c r="A1422">
        <v>2.702726237475872E-2</v>
      </c>
      <c r="B1422">
        <v>0.12855470180511475</v>
      </c>
    </row>
    <row r="1423" spans="1:2" x14ac:dyDescent="0.25">
      <c r="A1423">
        <v>1.9287358969449997E-2</v>
      </c>
      <c r="B1423">
        <v>9.5324359834194183E-2</v>
      </c>
    </row>
    <row r="1424" spans="1:2" x14ac:dyDescent="0.25">
      <c r="A1424">
        <v>2.1287417039275169E-2</v>
      </c>
      <c r="B1424">
        <v>0.12170757353305817</v>
      </c>
    </row>
    <row r="1425" spans="1:2" x14ac:dyDescent="0.25">
      <c r="A1425">
        <v>0.18609794974327087</v>
      </c>
      <c r="B1425">
        <v>2.3151230812072754</v>
      </c>
    </row>
    <row r="1426" spans="1:2" x14ac:dyDescent="0.25">
      <c r="A1426">
        <v>9.8295874893665314E-2</v>
      </c>
      <c r="B1426">
        <v>1.4793728590011597</v>
      </c>
    </row>
    <row r="1427" spans="1:2" x14ac:dyDescent="0.25">
      <c r="A1427">
        <v>2.0914582535624504E-2</v>
      </c>
      <c r="B1427">
        <v>0.53649759292602539</v>
      </c>
    </row>
    <row r="1428" spans="1:2" x14ac:dyDescent="0.25">
      <c r="A1428">
        <v>2.2343914955854416E-2</v>
      </c>
      <c r="B1428">
        <v>0.69085818529129028</v>
      </c>
    </row>
    <row r="1429" spans="1:2" x14ac:dyDescent="0.25">
      <c r="A1429">
        <v>2.1491322666406631E-2</v>
      </c>
      <c r="B1429">
        <v>0.97845256328582764</v>
      </c>
    </row>
    <row r="1430" spans="1:2" x14ac:dyDescent="0.25">
      <c r="A1430">
        <v>2.3022567853331566E-2</v>
      </c>
      <c r="B1430">
        <v>0.96664845943450928</v>
      </c>
    </row>
    <row r="1431" spans="1:2" x14ac:dyDescent="0.25">
      <c r="A1431">
        <v>2.3051988333463669E-2</v>
      </c>
      <c r="B1431">
        <v>1.237309455871582</v>
      </c>
    </row>
    <row r="1432" spans="1:2" x14ac:dyDescent="0.25">
      <c r="A1432">
        <v>2.2227117791771889E-2</v>
      </c>
      <c r="B1432">
        <v>1.1001981496810913</v>
      </c>
    </row>
    <row r="1433" spans="1:2" x14ac:dyDescent="0.25">
      <c r="A1433">
        <v>2.1649988368153572E-2</v>
      </c>
      <c r="B1433">
        <v>1.2959837913513184</v>
      </c>
    </row>
    <row r="1434" spans="1:2" x14ac:dyDescent="0.25">
      <c r="A1434">
        <v>2.0724592730402946E-2</v>
      </c>
      <c r="B1434">
        <v>1.0350995063781738</v>
      </c>
    </row>
    <row r="1435" spans="1:2" x14ac:dyDescent="0.25">
      <c r="A1435">
        <v>1.9493918865919113E-2</v>
      </c>
      <c r="B1435">
        <v>0.52512186765670776</v>
      </c>
    </row>
    <row r="1436" spans="1:2" x14ac:dyDescent="0.25">
      <c r="A1436">
        <v>2.4711314588785172E-2</v>
      </c>
      <c r="B1436">
        <v>0.54084610939025879</v>
      </c>
    </row>
    <row r="1437" spans="1:2" x14ac:dyDescent="0.25">
      <c r="A1437">
        <v>2.2926386445760727E-2</v>
      </c>
      <c r="B1437">
        <v>0.78568869829177856</v>
      </c>
    </row>
    <row r="1438" spans="1:2" x14ac:dyDescent="0.25">
      <c r="A1438">
        <v>2.1347550675272942E-2</v>
      </c>
      <c r="B1438">
        <v>0.61336988210678101</v>
      </c>
    </row>
    <row r="1439" spans="1:2" x14ac:dyDescent="0.25">
      <c r="A1439">
        <v>2.1747417747974396E-2</v>
      </c>
      <c r="B1439">
        <v>0.7123950719833374</v>
      </c>
    </row>
    <row r="1440" spans="1:2" x14ac:dyDescent="0.25">
      <c r="A1440">
        <v>2.2669803351163864E-2</v>
      </c>
      <c r="B1440">
        <v>0.57332074642181396</v>
      </c>
    </row>
    <row r="1441" spans="1:2" x14ac:dyDescent="0.25">
      <c r="A1441">
        <v>1.3892753049731255E-2</v>
      </c>
      <c r="B1441">
        <v>0.30421558022499084</v>
      </c>
    </row>
    <row r="1442" spans="1:2" x14ac:dyDescent="0.25">
      <c r="A1442">
        <v>1.1988951824605465E-2</v>
      </c>
      <c r="B1442">
        <v>5.4621364921331406E-2</v>
      </c>
    </row>
    <row r="1443" spans="1:2" x14ac:dyDescent="0.25">
      <c r="A1443">
        <v>2.0787613466382027E-2</v>
      </c>
      <c r="B1443">
        <v>9.4360210001468658E-2</v>
      </c>
    </row>
    <row r="1444" spans="1:2" x14ac:dyDescent="0.25">
      <c r="A1444">
        <v>2.290697954595089E-2</v>
      </c>
      <c r="B1444">
        <v>4.9639709293842316E-2</v>
      </c>
    </row>
    <row r="1445" spans="1:2" x14ac:dyDescent="0.25">
      <c r="A1445">
        <v>2.1752478554844856E-2</v>
      </c>
      <c r="B1445">
        <v>4.9892574548721313E-2</v>
      </c>
    </row>
    <row r="1446" spans="1:2" x14ac:dyDescent="0.25">
      <c r="A1446">
        <v>2.1163549274206161E-2</v>
      </c>
      <c r="B1446">
        <v>0.46574565768241882</v>
      </c>
    </row>
    <row r="1447" spans="1:2" x14ac:dyDescent="0.25">
      <c r="A1447">
        <v>2.1546708419919014E-2</v>
      </c>
      <c r="B1447">
        <v>0.53358101844787598</v>
      </c>
    </row>
    <row r="1448" spans="1:2" x14ac:dyDescent="0.25">
      <c r="A1448">
        <v>2.1338185295462608E-2</v>
      </c>
      <c r="B1448">
        <v>8.1939436495304108E-2</v>
      </c>
    </row>
    <row r="1449" spans="1:2" x14ac:dyDescent="0.25">
      <c r="A1449">
        <v>0.13625222444534302</v>
      </c>
      <c r="B1449">
        <v>2.2643923759460449</v>
      </c>
    </row>
    <row r="1450" spans="1:2" x14ac:dyDescent="0.25">
      <c r="A1450">
        <v>0.14601127803325653</v>
      </c>
      <c r="B1450">
        <v>1.4485136270523071</v>
      </c>
    </row>
    <row r="1451" spans="1:2" x14ac:dyDescent="0.25">
      <c r="A1451">
        <v>2.3009227588772774E-2</v>
      </c>
      <c r="B1451">
        <v>0.26079046726226807</v>
      </c>
    </row>
    <row r="1452" spans="1:2" x14ac:dyDescent="0.25">
      <c r="A1452">
        <v>2.0496277138590813E-2</v>
      </c>
      <c r="B1452">
        <v>0.31639507412910461</v>
      </c>
    </row>
    <row r="1453" spans="1:2" x14ac:dyDescent="0.25">
      <c r="A1453">
        <v>2.6105070486664772E-2</v>
      </c>
      <c r="B1453">
        <v>0.4864744246006012</v>
      </c>
    </row>
    <row r="1454" spans="1:2" x14ac:dyDescent="0.25">
      <c r="A1454">
        <v>0.1758011132478714</v>
      </c>
      <c r="B1454">
        <v>0.71070575714111328</v>
      </c>
    </row>
    <row r="1455" spans="1:2" x14ac:dyDescent="0.25">
      <c r="A1455">
        <v>0.12510068714618683</v>
      </c>
      <c r="B1455">
        <v>1.0754069089889526</v>
      </c>
    </row>
    <row r="1456" spans="1:2" x14ac:dyDescent="0.25">
      <c r="A1456">
        <v>2.4583341553807259E-2</v>
      </c>
      <c r="B1456">
        <v>0.71744334697723389</v>
      </c>
    </row>
    <row r="1457" spans="1:2" x14ac:dyDescent="0.25">
      <c r="A1457">
        <v>3.8328766822814941E-2</v>
      </c>
      <c r="B1457">
        <v>0.77569156885147095</v>
      </c>
    </row>
    <row r="1458" spans="1:2" x14ac:dyDescent="0.25">
      <c r="A1458">
        <v>3.7107694894075394E-2</v>
      </c>
      <c r="B1458">
        <v>0.67992317676544189</v>
      </c>
    </row>
    <row r="1459" spans="1:2" x14ac:dyDescent="0.25">
      <c r="A1459">
        <v>3.7110470235347748E-2</v>
      </c>
      <c r="B1459">
        <v>0.83809870481491089</v>
      </c>
    </row>
    <row r="1460" spans="1:2" x14ac:dyDescent="0.25">
      <c r="A1460">
        <v>3.8200199604034424E-2</v>
      </c>
      <c r="B1460">
        <v>0.85759347677230835</v>
      </c>
    </row>
    <row r="1461" spans="1:2" x14ac:dyDescent="0.25">
      <c r="A1461">
        <v>3.7721086293458939E-2</v>
      </c>
      <c r="B1461">
        <v>0.98134362697601318</v>
      </c>
    </row>
    <row r="1462" spans="1:2" x14ac:dyDescent="0.25">
      <c r="A1462">
        <v>3.8802336901426315E-2</v>
      </c>
      <c r="B1462">
        <v>0.91214680671691895</v>
      </c>
    </row>
    <row r="1463" spans="1:2" x14ac:dyDescent="0.25">
      <c r="A1463">
        <v>3.5316687077283859E-2</v>
      </c>
      <c r="B1463">
        <v>1.0048296451568604</v>
      </c>
    </row>
    <row r="1464" spans="1:2" x14ac:dyDescent="0.25">
      <c r="A1464">
        <v>3.173297643661499E-2</v>
      </c>
      <c r="B1464">
        <v>0.59846431016921997</v>
      </c>
    </row>
    <row r="1465" spans="1:2" x14ac:dyDescent="0.25">
      <c r="A1465">
        <v>2.9681317508220673E-2</v>
      </c>
      <c r="B1465">
        <v>0.24301344156265259</v>
      </c>
    </row>
    <row r="1466" spans="1:2" x14ac:dyDescent="0.25">
      <c r="A1466">
        <v>3.3639341592788696E-2</v>
      </c>
      <c r="B1466">
        <v>0.10680199414491653</v>
      </c>
    </row>
    <row r="1467" spans="1:2" x14ac:dyDescent="0.25">
      <c r="A1467">
        <v>3.5957138985395432E-2</v>
      </c>
      <c r="B1467">
        <v>4.6085625886917114E-2</v>
      </c>
    </row>
    <row r="1468" spans="1:2" x14ac:dyDescent="0.25">
      <c r="A1468">
        <v>3.7909585982561111E-2</v>
      </c>
      <c r="B1468">
        <v>3.991306945681572E-2</v>
      </c>
    </row>
    <row r="1469" spans="1:2" x14ac:dyDescent="0.25">
      <c r="A1469">
        <v>3.6787517368793488E-2</v>
      </c>
      <c r="B1469">
        <v>7.7067345380783081E-2</v>
      </c>
    </row>
    <row r="1470" spans="1:2" x14ac:dyDescent="0.25">
      <c r="A1470">
        <v>3.6283683031797409E-2</v>
      </c>
      <c r="B1470">
        <v>8.2555577158927917E-2</v>
      </c>
    </row>
    <row r="1471" spans="1:2" x14ac:dyDescent="0.25">
      <c r="A1471">
        <v>3.6939900368452072E-2</v>
      </c>
      <c r="B1471">
        <v>5.1584687083959579E-2</v>
      </c>
    </row>
    <row r="1472" spans="1:2" x14ac:dyDescent="0.25">
      <c r="A1472">
        <v>3.6645833402872086E-2</v>
      </c>
      <c r="B1472">
        <v>0.1128193736076355</v>
      </c>
    </row>
    <row r="1473" spans="1:2" x14ac:dyDescent="0.25">
      <c r="A1473">
        <v>0.1323847770690918</v>
      </c>
      <c r="B1473">
        <v>2.2016744613647461</v>
      </c>
    </row>
    <row r="1474" spans="1:2" x14ac:dyDescent="0.25">
      <c r="A1474">
        <v>0.18694333732128143</v>
      </c>
      <c r="B1474">
        <v>1.3316915035247803</v>
      </c>
    </row>
    <row r="1475" spans="1:2" x14ac:dyDescent="0.25">
      <c r="A1475">
        <v>4.3451085686683655E-2</v>
      </c>
      <c r="B1475">
        <v>0.1811804324388504</v>
      </c>
    </row>
    <row r="1476" spans="1:2" x14ac:dyDescent="0.25">
      <c r="A1476">
        <v>5.341777577996254E-2</v>
      </c>
      <c r="B1476">
        <v>0.46412274241447449</v>
      </c>
    </row>
    <row r="1477" spans="1:2" x14ac:dyDescent="0.25">
      <c r="A1477">
        <v>3.0231840908527374E-2</v>
      </c>
      <c r="B1477">
        <v>0.72556626796722412</v>
      </c>
    </row>
    <row r="1478" spans="1:2" x14ac:dyDescent="0.25">
      <c r="A1478">
        <v>3.7893548607826233E-2</v>
      </c>
      <c r="B1478">
        <v>0.82555073499679565</v>
      </c>
    </row>
    <row r="1479" spans="1:2" x14ac:dyDescent="0.25">
      <c r="A1479">
        <v>3.8303621113300323E-2</v>
      </c>
      <c r="B1479">
        <v>1.0682728290557861</v>
      </c>
    </row>
    <row r="1480" spans="1:2" x14ac:dyDescent="0.25">
      <c r="A1480">
        <v>3.7888467311859131E-2</v>
      </c>
      <c r="B1480">
        <v>1.0174092054367065</v>
      </c>
    </row>
    <row r="1481" spans="1:2" x14ac:dyDescent="0.25">
      <c r="A1481">
        <v>3.8579985499382019E-2</v>
      </c>
      <c r="B1481">
        <v>1.2751346826553345</v>
      </c>
    </row>
    <row r="1482" spans="1:2" x14ac:dyDescent="0.25">
      <c r="A1482">
        <v>3.7197880446910858E-2</v>
      </c>
      <c r="B1482">
        <v>1.1595587730407715</v>
      </c>
    </row>
    <row r="1483" spans="1:2" x14ac:dyDescent="0.25">
      <c r="A1483">
        <v>3.8024440407752991E-2</v>
      </c>
      <c r="B1483">
        <v>1.4666774272918701</v>
      </c>
    </row>
    <row r="1484" spans="1:2" x14ac:dyDescent="0.25">
      <c r="A1484">
        <v>3.6801919341087341E-2</v>
      </c>
      <c r="B1484">
        <v>1.2074178457260132</v>
      </c>
    </row>
    <row r="1485" spans="1:2" x14ac:dyDescent="0.25">
      <c r="A1485">
        <v>3.5680554807186127E-2</v>
      </c>
      <c r="B1485">
        <v>1.336668848991394</v>
      </c>
    </row>
    <row r="1486" spans="1:2" x14ac:dyDescent="0.25">
      <c r="A1486">
        <v>3.7121947854757309E-2</v>
      </c>
      <c r="B1486">
        <v>1.1747232675552368</v>
      </c>
    </row>
    <row r="1487" spans="1:2" x14ac:dyDescent="0.25">
      <c r="A1487">
        <v>3.5865940153598785E-2</v>
      </c>
      <c r="B1487">
        <v>1.082341194152832</v>
      </c>
    </row>
    <row r="1488" spans="1:2" x14ac:dyDescent="0.25">
      <c r="A1488">
        <v>2.8158251196146011E-2</v>
      </c>
      <c r="B1488">
        <v>0.48747819662094116</v>
      </c>
    </row>
    <row r="1489" spans="1:2" x14ac:dyDescent="0.25">
      <c r="A1489">
        <v>3.1928282231092453E-2</v>
      </c>
      <c r="B1489">
        <v>0.17991013824939728</v>
      </c>
    </row>
    <row r="1490" spans="1:2" x14ac:dyDescent="0.25">
      <c r="A1490">
        <v>3.9421718567609787E-2</v>
      </c>
      <c r="B1490">
        <v>0.11474153399467468</v>
      </c>
    </row>
    <row r="1491" spans="1:2" x14ac:dyDescent="0.25">
      <c r="A1491">
        <v>3.994312509894371E-2</v>
      </c>
      <c r="B1491">
        <v>0.19478043913841248</v>
      </c>
    </row>
    <row r="1492" spans="1:2" x14ac:dyDescent="0.25">
      <c r="A1492">
        <v>2.7554897591471672E-2</v>
      </c>
      <c r="B1492">
        <v>0.13741980493068695</v>
      </c>
    </row>
    <row r="1493" spans="1:2" x14ac:dyDescent="0.25">
      <c r="A1493">
        <v>3.9749942719936371E-2</v>
      </c>
      <c r="B1493">
        <v>8.9897610247135162E-2</v>
      </c>
    </row>
    <row r="1494" spans="1:2" x14ac:dyDescent="0.25">
      <c r="A1494">
        <v>3.7217941135168076E-2</v>
      </c>
      <c r="B1494">
        <v>0.53699839115142822</v>
      </c>
    </row>
    <row r="1495" spans="1:2" x14ac:dyDescent="0.25">
      <c r="A1495">
        <v>3.6152169108390808E-2</v>
      </c>
      <c r="B1495">
        <v>0.69209086894989014</v>
      </c>
    </row>
    <row r="1496" spans="1:2" x14ac:dyDescent="0.25">
      <c r="A1496">
        <v>3.5392612218856812E-2</v>
      </c>
      <c r="B1496">
        <v>0.17446395754814148</v>
      </c>
    </row>
    <row r="1497" spans="1:2" x14ac:dyDescent="0.25">
      <c r="A1497">
        <v>0.13775567710399628</v>
      </c>
      <c r="B1497">
        <v>2.3324446678161621</v>
      </c>
    </row>
    <row r="1498" spans="1:2" x14ac:dyDescent="0.25">
      <c r="A1498">
        <v>0.32354515790939331</v>
      </c>
      <c r="B1498">
        <v>1.425540566444397</v>
      </c>
    </row>
    <row r="1499" spans="1:2" x14ac:dyDescent="0.25">
      <c r="A1499">
        <v>0.30235052108764648</v>
      </c>
      <c r="B1499">
        <v>0.26006433367729187</v>
      </c>
    </row>
    <row r="1500" spans="1:2" x14ac:dyDescent="0.25">
      <c r="A1500">
        <v>0.28310832381248474</v>
      </c>
      <c r="B1500">
        <v>0.79150056838989258</v>
      </c>
    </row>
    <row r="1501" spans="1:2" x14ac:dyDescent="0.25">
      <c r="A1501">
        <v>0.28667211532592773</v>
      </c>
      <c r="B1501">
        <v>2.4049811363220215</v>
      </c>
    </row>
    <row r="1502" spans="1:2" x14ac:dyDescent="0.25">
      <c r="A1502">
        <v>0.25788423418998718</v>
      </c>
      <c r="B1502">
        <v>2.884702205657959</v>
      </c>
    </row>
    <row r="1503" spans="1:2" x14ac:dyDescent="0.25">
      <c r="A1503">
        <v>0.25226673483848572</v>
      </c>
      <c r="B1503">
        <v>3.6134624481201172</v>
      </c>
    </row>
    <row r="1504" spans="1:2" x14ac:dyDescent="0.25">
      <c r="A1504">
        <v>0.234201580286026</v>
      </c>
      <c r="B1504">
        <v>2.6490199565887451</v>
      </c>
    </row>
    <row r="1505" spans="1:2" x14ac:dyDescent="0.25">
      <c r="A1505">
        <v>0.11215749382972717</v>
      </c>
      <c r="B1505">
        <v>2.0869128704071045</v>
      </c>
    </row>
    <row r="1506" spans="1:2" x14ac:dyDescent="0.25">
      <c r="A1506">
        <v>3.5074025392532349E-2</v>
      </c>
      <c r="B1506">
        <v>0.88667821884155273</v>
      </c>
    </row>
    <row r="1507" spans="1:2" x14ac:dyDescent="0.25">
      <c r="A1507">
        <v>3.6715373396873474E-2</v>
      </c>
      <c r="B1507">
        <v>0.85774362087249756</v>
      </c>
    </row>
    <row r="1508" spans="1:2" x14ac:dyDescent="0.25">
      <c r="A1508">
        <v>4.1324064135551453E-2</v>
      </c>
      <c r="B1508">
        <v>0.44013664126396179</v>
      </c>
    </row>
    <row r="1509" spans="1:2" x14ac:dyDescent="0.25">
      <c r="A1509">
        <v>4.1497189551591873E-2</v>
      </c>
      <c r="B1509">
        <v>0.88232052326202393</v>
      </c>
    </row>
    <row r="1510" spans="1:2" x14ac:dyDescent="0.25">
      <c r="A1510">
        <v>4.0573623031377792E-2</v>
      </c>
      <c r="B1510">
        <v>0.89444130659103394</v>
      </c>
    </row>
    <row r="1511" spans="1:2" x14ac:dyDescent="0.25">
      <c r="A1511">
        <v>3.6766588687896729E-2</v>
      </c>
      <c r="B1511">
        <v>1.0818644762039185</v>
      </c>
    </row>
    <row r="1512" spans="1:2" x14ac:dyDescent="0.25">
      <c r="A1512">
        <v>3.5306103527545929E-2</v>
      </c>
      <c r="B1512">
        <v>0.63354295492172241</v>
      </c>
    </row>
    <row r="1513" spans="1:2" x14ac:dyDescent="0.25">
      <c r="A1513">
        <v>3.1642179936170578E-2</v>
      </c>
      <c r="B1513">
        <v>0.35541382431983948</v>
      </c>
    </row>
    <row r="1514" spans="1:2" x14ac:dyDescent="0.25">
      <c r="A1514">
        <v>3.2932378351688385E-2</v>
      </c>
      <c r="B1514">
        <v>0.11225246638059616</v>
      </c>
    </row>
    <row r="1515" spans="1:2" x14ac:dyDescent="0.25">
      <c r="A1515">
        <v>4.602094367146492E-2</v>
      </c>
      <c r="B1515">
        <v>0.14749878644943237</v>
      </c>
    </row>
    <row r="1516" spans="1:2" x14ac:dyDescent="0.25">
      <c r="A1516">
        <v>4.2685415595769882E-2</v>
      </c>
      <c r="B1516">
        <v>0.1294466108083725</v>
      </c>
    </row>
    <row r="1517" spans="1:2" x14ac:dyDescent="0.25">
      <c r="A1517">
        <v>4.2569339275360107E-2</v>
      </c>
      <c r="B1517">
        <v>0.13002581894397736</v>
      </c>
    </row>
    <row r="1518" spans="1:2" x14ac:dyDescent="0.25">
      <c r="A1518">
        <v>4.244086891412735E-2</v>
      </c>
      <c r="B1518">
        <v>0.13061541318893433</v>
      </c>
    </row>
    <row r="1519" spans="1:2" x14ac:dyDescent="0.25">
      <c r="A1519">
        <v>4.405028373003006E-2</v>
      </c>
      <c r="B1519">
        <v>0.17664460837841034</v>
      </c>
    </row>
    <row r="1520" spans="1:2" x14ac:dyDescent="0.25">
      <c r="A1520">
        <v>4.2033571749925613E-2</v>
      </c>
      <c r="B1520">
        <v>4.3038215488195419E-2</v>
      </c>
    </row>
    <row r="1521" spans="1:2" x14ac:dyDescent="0.25">
      <c r="A1521">
        <v>0.15764303505420685</v>
      </c>
      <c r="B1521">
        <v>2.2714571952819824</v>
      </c>
    </row>
    <row r="1522" spans="1:2" x14ac:dyDescent="0.25">
      <c r="A1522">
        <v>1.2912800535559654E-2</v>
      </c>
      <c r="B1522">
        <v>3.7745494842529297</v>
      </c>
    </row>
    <row r="1523" spans="1:2" x14ac:dyDescent="0.25">
      <c r="A1523">
        <v>2.1029794588685036E-2</v>
      </c>
      <c r="B1523">
        <v>4.0084285736083984</v>
      </c>
    </row>
    <row r="1524" spans="1:2" x14ac:dyDescent="0.25">
      <c r="A1524">
        <v>5.8117429725825787E-3</v>
      </c>
      <c r="B1524">
        <v>0.51007425785064697</v>
      </c>
    </row>
    <row r="1525" spans="1:2" x14ac:dyDescent="0.25">
      <c r="A1525">
        <v>5.4857060313224792E-3</v>
      </c>
      <c r="B1525">
        <v>2.1088511943817139</v>
      </c>
    </row>
    <row r="1526" spans="1:2" x14ac:dyDescent="0.25">
      <c r="A1526">
        <v>1.7310194671154022E-2</v>
      </c>
      <c r="B1526">
        <v>4.4095163345336914</v>
      </c>
    </row>
    <row r="1527" spans="1:2" x14ac:dyDescent="0.25">
      <c r="A1527">
        <v>2.495318278670311E-2</v>
      </c>
      <c r="B1527">
        <v>0.75358080863952637</v>
      </c>
    </row>
    <row r="1528" spans="1:2" x14ac:dyDescent="0.25">
      <c r="A1528">
        <v>2.4869468063116074E-2</v>
      </c>
      <c r="B1528">
        <v>0.67511075735092163</v>
      </c>
    </row>
    <row r="1529" spans="1:2" x14ac:dyDescent="0.25">
      <c r="A1529">
        <v>2.5397362187504768E-2</v>
      </c>
      <c r="B1529">
        <v>0.80410516262054443</v>
      </c>
    </row>
    <row r="1530" spans="1:2" x14ac:dyDescent="0.25">
      <c r="A1530">
        <v>2.3085242137312889E-2</v>
      </c>
      <c r="B1530">
        <v>0.62541353702545166</v>
      </c>
    </row>
    <row r="1531" spans="1:2" x14ac:dyDescent="0.25">
      <c r="A1531">
        <v>2.241123840212822E-2</v>
      </c>
      <c r="B1531">
        <v>0.59423702955245972</v>
      </c>
    </row>
    <row r="1532" spans="1:2" x14ac:dyDescent="0.25">
      <c r="A1532">
        <v>2.3292055353522301E-2</v>
      </c>
      <c r="B1532">
        <v>0.4675372838973999</v>
      </c>
    </row>
    <row r="1533" spans="1:2" x14ac:dyDescent="0.25">
      <c r="A1533">
        <v>2.1829258650541306E-2</v>
      </c>
      <c r="B1533">
        <v>0.5029180645942688</v>
      </c>
    </row>
    <row r="1534" spans="1:2" x14ac:dyDescent="0.25">
      <c r="A1534">
        <v>2.1907219663262367E-2</v>
      </c>
      <c r="B1534">
        <v>0.45031103491783142</v>
      </c>
    </row>
    <row r="1535" spans="1:2" x14ac:dyDescent="0.25">
      <c r="A1535">
        <v>2.2023474797606468E-2</v>
      </c>
      <c r="B1535">
        <v>0.41206499934196472</v>
      </c>
    </row>
    <row r="1536" spans="1:2" x14ac:dyDescent="0.25">
      <c r="A1536">
        <v>1.9861059263348579E-2</v>
      </c>
      <c r="B1536">
        <v>0.26667943596839905</v>
      </c>
    </row>
    <row r="1537" spans="1:2" x14ac:dyDescent="0.25">
      <c r="A1537">
        <v>1.1650474742054939E-2</v>
      </c>
      <c r="B1537">
        <v>0.15204386413097382</v>
      </c>
    </row>
    <row r="1538" spans="1:2" x14ac:dyDescent="0.25">
      <c r="A1538">
        <v>1.4632898382842541E-2</v>
      </c>
      <c r="B1538">
        <v>0.14822107553482056</v>
      </c>
    </row>
    <row r="1539" spans="1:2" x14ac:dyDescent="0.25">
      <c r="A1539">
        <v>2.3230336606502533E-2</v>
      </c>
      <c r="B1539">
        <v>5.7621590793132782E-2</v>
      </c>
    </row>
    <row r="1540" spans="1:2" x14ac:dyDescent="0.25">
      <c r="A1540">
        <v>2.0990677177906036E-2</v>
      </c>
      <c r="B1540">
        <v>9.6653789281845093E-2</v>
      </c>
    </row>
    <row r="1541" spans="1:2" x14ac:dyDescent="0.25">
      <c r="A1541">
        <v>2.1947599947452545E-2</v>
      </c>
      <c r="B1541">
        <v>8.3819165825843811E-2</v>
      </c>
    </row>
    <row r="1542" spans="1:2" x14ac:dyDescent="0.25">
      <c r="A1542">
        <v>2.1460536867380142E-2</v>
      </c>
      <c r="B1542">
        <v>0.48729553818702698</v>
      </c>
    </row>
    <row r="1543" spans="1:2" x14ac:dyDescent="0.25">
      <c r="A1543">
        <v>2.2817866876721382E-2</v>
      </c>
      <c r="B1543">
        <v>0.71722763776779175</v>
      </c>
    </row>
    <row r="1544" spans="1:2" x14ac:dyDescent="0.25">
      <c r="A1544">
        <v>2.1344097331166267E-2</v>
      </c>
      <c r="B1544">
        <v>5.8197829872369766E-2</v>
      </c>
    </row>
    <row r="1545" spans="1:2" x14ac:dyDescent="0.25">
      <c r="A1545">
        <v>0.12654425203800201</v>
      </c>
      <c r="B1545">
        <v>2.2940390110015869</v>
      </c>
    </row>
    <row r="1546" spans="1:2" x14ac:dyDescent="0.25">
      <c r="A1546">
        <v>4.2633429169654846E-2</v>
      </c>
      <c r="B1546">
        <v>2.9367566108703613</v>
      </c>
    </row>
    <row r="1547" spans="1:2" x14ac:dyDescent="0.25">
      <c r="A1547">
        <v>2.4403290823101997E-2</v>
      </c>
      <c r="B1547">
        <v>7.1879119873046875</v>
      </c>
    </row>
    <row r="1548" spans="1:2" x14ac:dyDescent="0.25">
      <c r="A1548">
        <v>2.3986456915736198E-2</v>
      </c>
      <c r="B1548">
        <v>1.7755172252655029</v>
      </c>
    </row>
    <row r="1549" spans="1:2" x14ac:dyDescent="0.25">
      <c r="A1549">
        <v>2.3270312696695328E-2</v>
      </c>
      <c r="B1549">
        <v>7.2761921882629395</v>
      </c>
    </row>
    <row r="1550" spans="1:2" x14ac:dyDescent="0.25">
      <c r="A1550">
        <v>2.1589871495962143E-2</v>
      </c>
      <c r="B1550">
        <v>0.54320317506790161</v>
      </c>
    </row>
    <row r="1551" spans="1:2" x14ac:dyDescent="0.25">
      <c r="A1551">
        <v>2.3322341963648796E-2</v>
      </c>
      <c r="B1551">
        <v>0.53936600685119629</v>
      </c>
    </row>
    <row r="1552" spans="1:2" x14ac:dyDescent="0.25">
      <c r="A1552">
        <v>2.2573519498109818E-2</v>
      </c>
      <c r="B1552">
        <v>0.45045590400695801</v>
      </c>
    </row>
    <row r="1553" spans="1:2" x14ac:dyDescent="0.25">
      <c r="A1553">
        <v>2.2897887974977493E-2</v>
      </c>
      <c r="B1553">
        <v>0.50066834688186646</v>
      </c>
    </row>
    <row r="1554" spans="1:2" x14ac:dyDescent="0.25">
      <c r="A1554">
        <v>2.2235311567783356E-2</v>
      </c>
      <c r="B1554">
        <v>0.44181269407272339</v>
      </c>
    </row>
    <row r="1555" spans="1:2" x14ac:dyDescent="0.25">
      <c r="A1555">
        <v>2.0573534071445465E-2</v>
      </c>
      <c r="B1555">
        <v>0.51977509260177612</v>
      </c>
    </row>
    <row r="1556" spans="1:2" x14ac:dyDescent="0.25">
      <c r="A1556">
        <v>2.1287409588694572E-2</v>
      </c>
      <c r="B1556">
        <v>0.46065253019332886</v>
      </c>
    </row>
    <row r="1557" spans="1:2" x14ac:dyDescent="0.25">
      <c r="A1557">
        <v>2.2855121642351151E-2</v>
      </c>
      <c r="B1557">
        <v>0.49672991037368774</v>
      </c>
    </row>
    <row r="1558" spans="1:2" x14ac:dyDescent="0.25">
      <c r="A1558">
        <v>2.3177802562713623E-2</v>
      </c>
      <c r="B1558">
        <v>0.43947482109069824</v>
      </c>
    </row>
    <row r="1559" spans="1:2" x14ac:dyDescent="0.25">
      <c r="A1559">
        <v>2.2962285205721855E-2</v>
      </c>
      <c r="B1559">
        <v>0.51675909757614136</v>
      </c>
    </row>
    <row r="1560" spans="1:2" x14ac:dyDescent="0.25">
      <c r="A1560">
        <v>1.7612205818295479E-2</v>
      </c>
      <c r="B1560">
        <v>0.30029672384262085</v>
      </c>
    </row>
    <row r="1561" spans="1:2" x14ac:dyDescent="0.25">
      <c r="A1561">
        <v>1.7026785761117935E-2</v>
      </c>
      <c r="B1561">
        <v>0.18692408502101898</v>
      </c>
    </row>
    <row r="1562" spans="1:2" x14ac:dyDescent="0.25">
      <c r="A1562">
        <v>1.3255025260150433E-2</v>
      </c>
      <c r="B1562">
        <v>0.10364001989364624</v>
      </c>
    </row>
    <row r="1563" spans="1:2" x14ac:dyDescent="0.25">
      <c r="A1563">
        <v>1.5547328628599644E-2</v>
      </c>
      <c r="B1563">
        <v>0.10505284368991852</v>
      </c>
    </row>
    <row r="1564" spans="1:2" x14ac:dyDescent="0.25">
      <c r="A1564">
        <v>2.3610614240169525E-2</v>
      </c>
      <c r="B1564">
        <v>0.16338843107223511</v>
      </c>
    </row>
    <row r="1565" spans="1:2" x14ac:dyDescent="0.25">
      <c r="A1565">
        <v>2.3561121895909309E-2</v>
      </c>
      <c r="B1565">
        <v>9.4180777668952942E-2</v>
      </c>
    </row>
    <row r="1566" spans="1:2" x14ac:dyDescent="0.25">
      <c r="A1566">
        <v>2.6364691555500031E-2</v>
      </c>
      <c r="B1566">
        <v>8.3991482853889465E-2</v>
      </c>
    </row>
    <row r="1567" spans="1:2" x14ac:dyDescent="0.25">
      <c r="A1567">
        <v>6.4537696540355682E-2</v>
      </c>
      <c r="B1567">
        <v>7.4299991130828857E-2</v>
      </c>
    </row>
    <row r="1568" spans="1:2" x14ac:dyDescent="0.25">
      <c r="A1568">
        <v>0.19041638076305389</v>
      </c>
      <c r="B1568">
        <v>0.10135935246944427</v>
      </c>
    </row>
    <row r="1569" spans="1:2" x14ac:dyDescent="0.25">
      <c r="A1569">
        <v>0.10039438307285309</v>
      </c>
      <c r="B1569">
        <v>2.2613546848297119</v>
      </c>
    </row>
    <row r="1570" spans="1:2" x14ac:dyDescent="0.25">
      <c r="A1570">
        <v>2.2975880652666092E-2</v>
      </c>
      <c r="B1570">
        <v>2.0045523643493652</v>
      </c>
    </row>
    <row r="1571" spans="1:2" x14ac:dyDescent="0.25">
      <c r="A1571">
        <v>2.4240432307124138E-2</v>
      </c>
      <c r="B1571">
        <v>3.2568225860595703</v>
      </c>
    </row>
    <row r="1572" spans="1:2" x14ac:dyDescent="0.25">
      <c r="A1572">
        <v>2.6714662089943886E-2</v>
      </c>
      <c r="B1572">
        <v>0.34231862425804138</v>
      </c>
    </row>
    <row r="1573" spans="1:2" x14ac:dyDescent="0.25">
      <c r="A1573">
        <v>2.3034099489450455E-2</v>
      </c>
      <c r="B1573">
        <v>0.45843863487243652</v>
      </c>
    </row>
    <row r="1574" spans="1:2" x14ac:dyDescent="0.25">
      <c r="A1574">
        <v>2.3613343015313148E-2</v>
      </c>
      <c r="B1574">
        <v>0.47490757703781128</v>
      </c>
    </row>
    <row r="1575" spans="1:2" x14ac:dyDescent="0.25">
      <c r="A1575">
        <v>2.2814659401774406E-2</v>
      </c>
      <c r="B1575">
        <v>0.54838603734970093</v>
      </c>
    </row>
    <row r="1576" spans="1:2" x14ac:dyDescent="0.25">
      <c r="A1576">
        <v>2.2267682477831841E-2</v>
      </c>
      <c r="B1576">
        <v>0.53324949741363525</v>
      </c>
    </row>
    <row r="1577" spans="1:2" x14ac:dyDescent="0.25">
      <c r="A1577">
        <v>2.0548297092318535E-2</v>
      </c>
      <c r="B1577">
        <v>0.64201945066452026</v>
      </c>
    </row>
    <row r="1578" spans="1:2" x14ac:dyDescent="0.25">
      <c r="A1578">
        <v>2.2963371127843857E-2</v>
      </c>
      <c r="B1578">
        <v>0.48332476615905762</v>
      </c>
    </row>
    <row r="1579" spans="1:2" x14ac:dyDescent="0.25">
      <c r="A1579">
        <v>2.2199930623173714E-2</v>
      </c>
      <c r="B1579">
        <v>0.58169430494308472</v>
      </c>
    </row>
    <row r="1580" spans="1:2" x14ac:dyDescent="0.25">
      <c r="A1580">
        <v>2.2984007373452187E-2</v>
      </c>
      <c r="B1580">
        <v>0.50624954700469971</v>
      </c>
    </row>
    <row r="1581" spans="1:2" x14ac:dyDescent="0.25">
      <c r="A1581">
        <v>2.4323675781488419E-2</v>
      </c>
      <c r="B1581">
        <v>0.6440083384513855</v>
      </c>
    </row>
    <row r="1582" spans="1:2" x14ac:dyDescent="0.25">
      <c r="A1582">
        <v>2.2360417991876602E-2</v>
      </c>
      <c r="B1582">
        <v>0.58018124103546143</v>
      </c>
    </row>
    <row r="1583" spans="1:2" x14ac:dyDescent="0.25">
      <c r="A1583">
        <v>2.1860247477889061E-2</v>
      </c>
      <c r="B1583">
        <v>0.70179671049118042</v>
      </c>
    </row>
    <row r="1584" spans="1:2" x14ac:dyDescent="0.25">
      <c r="A1584">
        <v>1.7346672713756561E-2</v>
      </c>
      <c r="B1584">
        <v>0.54395294189453125</v>
      </c>
    </row>
    <row r="1585" spans="1:2" x14ac:dyDescent="0.25">
      <c r="A1585">
        <v>1.466497965157032E-2</v>
      </c>
      <c r="B1585">
        <v>0.30477854609489441</v>
      </c>
    </row>
    <row r="1586" spans="1:2" x14ac:dyDescent="0.25">
      <c r="A1586">
        <v>1.3223117217421532E-2</v>
      </c>
      <c r="B1586">
        <v>0.15054713189601898</v>
      </c>
    </row>
    <row r="1587" spans="1:2" x14ac:dyDescent="0.25">
      <c r="A1587">
        <v>2.1522773429751396E-2</v>
      </c>
      <c r="B1587">
        <v>0.16170400381088257</v>
      </c>
    </row>
    <row r="1588" spans="1:2" x14ac:dyDescent="0.25">
      <c r="A1588">
        <v>1.9924726337194443E-2</v>
      </c>
      <c r="B1588">
        <v>8.8739350438117981E-2</v>
      </c>
    </row>
    <row r="1589" spans="1:2" x14ac:dyDescent="0.25">
      <c r="A1589">
        <v>2.2904125973582268E-2</v>
      </c>
      <c r="B1589">
        <v>0</v>
      </c>
    </row>
    <row r="1590" spans="1:2" x14ac:dyDescent="0.25">
      <c r="A1590">
        <v>2.1270914003252983E-2</v>
      </c>
      <c r="B1590">
        <v>0.44909390807151794</v>
      </c>
    </row>
    <row r="1591" spans="1:2" x14ac:dyDescent="0.25">
      <c r="A1591">
        <v>2.7562744915485382E-2</v>
      </c>
      <c r="B1591">
        <v>0.66680735349655151</v>
      </c>
    </row>
    <row r="1592" spans="1:2" x14ac:dyDescent="0.25">
      <c r="A1592">
        <v>1.8934227526187897E-2</v>
      </c>
      <c r="B1592">
        <v>8.7330065667629242E-2</v>
      </c>
    </row>
    <row r="1593" spans="1:2" x14ac:dyDescent="0.25">
      <c r="A1593">
        <v>0.11973132938146591</v>
      </c>
      <c r="B1593">
        <v>2.2940936088562012</v>
      </c>
    </row>
    <row r="1594" spans="1:2" x14ac:dyDescent="0.25">
      <c r="A1594">
        <v>2.4181444197893143E-2</v>
      </c>
      <c r="B1594">
        <v>1.4457845687866211</v>
      </c>
    </row>
    <row r="1595" spans="1:2" x14ac:dyDescent="0.25">
      <c r="A1595">
        <v>1.9091356545686722E-2</v>
      </c>
      <c r="B1595">
        <v>0.11975513398647308</v>
      </c>
    </row>
    <row r="1596" spans="1:2" x14ac:dyDescent="0.25">
      <c r="A1596">
        <v>1.6363909468054771E-2</v>
      </c>
      <c r="B1596">
        <v>0.2841191291809082</v>
      </c>
    </row>
    <row r="1597" spans="1:2" x14ac:dyDescent="0.25">
      <c r="A1597">
        <v>1.396701205521822E-2</v>
      </c>
      <c r="B1597">
        <v>0.46993330121040344</v>
      </c>
    </row>
    <row r="1598" spans="1:2" x14ac:dyDescent="0.25">
      <c r="A1598">
        <v>2.4128267541527748E-2</v>
      </c>
      <c r="B1598">
        <v>0.54682773351669312</v>
      </c>
    </row>
    <row r="1599" spans="1:2" x14ac:dyDescent="0.25">
      <c r="A1599">
        <v>2.6242649182677269E-2</v>
      </c>
      <c r="B1599">
        <v>0.70785427093505859</v>
      </c>
    </row>
    <row r="1600" spans="1:2" x14ac:dyDescent="0.25">
      <c r="A1600">
        <v>2.4672647938132286E-2</v>
      </c>
      <c r="B1600">
        <v>0.64659851789474487</v>
      </c>
    </row>
    <row r="1601" spans="1:2" x14ac:dyDescent="0.25">
      <c r="A1601">
        <v>2.350681833922863E-2</v>
      </c>
      <c r="B1601">
        <v>0.78289675712585449</v>
      </c>
    </row>
    <row r="1602" spans="1:2" x14ac:dyDescent="0.25">
      <c r="A1602">
        <v>2.2906320169568062E-2</v>
      </c>
      <c r="B1602">
        <v>0.7665940523147583</v>
      </c>
    </row>
    <row r="1603" spans="1:2" x14ac:dyDescent="0.25">
      <c r="A1603">
        <v>2.2316277027130127E-2</v>
      </c>
      <c r="B1603">
        <v>0.87592583894729614</v>
      </c>
    </row>
    <row r="1604" spans="1:2" x14ac:dyDescent="0.25">
      <c r="A1604">
        <v>2.0091472193598747E-2</v>
      </c>
      <c r="B1604">
        <v>0.79271394014358521</v>
      </c>
    </row>
    <row r="1605" spans="1:2" x14ac:dyDescent="0.25">
      <c r="A1605">
        <v>2.2271512076258659E-2</v>
      </c>
      <c r="B1605">
        <v>0.88275337219238281</v>
      </c>
    </row>
    <row r="1606" spans="1:2" x14ac:dyDescent="0.25">
      <c r="A1606">
        <v>2.2451668977737427E-2</v>
      </c>
      <c r="B1606">
        <v>0.71937757730484009</v>
      </c>
    </row>
    <row r="1607" spans="1:2" x14ac:dyDescent="0.25">
      <c r="A1607">
        <v>2.0421283319592476E-2</v>
      </c>
      <c r="B1607">
        <v>0.56430041790008545</v>
      </c>
    </row>
    <row r="1608" spans="1:2" x14ac:dyDescent="0.25">
      <c r="A1608">
        <v>1.8475763499736786E-2</v>
      </c>
      <c r="B1608">
        <v>0.22872768342494965</v>
      </c>
    </row>
    <row r="1609" spans="1:2" x14ac:dyDescent="0.25">
      <c r="A1609">
        <v>1.7992937937378883E-2</v>
      </c>
      <c r="B1609">
        <v>0.13177148997783661</v>
      </c>
    </row>
    <row r="1610" spans="1:2" x14ac:dyDescent="0.25">
      <c r="A1610">
        <v>2.2910663858056068E-2</v>
      </c>
      <c r="B1610">
        <v>0.10183606296777725</v>
      </c>
    </row>
    <row r="1611" spans="1:2" x14ac:dyDescent="0.25">
      <c r="A1611">
        <v>2.206742949783802E-2</v>
      </c>
      <c r="B1611">
        <v>0.10835335403680801</v>
      </c>
    </row>
    <row r="1612" spans="1:2" x14ac:dyDescent="0.25">
      <c r="A1612">
        <v>2.4485629051923752E-2</v>
      </c>
      <c r="B1612">
        <v>0.13829278945922852</v>
      </c>
    </row>
    <row r="1613" spans="1:2" x14ac:dyDescent="0.25">
      <c r="A1613">
        <v>1.4541365206241608E-2</v>
      </c>
      <c r="B1613">
        <v>3.4588012844324112E-2</v>
      </c>
    </row>
    <row r="1614" spans="1:2" x14ac:dyDescent="0.25">
      <c r="A1614">
        <v>2.3219000548124313E-2</v>
      </c>
      <c r="B1614">
        <v>6.2094733119010925E-2</v>
      </c>
    </row>
    <row r="1615" spans="1:2" x14ac:dyDescent="0.25">
      <c r="A1615">
        <v>2.2476626560091972E-2</v>
      </c>
      <c r="B1615">
        <v>8.8936999440193176E-2</v>
      </c>
    </row>
    <row r="1616" spans="1:2" x14ac:dyDescent="0.25">
      <c r="A1616">
        <v>2.1896477788686752E-2</v>
      </c>
      <c r="B1616">
        <v>8.3660341799259186E-2</v>
      </c>
    </row>
    <row r="1617" spans="1:2" x14ac:dyDescent="0.25">
      <c r="A1617">
        <v>0.10812713950872421</v>
      </c>
      <c r="B1617">
        <v>2.2440485954284668</v>
      </c>
    </row>
    <row r="1618" spans="1:2" x14ac:dyDescent="0.25">
      <c r="A1618">
        <v>3.605487197637558E-2</v>
      </c>
      <c r="B1618">
        <v>1.4331231117248535</v>
      </c>
    </row>
    <row r="1619" spans="1:2" x14ac:dyDescent="0.25">
      <c r="A1619">
        <v>3.5431787371635437E-2</v>
      </c>
      <c r="B1619">
        <v>0.32594037055969238</v>
      </c>
    </row>
    <row r="1620" spans="1:2" x14ac:dyDescent="0.25">
      <c r="A1620">
        <v>3.6438688635826111E-2</v>
      </c>
      <c r="B1620">
        <v>0.47070494294166565</v>
      </c>
    </row>
    <row r="1621" spans="1:2" x14ac:dyDescent="0.25">
      <c r="A1621">
        <v>4.1121158748865128E-2</v>
      </c>
      <c r="B1621">
        <v>0.70344489812850952</v>
      </c>
    </row>
    <row r="1622" spans="1:2" x14ac:dyDescent="0.25">
      <c r="A1622">
        <v>0.28404849767684937</v>
      </c>
      <c r="B1622">
        <v>1.0596812963485718</v>
      </c>
    </row>
    <row r="1623" spans="1:2" x14ac:dyDescent="0.25">
      <c r="A1623">
        <v>0.46660876274108887</v>
      </c>
      <c r="B1623">
        <v>3.8485043048858643</v>
      </c>
    </row>
    <row r="1624" spans="1:2" x14ac:dyDescent="0.25">
      <c r="A1624">
        <v>0.26429173350334167</v>
      </c>
      <c r="B1624">
        <v>1.6107022762298584</v>
      </c>
    </row>
    <row r="1625" spans="1:2" x14ac:dyDescent="0.25">
      <c r="A1625">
        <v>0.25196966528892517</v>
      </c>
      <c r="B1625">
        <v>2.333371639251709</v>
      </c>
    </row>
    <row r="1626" spans="1:2" x14ac:dyDescent="0.25">
      <c r="A1626">
        <v>0.11380629241466522</v>
      </c>
      <c r="B1626">
        <v>1.4407861232757568</v>
      </c>
    </row>
    <row r="1627" spans="1:2" x14ac:dyDescent="0.25">
      <c r="A1627">
        <v>3.6797188222408295E-2</v>
      </c>
      <c r="B1627">
        <v>1.1231807470321655</v>
      </c>
    </row>
    <row r="1628" spans="1:2" x14ac:dyDescent="0.25">
      <c r="A1628">
        <v>3.7707094103097916E-2</v>
      </c>
      <c r="B1628">
        <v>0.95525956153869629</v>
      </c>
    </row>
    <row r="1629" spans="1:2" x14ac:dyDescent="0.25">
      <c r="A1629">
        <v>3.8250155746936798E-2</v>
      </c>
      <c r="B1629">
        <v>0.99189496040344238</v>
      </c>
    </row>
    <row r="1630" spans="1:2" x14ac:dyDescent="0.25">
      <c r="A1630">
        <v>3.8139566779136658E-2</v>
      </c>
      <c r="B1630">
        <v>1.0543912649154663</v>
      </c>
    </row>
    <row r="1631" spans="1:2" x14ac:dyDescent="0.25">
      <c r="A1631">
        <v>3.6269709467887878E-2</v>
      </c>
      <c r="B1631">
        <v>1.1188094615936279</v>
      </c>
    </row>
    <row r="1632" spans="1:2" x14ac:dyDescent="0.25">
      <c r="A1632">
        <v>3.6293849349021912E-2</v>
      </c>
      <c r="B1632">
        <v>1.01987624168396</v>
      </c>
    </row>
    <row r="1633" spans="1:2" x14ac:dyDescent="0.25">
      <c r="A1633">
        <v>3.6227583885192871E-2</v>
      </c>
      <c r="B1633">
        <v>0.80849593877792358</v>
      </c>
    </row>
    <row r="1634" spans="1:2" x14ac:dyDescent="0.25">
      <c r="A1634">
        <v>3.2358638942241669E-2</v>
      </c>
      <c r="B1634">
        <v>0.35671859979629517</v>
      </c>
    </row>
    <row r="1635" spans="1:2" x14ac:dyDescent="0.25">
      <c r="A1635">
        <v>3.0207706615328789E-2</v>
      </c>
      <c r="B1635">
        <v>0.13876898586750031</v>
      </c>
    </row>
    <row r="1636" spans="1:2" x14ac:dyDescent="0.25">
      <c r="A1636">
        <v>3.961474820971489E-2</v>
      </c>
      <c r="B1636">
        <v>9.505152702331543E-2</v>
      </c>
    </row>
    <row r="1637" spans="1:2" x14ac:dyDescent="0.25">
      <c r="A1637">
        <v>3.5624325275421143E-2</v>
      </c>
      <c r="B1637">
        <v>9.4602182507514954E-2</v>
      </c>
    </row>
    <row r="1638" spans="1:2" x14ac:dyDescent="0.25">
      <c r="A1638">
        <v>3.6674458533525467E-2</v>
      </c>
      <c r="B1638">
        <v>0.48753169178962708</v>
      </c>
    </row>
    <row r="1639" spans="1:2" x14ac:dyDescent="0.25">
      <c r="A1639">
        <v>3.7463899701833725E-2</v>
      </c>
      <c r="B1639">
        <v>0.65291690826416016</v>
      </c>
    </row>
    <row r="1640" spans="1:2" x14ac:dyDescent="0.25">
      <c r="A1640">
        <v>3.3905327320098877E-2</v>
      </c>
      <c r="B1640">
        <v>0.14481048285961151</v>
      </c>
    </row>
    <row r="1641" spans="1:2" x14ac:dyDescent="0.25">
      <c r="A1641">
        <v>0.13611845672130585</v>
      </c>
      <c r="B1641">
        <v>2.2767748832702637</v>
      </c>
    </row>
    <row r="1642" spans="1:2" x14ac:dyDescent="0.25">
      <c r="A1642">
        <v>4.9451116472482681E-2</v>
      </c>
      <c r="B1642">
        <v>1.395756721496582</v>
      </c>
    </row>
    <row r="1643" spans="1:2" x14ac:dyDescent="0.25">
      <c r="A1643">
        <v>3.7111245095729828E-2</v>
      </c>
      <c r="B1643">
        <v>0.27941405773162842</v>
      </c>
    </row>
    <row r="1644" spans="1:2" x14ac:dyDescent="0.25">
      <c r="A1644">
        <v>3.662477433681488E-2</v>
      </c>
      <c r="B1644">
        <v>0.5318792462348938</v>
      </c>
    </row>
    <row r="1645" spans="1:2" x14ac:dyDescent="0.25">
      <c r="A1645">
        <v>3.7459488958120346E-2</v>
      </c>
      <c r="B1645">
        <v>0.74510288238525391</v>
      </c>
    </row>
    <row r="1646" spans="1:2" x14ac:dyDescent="0.25">
      <c r="A1646">
        <v>3.8014605641365051E-2</v>
      </c>
      <c r="B1646">
        <v>0.72231262922286987</v>
      </c>
    </row>
    <row r="1647" spans="1:2" x14ac:dyDescent="0.25">
      <c r="A1647">
        <v>3.7121694535017014E-2</v>
      </c>
      <c r="B1647">
        <v>0.91526460647583008</v>
      </c>
    </row>
    <row r="1648" spans="1:2" x14ac:dyDescent="0.25">
      <c r="A1648">
        <v>3.7848584353923798E-2</v>
      </c>
      <c r="B1648">
        <v>0.7860560417175293</v>
      </c>
    </row>
    <row r="1649" spans="1:2" x14ac:dyDescent="0.25">
      <c r="A1649">
        <v>3.6906346678733826E-2</v>
      </c>
      <c r="B1649">
        <v>0.95793241262435913</v>
      </c>
    </row>
    <row r="1650" spans="1:2" x14ac:dyDescent="0.25">
      <c r="A1650">
        <v>3.7691790610551834E-2</v>
      </c>
      <c r="B1650">
        <v>0.82269322872161865</v>
      </c>
    </row>
    <row r="1651" spans="1:2" x14ac:dyDescent="0.25">
      <c r="A1651">
        <v>3.7060704082250595E-2</v>
      </c>
      <c r="B1651">
        <v>0.95601505041122437</v>
      </c>
    </row>
    <row r="1652" spans="1:2" x14ac:dyDescent="0.25">
      <c r="A1652">
        <v>3.7856809794902802E-2</v>
      </c>
      <c r="B1652">
        <v>0.79989981651306152</v>
      </c>
    </row>
    <row r="1653" spans="1:2" x14ac:dyDescent="0.25">
      <c r="A1653">
        <v>3.7017617374658585E-2</v>
      </c>
      <c r="B1653">
        <v>0.99384713172912598</v>
      </c>
    </row>
    <row r="1654" spans="1:2" x14ac:dyDescent="0.25">
      <c r="A1654">
        <v>3.5882629454135895E-2</v>
      </c>
      <c r="B1654">
        <v>0.93142503499984741</v>
      </c>
    </row>
    <row r="1655" spans="1:2" x14ac:dyDescent="0.25">
      <c r="A1655">
        <v>3.4941509366035461E-2</v>
      </c>
      <c r="B1655">
        <v>0.90016388893127441</v>
      </c>
    </row>
    <row r="1656" spans="1:2" x14ac:dyDescent="0.25">
      <c r="A1656">
        <v>3.7016198039054871E-2</v>
      </c>
      <c r="B1656">
        <v>0.56775498390197754</v>
      </c>
    </row>
    <row r="1657" spans="1:2" x14ac:dyDescent="0.25">
      <c r="A1657">
        <v>3.1345944851636887E-2</v>
      </c>
      <c r="B1657">
        <v>0.43070629239082336</v>
      </c>
    </row>
    <row r="1658" spans="1:2" x14ac:dyDescent="0.25">
      <c r="A1658">
        <v>3.3319767564535141E-2</v>
      </c>
      <c r="B1658">
        <v>0.13048884272575378</v>
      </c>
    </row>
    <row r="1659" spans="1:2" x14ac:dyDescent="0.25">
      <c r="A1659">
        <v>3.4174650907516479E-2</v>
      </c>
      <c r="B1659">
        <v>9.7182147204875946E-2</v>
      </c>
    </row>
    <row r="1660" spans="1:2" x14ac:dyDescent="0.25">
      <c r="A1660">
        <v>3.6930982023477554E-2</v>
      </c>
      <c r="B1660">
        <v>0.10332998633384705</v>
      </c>
    </row>
    <row r="1661" spans="1:2" x14ac:dyDescent="0.25">
      <c r="A1661">
        <v>3.7040021270513535E-2</v>
      </c>
      <c r="B1661">
        <v>6.095455214381218E-2</v>
      </c>
    </row>
    <row r="1662" spans="1:2" x14ac:dyDescent="0.25">
      <c r="A1662">
        <v>3.5749666392803192E-2</v>
      </c>
      <c r="B1662">
        <v>5.7908695191144943E-2</v>
      </c>
    </row>
    <row r="1663" spans="1:2" x14ac:dyDescent="0.25">
      <c r="A1663">
        <v>3.6765612661838531E-2</v>
      </c>
      <c r="B1663">
        <v>4.5336298644542694E-2</v>
      </c>
    </row>
    <row r="1664" spans="1:2" x14ac:dyDescent="0.25">
      <c r="A1664">
        <v>3.6923900246620178E-2</v>
      </c>
      <c r="B1664">
        <v>9.2236727476119995E-2</v>
      </c>
    </row>
    <row r="1665" spans="1:2" x14ac:dyDescent="0.25">
      <c r="A1665">
        <v>0.11802248656749725</v>
      </c>
      <c r="B1665">
        <v>2.2491979598999023</v>
      </c>
    </row>
    <row r="1666" spans="1:2" x14ac:dyDescent="0.25">
      <c r="A1666">
        <v>3.2175246626138687E-2</v>
      </c>
      <c r="B1666">
        <v>1.4101845026016235</v>
      </c>
    </row>
    <row r="1667" spans="1:2" x14ac:dyDescent="0.25">
      <c r="A1667">
        <v>4.2113885283470154E-2</v>
      </c>
      <c r="B1667">
        <v>0.1341821700334549</v>
      </c>
    </row>
    <row r="1668" spans="1:2" x14ac:dyDescent="0.25">
      <c r="A1668">
        <v>3.8187228143215179E-2</v>
      </c>
      <c r="B1668">
        <v>0.19343855977058411</v>
      </c>
    </row>
    <row r="1669" spans="1:2" x14ac:dyDescent="0.25">
      <c r="A1669">
        <v>3.7259668111801147E-2</v>
      </c>
      <c r="B1669">
        <v>0.38914471864700317</v>
      </c>
    </row>
    <row r="1670" spans="1:2" x14ac:dyDescent="0.25">
      <c r="A1670">
        <v>3.8704544305801392E-2</v>
      </c>
      <c r="B1670">
        <v>0.5608900785446167</v>
      </c>
    </row>
    <row r="1671" spans="1:2" x14ac:dyDescent="0.25">
      <c r="A1671">
        <v>3.7583388388156891E-2</v>
      </c>
      <c r="B1671">
        <v>0.76838338375091553</v>
      </c>
    </row>
    <row r="1672" spans="1:2" x14ac:dyDescent="0.25">
      <c r="A1672">
        <v>3.761165589094162E-2</v>
      </c>
      <c r="B1672">
        <v>0.67984580993652344</v>
      </c>
    </row>
    <row r="1673" spans="1:2" x14ac:dyDescent="0.25">
      <c r="A1673">
        <v>3.6140676587820053E-2</v>
      </c>
      <c r="B1673">
        <v>0.85583716630935669</v>
      </c>
    </row>
    <row r="1674" spans="1:2" x14ac:dyDescent="0.25">
      <c r="A1674">
        <v>3.6667056381702423E-2</v>
      </c>
      <c r="B1674">
        <v>0.73069661855697632</v>
      </c>
    </row>
    <row r="1675" spans="1:2" x14ac:dyDescent="0.25">
      <c r="A1675">
        <v>3.7167377769947052E-2</v>
      </c>
      <c r="B1675">
        <v>0.85045957565307617</v>
      </c>
    </row>
    <row r="1676" spans="1:2" x14ac:dyDescent="0.25">
      <c r="A1676">
        <v>3.7141244858503342E-2</v>
      </c>
      <c r="B1676">
        <v>0.75044363737106323</v>
      </c>
    </row>
    <row r="1677" spans="1:2" x14ac:dyDescent="0.25">
      <c r="A1677">
        <v>3.7826217710971832E-2</v>
      </c>
      <c r="B1677">
        <v>0.90659385919570923</v>
      </c>
    </row>
    <row r="1678" spans="1:2" x14ac:dyDescent="0.25">
      <c r="A1678">
        <v>3.6298085004091263E-2</v>
      </c>
      <c r="B1678">
        <v>0.75644755363464355</v>
      </c>
    </row>
    <row r="1679" spans="1:2" x14ac:dyDescent="0.25">
      <c r="A1679">
        <v>3.7064030766487122E-2</v>
      </c>
      <c r="B1679">
        <v>0.88223397731781006</v>
      </c>
    </row>
    <row r="1680" spans="1:2" x14ac:dyDescent="0.25">
      <c r="A1680">
        <v>3.0209353193640709E-2</v>
      </c>
      <c r="B1680">
        <v>0.52446568012237549</v>
      </c>
    </row>
    <row r="1681" spans="1:2" x14ac:dyDescent="0.25">
      <c r="A1681">
        <v>3.3667556941509247E-2</v>
      </c>
      <c r="B1681">
        <v>0.27880886197090149</v>
      </c>
    </row>
    <row r="1682" spans="1:2" x14ac:dyDescent="0.25">
      <c r="A1682">
        <v>3.3935658633708954E-2</v>
      </c>
      <c r="B1682">
        <v>0.1087629422545433</v>
      </c>
    </row>
    <row r="1683" spans="1:2" x14ac:dyDescent="0.25">
      <c r="A1683">
        <v>3.5046346485614777E-2</v>
      </c>
      <c r="B1683">
        <v>0.14180530607700348</v>
      </c>
    </row>
    <row r="1684" spans="1:2" x14ac:dyDescent="0.25">
      <c r="A1684">
        <v>3.8391191512346268E-2</v>
      </c>
      <c r="B1684">
        <v>0.10604701936244965</v>
      </c>
    </row>
    <row r="1685" spans="1:2" x14ac:dyDescent="0.25">
      <c r="A1685">
        <v>3.6302845925092697E-2</v>
      </c>
      <c r="B1685">
        <v>8.9090429246425629E-2</v>
      </c>
    </row>
    <row r="1686" spans="1:2" x14ac:dyDescent="0.25">
      <c r="A1686">
        <v>3.7546783685684204E-2</v>
      </c>
      <c r="B1686">
        <v>0.46705368161201477</v>
      </c>
    </row>
    <row r="1687" spans="1:2" x14ac:dyDescent="0.25">
      <c r="A1687">
        <v>3.7486005574464798E-2</v>
      </c>
      <c r="B1687">
        <v>0.55821967124938965</v>
      </c>
    </row>
    <row r="1688" spans="1:2" x14ac:dyDescent="0.25">
      <c r="A1688">
        <v>3.9720494300127029E-2</v>
      </c>
      <c r="B1688">
        <v>7.6078757643699646E-2</v>
      </c>
    </row>
    <row r="1689" spans="1:2" x14ac:dyDescent="0.25">
      <c r="A1689">
        <v>0.11582591384649277</v>
      </c>
      <c r="B1689">
        <v>2.2762267589569092</v>
      </c>
    </row>
    <row r="1690" spans="1:2" x14ac:dyDescent="0.25">
      <c r="A1690">
        <v>3.7297289818525314E-2</v>
      </c>
      <c r="B1690">
        <v>3.9465477466583252</v>
      </c>
    </row>
    <row r="1691" spans="1:2" x14ac:dyDescent="0.25">
      <c r="A1691">
        <v>3.7743691354990005E-2</v>
      </c>
      <c r="B1691">
        <v>3.7365529537200928</v>
      </c>
    </row>
    <row r="1692" spans="1:2" x14ac:dyDescent="0.25">
      <c r="A1692">
        <v>3.7385452538728714E-2</v>
      </c>
      <c r="B1692">
        <v>0.68573105335235596</v>
      </c>
    </row>
    <row r="1693" spans="1:2" x14ac:dyDescent="0.25">
      <c r="A1693">
        <v>8.1036888062953949E-2</v>
      </c>
      <c r="B1693">
        <v>0.83609908819198608</v>
      </c>
    </row>
    <row r="1694" spans="1:2" x14ac:dyDescent="0.25">
      <c r="A1694">
        <v>0.27142441272735596</v>
      </c>
      <c r="B1694">
        <v>1.2250661849975586</v>
      </c>
    </row>
    <row r="1695" spans="1:2" x14ac:dyDescent="0.25">
      <c r="A1695">
        <v>3.9049491286277771E-2</v>
      </c>
      <c r="B1695">
        <v>0.97085577249526978</v>
      </c>
    </row>
    <row r="1696" spans="1:2" x14ac:dyDescent="0.25">
      <c r="A1696">
        <v>3.6255307495594025E-2</v>
      </c>
      <c r="B1696">
        <v>0.73447972536087036</v>
      </c>
    </row>
    <row r="1697" spans="1:2" x14ac:dyDescent="0.25">
      <c r="A1697">
        <v>3.5942770540714264E-2</v>
      </c>
      <c r="B1697">
        <v>0.76562899351119995</v>
      </c>
    </row>
    <row r="1698" spans="1:2" x14ac:dyDescent="0.25">
      <c r="A1698">
        <v>3.5933136940002441E-2</v>
      </c>
      <c r="B1698">
        <v>0.52333366870880127</v>
      </c>
    </row>
    <row r="1699" spans="1:2" x14ac:dyDescent="0.25">
      <c r="A1699">
        <v>3.7868309766054153E-2</v>
      </c>
      <c r="B1699">
        <v>0.58571016788482666</v>
      </c>
    </row>
    <row r="1700" spans="1:2" x14ac:dyDescent="0.25">
      <c r="A1700">
        <v>3.8609743118286133E-2</v>
      </c>
      <c r="B1700">
        <v>0.55455666780471802</v>
      </c>
    </row>
    <row r="1701" spans="1:2" x14ac:dyDescent="0.25">
      <c r="A1701">
        <v>3.7813019007444382E-2</v>
      </c>
      <c r="B1701">
        <v>0.60769295692443848</v>
      </c>
    </row>
    <row r="1702" spans="1:2" x14ac:dyDescent="0.25">
      <c r="A1702">
        <v>3.6605417728424072E-2</v>
      </c>
      <c r="B1702">
        <v>0.36990997195243835</v>
      </c>
    </row>
    <row r="1703" spans="1:2" x14ac:dyDescent="0.25">
      <c r="A1703">
        <v>4.0576189756393433E-2</v>
      </c>
      <c r="B1703">
        <v>0.47821810841560364</v>
      </c>
    </row>
    <row r="1704" spans="1:2" x14ac:dyDescent="0.25">
      <c r="A1704">
        <v>3.2782018184661865E-2</v>
      </c>
      <c r="B1704">
        <v>0.42091089487075806</v>
      </c>
    </row>
    <row r="1705" spans="1:2" x14ac:dyDescent="0.25">
      <c r="A1705">
        <v>3.3582817763090134E-2</v>
      </c>
      <c r="B1705">
        <v>0.24426183104515076</v>
      </c>
    </row>
    <row r="1706" spans="1:2" x14ac:dyDescent="0.25">
      <c r="A1706">
        <v>2.8908329084515572E-2</v>
      </c>
      <c r="B1706">
        <v>0.11650271713733673</v>
      </c>
    </row>
    <row r="1707" spans="1:2" x14ac:dyDescent="0.25">
      <c r="A1707">
        <v>3.8688614964485168E-2</v>
      </c>
      <c r="B1707">
        <v>7.4935689568519592E-2</v>
      </c>
    </row>
    <row r="1708" spans="1:2" x14ac:dyDescent="0.25">
      <c r="A1708">
        <v>3.7823263555765152E-2</v>
      </c>
      <c r="B1708">
        <v>8.4384173154830933E-2</v>
      </c>
    </row>
    <row r="1709" spans="1:2" x14ac:dyDescent="0.25">
      <c r="A1709">
        <v>3.7115290760993958E-2</v>
      </c>
      <c r="B1709">
        <v>0.11833171546459198</v>
      </c>
    </row>
    <row r="1710" spans="1:2" x14ac:dyDescent="0.25">
      <c r="A1710">
        <v>3.3440306782722473E-2</v>
      </c>
      <c r="B1710">
        <v>6.6773734986782074E-2</v>
      </c>
    </row>
    <row r="1711" spans="1:2" x14ac:dyDescent="0.25">
      <c r="A1711">
        <v>3.9040613919496536E-2</v>
      </c>
      <c r="B1711">
        <v>2.8119254857301712E-2</v>
      </c>
    </row>
    <row r="1712" spans="1:2" x14ac:dyDescent="0.25">
      <c r="A1712">
        <v>3.446187824010849E-2</v>
      </c>
      <c r="B1712">
        <v>6.8027861416339874E-2</v>
      </c>
    </row>
    <row r="1713" spans="1:2" x14ac:dyDescent="0.25">
      <c r="A1713">
        <v>0.11777696013450623</v>
      </c>
      <c r="B1713">
        <v>2.1987209320068359</v>
      </c>
    </row>
    <row r="1714" spans="1:2" x14ac:dyDescent="0.25">
      <c r="A1714">
        <v>3.9194099605083466E-2</v>
      </c>
      <c r="B1714">
        <v>1.4337455034255981</v>
      </c>
    </row>
    <row r="1715" spans="1:2" x14ac:dyDescent="0.25">
      <c r="A1715">
        <v>3.7707071751356125E-2</v>
      </c>
      <c r="B1715">
        <v>5.998631477355957</v>
      </c>
    </row>
    <row r="1716" spans="1:2" x14ac:dyDescent="0.25">
      <c r="A1716">
        <v>0.17978313565254211</v>
      </c>
      <c r="B1716">
        <v>0.7308727502822876</v>
      </c>
    </row>
    <row r="1717" spans="1:2" x14ac:dyDescent="0.25">
      <c r="A1717">
        <v>2.2155215963721275E-2</v>
      </c>
      <c r="B1717">
        <v>0.74471062421798706</v>
      </c>
    </row>
    <row r="1718" spans="1:2" x14ac:dyDescent="0.25">
      <c r="A1718">
        <v>2.2951200604438782E-2</v>
      </c>
      <c r="B1718">
        <v>0.78417307138442993</v>
      </c>
    </row>
    <row r="1719" spans="1:2" x14ac:dyDescent="0.25">
      <c r="A1719">
        <v>2.274695597589016E-2</v>
      </c>
      <c r="B1719">
        <v>0.94924044609069824</v>
      </c>
    </row>
    <row r="1720" spans="1:2" x14ac:dyDescent="0.25">
      <c r="A1720">
        <v>2.3928947746753693E-2</v>
      </c>
      <c r="B1720">
        <v>0.84615492820739746</v>
      </c>
    </row>
    <row r="1721" spans="1:2" x14ac:dyDescent="0.25">
      <c r="A1721">
        <v>2.0823415368795395E-2</v>
      </c>
      <c r="B1721">
        <v>0.85221678018569946</v>
      </c>
    </row>
    <row r="1722" spans="1:2" x14ac:dyDescent="0.25">
      <c r="A1722">
        <v>2.1448571234941483E-2</v>
      </c>
      <c r="B1722">
        <v>0.58070296049118042</v>
      </c>
    </row>
    <row r="1723" spans="1:2" x14ac:dyDescent="0.25">
      <c r="A1723">
        <v>2.2851992398500443E-2</v>
      </c>
      <c r="B1723">
        <v>0.6307835578918457</v>
      </c>
    </row>
    <row r="1724" spans="1:2" x14ac:dyDescent="0.25">
      <c r="A1724">
        <v>2.3108508437871933E-2</v>
      </c>
      <c r="B1724">
        <v>0.56050539016723633</v>
      </c>
    </row>
    <row r="1725" spans="1:2" x14ac:dyDescent="0.25">
      <c r="A1725">
        <v>2.2673411294817924E-2</v>
      </c>
      <c r="B1725">
        <v>0.65701842308044434</v>
      </c>
    </row>
    <row r="1726" spans="1:2" x14ac:dyDescent="0.25">
      <c r="A1726">
        <v>1.9957030192017555E-2</v>
      </c>
      <c r="B1726">
        <v>0.59572106599807739</v>
      </c>
    </row>
    <row r="1727" spans="1:2" x14ac:dyDescent="0.25">
      <c r="A1727">
        <v>2.163512259721756E-2</v>
      </c>
      <c r="B1727">
        <v>0.58843499422073364</v>
      </c>
    </row>
    <row r="1728" spans="1:2" x14ac:dyDescent="0.25">
      <c r="A1728">
        <v>2.4190414696931839E-2</v>
      </c>
      <c r="B1728">
        <v>0.50917434692382813</v>
      </c>
    </row>
    <row r="1729" spans="1:2" x14ac:dyDescent="0.25">
      <c r="A1729">
        <v>1.8371744081377983E-2</v>
      </c>
      <c r="B1729">
        <v>0.424562007188797</v>
      </c>
    </row>
    <row r="1730" spans="1:2" x14ac:dyDescent="0.25">
      <c r="A1730">
        <v>1.3320834375917912E-2</v>
      </c>
      <c r="B1730">
        <v>0.11472391337156296</v>
      </c>
    </row>
    <row r="1731" spans="1:2" x14ac:dyDescent="0.25">
      <c r="A1731">
        <v>1.3023669831454754E-2</v>
      </c>
      <c r="B1731">
        <v>0.12882830202579498</v>
      </c>
    </row>
    <row r="1732" spans="1:2" x14ac:dyDescent="0.25">
      <c r="A1732">
        <v>3.3124003559350967E-2</v>
      </c>
      <c r="B1732">
        <v>6.260845810174942E-2</v>
      </c>
    </row>
    <row r="1733" spans="1:2" x14ac:dyDescent="0.25">
      <c r="A1733">
        <v>2.3264732211828232E-2</v>
      </c>
      <c r="B1733">
        <v>6.1616260558366776E-2</v>
      </c>
    </row>
    <row r="1734" spans="1:2" x14ac:dyDescent="0.25">
      <c r="A1734">
        <v>2.4431245401501656E-2</v>
      </c>
      <c r="B1734">
        <v>0.48939692974090576</v>
      </c>
    </row>
    <row r="1735" spans="1:2" x14ac:dyDescent="0.25">
      <c r="A1735">
        <v>2.0339351147413254E-2</v>
      </c>
      <c r="B1735">
        <v>0.77458107471466064</v>
      </c>
    </row>
    <row r="1736" spans="1:2" x14ac:dyDescent="0.25">
      <c r="A1736">
        <v>2.2269448265433311E-2</v>
      </c>
      <c r="B1736">
        <v>8.1770189106464386E-2</v>
      </c>
    </row>
    <row r="1737" spans="1:2" x14ac:dyDescent="0.25">
      <c r="A1737">
        <v>0.10176660865545273</v>
      </c>
      <c r="B1737">
        <v>2.1786744594573975</v>
      </c>
    </row>
    <row r="1738" spans="1:2" x14ac:dyDescent="0.25">
      <c r="A1738">
        <v>0.33101287484169006</v>
      </c>
      <c r="B1738">
        <v>1.413148045539856</v>
      </c>
    </row>
    <row r="1739" spans="1:2" x14ac:dyDescent="0.25">
      <c r="A1739">
        <v>0.3405124843120575</v>
      </c>
      <c r="B1739">
        <v>5.7711501121520996</v>
      </c>
    </row>
    <row r="1740" spans="1:2" x14ac:dyDescent="0.25">
      <c r="A1740">
        <v>0.33617818355560303</v>
      </c>
      <c r="B1740">
        <v>0.30173054337501526</v>
      </c>
    </row>
    <row r="1741" spans="1:2" x14ac:dyDescent="0.25">
      <c r="A1741">
        <v>8.5468322038650513E-2</v>
      </c>
      <c r="B1741">
        <v>0.44675934314727783</v>
      </c>
    </row>
    <row r="1742" spans="1:2" x14ac:dyDescent="0.25">
      <c r="A1742">
        <v>4.6901695430278778E-2</v>
      </c>
      <c r="B1742">
        <v>0.51862579584121704</v>
      </c>
    </row>
    <row r="1743" spans="1:2" x14ac:dyDescent="0.25">
      <c r="A1743">
        <v>1.3025010004639626E-2</v>
      </c>
      <c r="B1743">
        <v>0.66790890693664551</v>
      </c>
    </row>
    <row r="1744" spans="1:2" x14ac:dyDescent="0.25">
      <c r="A1744">
        <v>2.2971469908952713E-2</v>
      </c>
      <c r="B1744">
        <v>0.73955345153808594</v>
      </c>
    </row>
    <row r="1745" spans="1:2" x14ac:dyDescent="0.25">
      <c r="A1745">
        <v>2.2403823211789131E-2</v>
      </c>
      <c r="B1745">
        <v>1.0015871524810791</v>
      </c>
    </row>
    <row r="1746" spans="1:2" x14ac:dyDescent="0.25">
      <c r="A1746">
        <v>2.2325510159134865E-2</v>
      </c>
      <c r="B1746">
        <v>0.91343402862548828</v>
      </c>
    </row>
    <row r="1747" spans="1:2" x14ac:dyDescent="0.25">
      <c r="A1747">
        <v>2.1573111414909363E-2</v>
      </c>
      <c r="B1747">
        <v>1.1802436113357544</v>
      </c>
    </row>
    <row r="1748" spans="1:2" x14ac:dyDescent="0.25">
      <c r="A1748">
        <v>2.4887040257453918E-2</v>
      </c>
      <c r="B1748">
        <v>1.0109177827835083</v>
      </c>
    </row>
    <row r="1749" spans="1:2" x14ac:dyDescent="0.25">
      <c r="A1749">
        <v>2.1799704059958458E-2</v>
      </c>
      <c r="B1749">
        <v>1.1616272926330566</v>
      </c>
    </row>
    <row r="1750" spans="1:2" x14ac:dyDescent="0.25">
      <c r="A1750">
        <v>2.1393954753875732E-2</v>
      </c>
      <c r="B1750">
        <v>0.98516607284545898</v>
      </c>
    </row>
    <row r="1751" spans="1:2" x14ac:dyDescent="0.25">
      <c r="A1751">
        <v>2.1562900394201279E-2</v>
      </c>
      <c r="B1751">
        <v>1.1019024848937988</v>
      </c>
    </row>
    <row r="1752" spans="1:2" x14ac:dyDescent="0.25">
      <c r="A1752">
        <v>1.6905337572097778E-2</v>
      </c>
      <c r="B1752">
        <v>0.80135643482208252</v>
      </c>
    </row>
    <row r="1753" spans="1:2" x14ac:dyDescent="0.25">
      <c r="A1753">
        <v>1.3269766233861446E-2</v>
      </c>
      <c r="B1753">
        <v>0.38474443554878235</v>
      </c>
    </row>
    <row r="1754" spans="1:2" x14ac:dyDescent="0.25">
      <c r="A1754">
        <v>1.5579540282487869E-2</v>
      </c>
      <c r="B1754">
        <v>0.11629711091518402</v>
      </c>
    </row>
    <row r="1755" spans="1:2" x14ac:dyDescent="0.25">
      <c r="A1755">
        <v>1.8922360613942146E-2</v>
      </c>
      <c r="B1755">
        <v>0.1301875114440918</v>
      </c>
    </row>
    <row r="1756" spans="1:2" x14ac:dyDescent="0.25">
      <c r="A1756">
        <v>2.2874081507325172E-2</v>
      </c>
      <c r="B1756">
        <v>6.8051092326641083E-2</v>
      </c>
    </row>
    <row r="1757" spans="1:2" x14ac:dyDescent="0.25">
      <c r="A1757">
        <v>2.1041400730609894E-2</v>
      </c>
      <c r="B1757">
        <v>0.10708292573690414</v>
      </c>
    </row>
    <row r="1758" spans="1:2" x14ac:dyDescent="0.25">
      <c r="A1758">
        <v>2.2070063278079033E-2</v>
      </c>
      <c r="B1758">
        <v>7.2743818163871765E-2</v>
      </c>
    </row>
    <row r="1759" spans="1:2" x14ac:dyDescent="0.25">
      <c r="A1759">
        <v>2.1123394370079041E-2</v>
      </c>
      <c r="B1759">
        <v>3.416159376502037E-2</v>
      </c>
    </row>
    <row r="1760" spans="1:2" x14ac:dyDescent="0.25">
      <c r="A1760">
        <v>2.3340495303273201E-2</v>
      </c>
      <c r="B1760">
        <v>0.10028395056724548</v>
      </c>
    </row>
    <row r="1761" spans="1:2" x14ac:dyDescent="0.25">
      <c r="A1761">
        <v>0.10600703954696655</v>
      </c>
      <c r="B1761">
        <v>2.1806104183197021</v>
      </c>
    </row>
    <row r="1762" spans="1:2" x14ac:dyDescent="0.25">
      <c r="A1762">
        <v>2.7835529297590256E-2</v>
      </c>
      <c r="B1762">
        <v>1.3908236026763916</v>
      </c>
    </row>
    <row r="1763" spans="1:2" x14ac:dyDescent="0.25">
      <c r="A1763">
        <v>2.0989930257201195E-2</v>
      </c>
      <c r="B1763">
        <v>7.603069394826889E-2</v>
      </c>
    </row>
    <row r="1764" spans="1:2" x14ac:dyDescent="0.25">
      <c r="A1764">
        <v>2.5461340323090553E-2</v>
      </c>
      <c r="B1764">
        <v>0.17679066956043243</v>
      </c>
    </row>
    <row r="1765" spans="1:2" x14ac:dyDescent="0.25">
      <c r="A1765">
        <v>2.1661965176463127E-2</v>
      </c>
      <c r="B1765">
        <v>0.35795009136199951</v>
      </c>
    </row>
    <row r="1766" spans="1:2" x14ac:dyDescent="0.25">
      <c r="A1766">
        <v>2.3699669167399406E-2</v>
      </c>
      <c r="B1766">
        <v>0.5254332423210144</v>
      </c>
    </row>
    <row r="1767" spans="1:2" x14ac:dyDescent="0.25">
      <c r="A1767">
        <v>2.3501003161072731E-2</v>
      </c>
      <c r="B1767">
        <v>0.45603951811790466</v>
      </c>
    </row>
    <row r="1768" spans="1:2" x14ac:dyDescent="0.25">
      <c r="A1768">
        <v>2.5035113096237183E-2</v>
      </c>
      <c r="B1768">
        <v>0.4727618396282196</v>
      </c>
    </row>
    <row r="1769" spans="1:2" x14ac:dyDescent="0.25">
      <c r="A1769">
        <v>2.9427487403154373E-2</v>
      </c>
      <c r="B1769">
        <v>0.58143693208694458</v>
      </c>
    </row>
    <row r="1770" spans="1:2" x14ac:dyDescent="0.25">
      <c r="A1770">
        <v>2.2974548861384392E-2</v>
      </c>
      <c r="B1770">
        <v>0.64409738779067993</v>
      </c>
    </row>
    <row r="1771" spans="1:2" x14ac:dyDescent="0.25">
      <c r="A1771">
        <v>2.2127067670226097E-2</v>
      </c>
      <c r="B1771">
        <v>0.81891477108001709</v>
      </c>
    </row>
    <row r="1772" spans="1:2" x14ac:dyDescent="0.25">
      <c r="A1772">
        <v>2.1584125235676765E-2</v>
      </c>
      <c r="B1772">
        <v>0.77033436298370361</v>
      </c>
    </row>
    <row r="1773" spans="1:2" x14ac:dyDescent="0.25">
      <c r="A1773">
        <v>2.0129963755607605E-2</v>
      </c>
      <c r="B1773">
        <v>0.88000112771987915</v>
      </c>
    </row>
    <row r="1774" spans="1:2" x14ac:dyDescent="0.25">
      <c r="A1774">
        <v>2.2369300946593285E-2</v>
      </c>
      <c r="B1774">
        <v>0.70560872554779053</v>
      </c>
    </row>
    <row r="1775" spans="1:2" x14ac:dyDescent="0.25">
      <c r="A1775">
        <v>2.1586069837212563E-2</v>
      </c>
      <c r="B1775">
        <v>0.78873735666275024</v>
      </c>
    </row>
    <row r="1776" spans="1:2" x14ac:dyDescent="0.25">
      <c r="A1776">
        <v>1.7036177217960358E-2</v>
      </c>
      <c r="B1776">
        <v>0.55586189031600952</v>
      </c>
    </row>
    <row r="1777" spans="1:2" x14ac:dyDescent="0.25">
      <c r="A1777">
        <v>1.3694709166884422E-2</v>
      </c>
      <c r="B1777">
        <v>0.26201412081718445</v>
      </c>
    </row>
    <row r="1778" spans="1:2" x14ac:dyDescent="0.25">
      <c r="A1778">
        <v>1.6559664160013199E-2</v>
      </c>
      <c r="B1778">
        <v>0.10576430708169937</v>
      </c>
    </row>
    <row r="1779" spans="1:2" x14ac:dyDescent="0.25">
      <c r="A1779">
        <v>1.9080944359302521E-2</v>
      </c>
      <c r="B1779">
        <v>0.12649162113666534</v>
      </c>
    </row>
    <row r="1780" spans="1:2" x14ac:dyDescent="0.25">
      <c r="A1780">
        <v>2.0217834040522575E-2</v>
      </c>
      <c r="B1780">
        <v>6.1558235436677933E-2</v>
      </c>
    </row>
    <row r="1781" spans="1:2" x14ac:dyDescent="0.25">
      <c r="A1781">
        <v>2.3273259401321411E-2</v>
      </c>
      <c r="B1781">
        <v>9.4448976218700409E-2</v>
      </c>
    </row>
    <row r="1782" spans="1:2" x14ac:dyDescent="0.25">
      <c r="A1782">
        <v>2.2388661280274391E-2</v>
      </c>
      <c r="B1782">
        <v>0.48879393935203552</v>
      </c>
    </row>
    <row r="1783" spans="1:2" x14ac:dyDescent="0.25">
      <c r="A1783">
        <v>2.3967185989022255E-2</v>
      </c>
      <c r="B1783">
        <v>0.74774497747421265</v>
      </c>
    </row>
    <row r="1784" spans="1:2" x14ac:dyDescent="0.25">
      <c r="A1784">
        <v>2.7041086927056313E-2</v>
      </c>
      <c r="B1784">
        <v>0.13048827648162842</v>
      </c>
    </row>
    <row r="1785" spans="1:2" x14ac:dyDescent="0.25">
      <c r="A1785">
        <v>0.10713161528110504</v>
      </c>
      <c r="B1785">
        <v>2.2376253604888916</v>
      </c>
    </row>
    <row r="1786" spans="1:2" x14ac:dyDescent="0.25">
      <c r="A1786">
        <v>2.659166045486927E-2</v>
      </c>
      <c r="B1786">
        <v>1.6213006973266602</v>
      </c>
    </row>
    <row r="1787" spans="1:2" x14ac:dyDescent="0.25">
      <c r="A1787">
        <v>2.2690718993544579E-2</v>
      </c>
      <c r="B1787">
        <v>0.56227993965148926</v>
      </c>
    </row>
    <row r="1788" spans="1:2" x14ac:dyDescent="0.25">
      <c r="A1788">
        <v>2.2360352799296379E-2</v>
      </c>
      <c r="B1788">
        <v>0.66872966289520264</v>
      </c>
    </row>
    <row r="1789" spans="1:2" x14ac:dyDescent="0.25">
      <c r="A1789">
        <v>2.1863110363483429E-2</v>
      </c>
      <c r="B1789">
        <v>0.81279867887496948</v>
      </c>
    </row>
    <row r="1790" spans="1:2" x14ac:dyDescent="0.25">
      <c r="A1790">
        <v>2.3198015987873077E-2</v>
      </c>
      <c r="B1790">
        <v>0.66231262683868408</v>
      </c>
    </row>
    <row r="1791" spans="1:2" x14ac:dyDescent="0.25">
      <c r="A1791">
        <v>2.2329172119498253E-2</v>
      </c>
      <c r="B1791">
        <v>0.85586720705032349</v>
      </c>
    </row>
    <row r="1792" spans="1:2" x14ac:dyDescent="0.25">
      <c r="A1792">
        <v>2.0039623603224754E-2</v>
      </c>
      <c r="B1792">
        <v>0.80002695322036743</v>
      </c>
    </row>
    <row r="1793" spans="1:2" x14ac:dyDescent="0.25">
      <c r="A1793">
        <v>1.9168546423316002E-2</v>
      </c>
      <c r="B1793">
        <v>1.0148069858551025</v>
      </c>
    </row>
    <row r="1794" spans="1:2" x14ac:dyDescent="0.25">
      <c r="A1794">
        <v>2.0171234384179115E-2</v>
      </c>
      <c r="B1794">
        <v>0.91479182243347168</v>
      </c>
    </row>
    <row r="1795" spans="1:2" x14ac:dyDescent="0.25">
      <c r="A1795">
        <v>2.424808032810688E-2</v>
      </c>
      <c r="B1795">
        <v>1.0248154401779175</v>
      </c>
    </row>
    <row r="1796" spans="1:2" x14ac:dyDescent="0.25">
      <c r="A1796">
        <v>8.8216215372085571E-2</v>
      </c>
      <c r="B1796">
        <v>0.86770457029342651</v>
      </c>
    </row>
    <row r="1797" spans="1:2" x14ac:dyDescent="0.25">
      <c r="A1797">
        <v>0.16757349669933319</v>
      </c>
      <c r="B1797">
        <v>1.8607562780380249</v>
      </c>
    </row>
    <row r="1798" spans="1:2" x14ac:dyDescent="0.25">
      <c r="A1798">
        <v>0.160793736577034</v>
      </c>
      <c r="B1798">
        <v>1.9916338920593262</v>
      </c>
    </row>
    <row r="1799" spans="1:2" x14ac:dyDescent="0.25">
      <c r="A1799">
        <v>0.16326238214969635</v>
      </c>
      <c r="B1799">
        <v>2.2969117164611816</v>
      </c>
    </row>
    <row r="1800" spans="1:2" x14ac:dyDescent="0.25">
      <c r="A1800">
        <v>0.13549461960792542</v>
      </c>
      <c r="B1800">
        <v>1.758292555809021</v>
      </c>
    </row>
    <row r="1801" spans="1:2" x14ac:dyDescent="0.25">
      <c r="A1801">
        <v>6.635954137891531E-3</v>
      </c>
      <c r="B1801">
        <v>0.46264922618865967</v>
      </c>
    </row>
    <row r="1802" spans="1:2" x14ac:dyDescent="0.25">
      <c r="A1802">
        <v>8.2625932991504669E-3</v>
      </c>
      <c r="B1802">
        <v>0.15069496631622314</v>
      </c>
    </row>
    <row r="1803" spans="1:2" x14ac:dyDescent="0.25">
      <c r="A1803">
        <v>1.6169428825378418E-2</v>
      </c>
      <c r="B1803">
        <v>0.10920953750610352</v>
      </c>
    </row>
    <row r="1804" spans="1:2" x14ac:dyDescent="0.25">
      <c r="A1804">
        <v>2.423761785030365E-2</v>
      </c>
      <c r="B1804">
        <v>0.18666112422943115</v>
      </c>
    </row>
    <row r="1805" spans="1:2" x14ac:dyDescent="0.25">
      <c r="A1805">
        <v>2.2310929372906685E-2</v>
      </c>
      <c r="B1805">
        <v>9.3794494867324829E-2</v>
      </c>
    </row>
    <row r="1806" spans="1:2" x14ac:dyDescent="0.25">
      <c r="A1806">
        <v>2.2355262190103531E-2</v>
      </c>
      <c r="B1806">
        <v>0.15624739229679108</v>
      </c>
    </row>
    <row r="1807" spans="1:2" x14ac:dyDescent="0.25">
      <c r="A1807">
        <v>2.1559923887252808E-2</v>
      </c>
      <c r="B1807">
        <v>0.13428425788879395</v>
      </c>
    </row>
    <row r="1808" spans="1:2" x14ac:dyDescent="0.25">
      <c r="A1808">
        <v>2.1986614912748337E-2</v>
      </c>
      <c r="B1808">
        <v>9.3337148427963257E-2</v>
      </c>
    </row>
    <row r="1809" spans="1:2" x14ac:dyDescent="0.25">
      <c r="A1809">
        <v>0.10404530912637711</v>
      </c>
      <c r="B1809">
        <v>2.2224771976470947</v>
      </c>
    </row>
    <row r="1810" spans="1:2" x14ac:dyDescent="0.25">
      <c r="A1810">
        <v>2.5145668536424637E-2</v>
      </c>
      <c r="B1810">
        <v>1.4075640439987183</v>
      </c>
    </row>
    <row r="1811" spans="1:2" x14ac:dyDescent="0.25">
      <c r="A1811">
        <v>2.4034950882196426E-2</v>
      </c>
      <c r="B1811">
        <v>0.11151936650276184</v>
      </c>
    </row>
    <row r="1812" spans="1:2" x14ac:dyDescent="0.25">
      <c r="A1812">
        <v>0.12524129450321198</v>
      </c>
      <c r="B1812">
        <v>0.39063659310340881</v>
      </c>
    </row>
    <row r="1813" spans="1:2" x14ac:dyDescent="0.25">
      <c r="A1813">
        <v>8.5158795118331909E-2</v>
      </c>
      <c r="B1813">
        <v>0.89719796180725098</v>
      </c>
    </row>
    <row r="1814" spans="1:2" x14ac:dyDescent="0.25">
      <c r="A1814">
        <v>2.5228844955563545E-2</v>
      </c>
      <c r="B1814">
        <v>0.76640379428863525</v>
      </c>
    </row>
    <row r="1815" spans="1:2" x14ac:dyDescent="0.25">
      <c r="A1815">
        <v>2.3764243349432945E-2</v>
      </c>
      <c r="B1815">
        <v>0.8976321816444397</v>
      </c>
    </row>
    <row r="1816" spans="1:2" x14ac:dyDescent="0.25">
      <c r="A1816">
        <v>2.3796893656253815E-2</v>
      </c>
      <c r="B1816">
        <v>0.77678167819976807</v>
      </c>
    </row>
    <row r="1817" spans="1:2" x14ac:dyDescent="0.25">
      <c r="A1817">
        <v>2.2699996829032898E-2</v>
      </c>
      <c r="B1817">
        <v>1.0167076587677002</v>
      </c>
    </row>
    <row r="1818" spans="1:2" x14ac:dyDescent="0.25">
      <c r="A1818">
        <v>2.1900540217757225E-2</v>
      </c>
      <c r="B1818">
        <v>0.9866032600402832</v>
      </c>
    </row>
    <row r="1819" spans="1:2" x14ac:dyDescent="0.25">
      <c r="A1819">
        <v>2.1846696734428406E-2</v>
      </c>
      <c r="B1819">
        <v>1.1650944948196411</v>
      </c>
    </row>
    <row r="1820" spans="1:2" x14ac:dyDescent="0.25">
      <c r="A1820">
        <v>2.3260666057467461E-2</v>
      </c>
      <c r="B1820">
        <v>0.99698716402053833</v>
      </c>
    </row>
    <row r="1821" spans="1:2" x14ac:dyDescent="0.25">
      <c r="A1821">
        <v>2.1348252892494202E-2</v>
      </c>
      <c r="B1821">
        <v>1.1810528039932251</v>
      </c>
    </row>
    <row r="1822" spans="1:2" x14ac:dyDescent="0.25">
      <c r="A1822">
        <v>2.1920373663306236E-2</v>
      </c>
      <c r="B1822">
        <v>1.0360583066940308</v>
      </c>
    </row>
    <row r="1823" spans="1:2" x14ac:dyDescent="0.25">
      <c r="A1823">
        <v>2.2034702822566032E-2</v>
      </c>
      <c r="B1823">
        <v>1.2228854894638062</v>
      </c>
    </row>
    <row r="1824" spans="1:2" x14ac:dyDescent="0.25">
      <c r="A1824">
        <v>1.1569004505872726E-2</v>
      </c>
      <c r="B1824">
        <v>0.67711001634597778</v>
      </c>
    </row>
    <row r="1825" spans="1:2" x14ac:dyDescent="0.25">
      <c r="A1825">
        <v>1.6887586563825607E-2</v>
      </c>
      <c r="B1825">
        <v>0.33254680037498474</v>
      </c>
    </row>
    <row r="1826" spans="1:2" x14ac:dyDescent="0.25">
      <c r="A1826">
        <v>2.4908293038606644E-2</v>
      </c>
      <c r="B1826">
        <v>0.17527590692043304</v>
      </c>
    </row>
    <row r="1827" spans="1:2" x14ac:dyDescent="0.25">
      <c r="A1827">
        <v>2.1182360127568245E-2</v>
      </c>
      <c r="B1827">
        <v>0.22180292010307312</v>
      </c>
    </row>
    <row r="1828" spans="1:2" x14ac:dyDescent="0.25">
      <c r="A1828">
        <v>1.6876745969057083E-2</v>
      </c>
      <c r="B1828">
        <v>7.8435063362121582E-2</v>
      </c>
    </row>
    <row r="1829" spans="1:2" x14ac:dyDescent="0.25">
      <c r="A1829">
        <v>2.0715499296784401E-2</v>
      </c>
      <c r="B1829">
        <v>7.859455794095993E-2</v>
      </c>
    </row>
    <row r="1830" spans="1:2" x14ac:dyDescent="0.25">
      <c r="A1830">
        <v>2.4852031841874123E-2</v>
      </c>
      <c r="B1830">
        <v>0.44782999157905579</v>
      </c>
    </row>
    <row r="1831" spans="1:2" x14ac:dyDescent="0.25">
      <c r="A1831">
        <v>2.3660670965909958E-2</v>
      </c>
      <c r="B1831">
        <v>0.54764044284820557</v>
      </c>
    </row>
    <row r="1832" spans="1:2" x14ac:dyDescent="0.25">
      <c r="A1832">
        <v>1.9269304350018501E-2</v>
      </c>
      <c r="B1832">
        <v>8.2600615918636322E-2</v>
      </c>
    </row>
    <row r="1833" spans="1:2" x14ac:dyDescent="0.25">
      <c r="A1833">
        <v>0.10507189482450485</v>
      </c>
      <c r="B1833">
        <v>2.2906880378723145</v>
      </c>
    </row>
    <row r="1834" spans="1:2" x14ac:dyDescent="0.25">
      <c r="A1834">
        <v>2.0091233775019646E-2</v>
      </c>
      <c r="B1834">
        <v>1.4238848686218262</v>
      </c>
    </row>
    <row r="1835" spans="1:2" x14ac:dyDescent="0.25">
      <c r="A1835">
        <v>2.3863913491368294E-2</v>
      </c>
      <c r="B1835">
        <v>0.18020384013652802</v>
      </c>
    </row>
    <row r="1836" spans="1:2" x14ac:dyDescent="0.25">
      <c r="A1836">
        <v>2.5698011741042137E-2</v>
      </c>
      <c r="B1836">
        <v>0.30433529615402222</v>
      </c>
    </row>
    <row r="1837" spans="1:2" x14ac:dyDescent="0.25">
      <c r="A1837">
        <v>2.1649233996868134E-2</v>
      </c>
      <c r="B1837">
        <v>0.49184975028038025</v>
      </c>
    </row>
    <row r="1838" spans="1:2" x14ac:dyDescent="0.25">
      <c r="A1838">
        <v>2.3942552506923676E-2</v>
      </c>
      <c r="B1838">
        <v>0.61798804998397827</v>
      </c>
    </row>
    <row r="1839" spans="1:2" x14ac:dyDescent="0.25">
      <c r="A1839">
        <v>2.2829540073871613E-2</v>
      </c>
      <c r="B1839">
        <v>0.7250068187713623</v>
      </c>
    </row>
    <row r="1840" spans="1:2" x14ac:dyDescent="0.25">
      <c r="A1840">
        <v>2.1626243367791176E-2</v>
      </c>
      <c r="B1840">
        <v>0.70724213123321533</v>
      </c>
    </row>
    <row r="1841" spans="1:2" x14ac:dyDescent="0.25">
      <c r="A1841">
        <v>2.4956788867712021E-2</v>
      </c>
      <c r="B1841">
        <v>0.86990535259246826</v>
      </c>
    </row>
    <row r="1842" spans="1:2" x14ac:dyDescent="0.25">
      <c r="A1842">
        <v>2.0024966448545456E-2</v>
      </c>
      <c r="B1842">
        <v>0.71110773086547852</v>
      </c>
    </row>
    <row r="1843" spans="1:2" x14ac:dyDescent="0.25">
      <c r="A1843">
        <v>2.4688955396413803E-2</v>
      </c>
      <c r="B1843">
        <v>0.90254521369934082</v>
      </c>
    </row>
    <row r="1844" spans="1:2" x14ac:dyDescent="0.25">
      <c r="A1844">
        <v>2.0297003909945488E-2</v>
      </c>
      <c r="B1844">
        <v>0.76214337348937988</v>
      </c>
    </row>
    <row r="1845" spans="1:2" x14ac:dyDescent="0.25">
      <c r="A1845">
        <v>2.4163816124200821E-2</v>
      </c>
      <c r="B1845">
        <v>0.87240207195281982</v>
      </c>
    </row>
    <row r="1846" spans="1:2" x14ac:dyDescent="0.25">
      <c r="A1846">
        <v>2.3344188928604126E-2</v>
      </c>
      <c r="B1846">
        <v>0.76713794469833374</v>
      </c>
    </row>
    <row r="1847" spans="1:2" x14ac:dyDescent="0.25">
      <c r="A1847">
        <v>2.1113326773047447E-2</v>
      </c>
      <c r="B1847">
        <v>0.87999379634857178</v>
      </c>
    </row>
    <row r="1848" spans="1:2" x14ac:dyDescent="0.25">
      <c r="A1848">
        <v>1.5585868619382381E-2</v>
      </c>
      <c r="B1848">
        <v>0.65051186084747314</v>
      </c>
    </row>
    <row r="1849" spans="1:2" x14ac:dyDescent="0.25">
      <c r="A1849">
        <v>1.7072713002562523E-2</v>
      </c>
      <c r="B1849">
        <v>0.31651574373245239</v>
      </c>
    </row>
    <row r="1850" spans="1:2" x14ac:dyDescent="0.25">
      <c r="A1850">
        <v>1.4193978160619736E-2</v>
      </c>
      <c r="B1850">
        <v>9.691908210515976E-2</v>
      </c>
    </row>
    <row r="1851" spans="1:2" x14ac:dyDescent="0.25">
      <c r="A1851">
        <v>2.0838867872953415E-2</v>
      </c>
      <c r="B1851">
        <v>0.11309811472892761</v>
      </c>
    </row>
    <row r="1852" spans="1:2" x14ac:dyDescent="0.25">
      <c r="A1852">
        <v>2.1375387907028198E-2</v>
      </c>
      <c r="B1852">
        <v>0.14097802340984344</v>
      </c>
    </row>
    <row r="1853" spans="1:2" x14ac:dyDescent="0.25">
      <c r="A1853">
        <v>2.2137194871902466E-2</v>
      </c>
      <c r="B1853">
        <v>0.12607263028621674</v>
      </c>
    </row>
    <row r="1854" spans="1:2" x14ac:dyDescent="0.25">
      <c r="A1854">
        <v>2.2136770188808441E-2</v>
      </c>
      <c r="B1854">
        <v>0.11729820817708969</v>
      </c>
    </row>
    <row r="1855" spans="1:2" x14ac:dyDescent="0.25">
      <c r="A1855">
        <v>2.5521222501993179E-2</v>
      </c>
      <c r="B1855">
        <v>9.9581629037857056E-2</v>
      </c>
    </row>
    <row r="1856" spans="1:2" x14ac:dyDescent="0.25">
      <c r="A1856">
        <v>2.4640917778015137E-2</v>
      </c>
      <c r="B1856">
        <v>0.11020571738481522</v>
      </c>
    </row>
    <row r="1857" spans="1:2" x14ac:dyDescent="0.25">
      <c r="A1857">
        <v>0.1075965091586113</v>
      </c>
      <c r="B1857">
        <v>2.3387022018432617</v>
      </c>
    </row>
    <row r="1858" spans="1:2" x14ac:dyDescent="0.25">
      <c r="A1858">
        <v>2.2450156509876251E-2</v>
      </c>
      <c r="B1858">
        <v>1.718762993812561</v>
      </c>
    </row>
    <row r="1859" spans="1:2" x14ac:dyDescent="0.25">
      <c r="A1859">
        <v>2.269965223968029E-2</v>
      </c>
      <c r="B1859">
        <v>0.60247296094894409</v>
      </c>
    </row>
    <row r="1860" spans="1:2" x14ac:dyDescent="0.25">
      <c r="A1860">
        <v>2.2628486156463623E-2</v>
      </c>
      <c r="B1860">
        <v>0.64140921831130981</v>
      </c>
    </row>
    <row r="1861" spans="1:2" x14ac:dyDescent="0.25">
      <c r="A1861">
        <v>2.5867218151688576E-2</v>
      </c>
      <c r="B1861">
        <v>0.8912506103515625</v>
      </c>
    </row>
    <row r="1862" spans="1:2" x14ac:dyDescent="0.25">
      <c r="A1862">
        <v>2.3847460746765137E-2</v>
      </c>
      <c r="B1862">
        <v>0.94271296262741089</v>
      </c>
    </row>
    <row r="1863" spans="1:2" x14ac:dyDescent="0.25">
      <c r="A1863">
        <v>2.3381354287266731E-2</v>
      </c>
      <c r="B1863">
        <v>1.2138152122497559</v>
      </c>
    </row>
    <row r="1864" spans="1:2" x14ac:dyDescent="0.25">
      <c r="A1864">
        <v>1.952035166323185E-2</v>
      </c>
      <c r="B1864">
        <v>1.060267448425293</v>
      </c>
    </row>
    <row r="1865" spans="1:2" x14ac:dyDescent="0.25">
      <c r="A1865">
        <v>1.8236506730318069E-2</v>
      </c>
      <c r="B1865">
        <v>0.88783568143844604</v>
      </c>
    </row>
    <row r="1866" spans="1:2" x14ac:dyDescent="0.25">
      <c r="A1866">
        <v>2.3386247456073761E-2</v>
      </c>
      <c r="B1866">
        <v>0.68880492448806763</v>
      </c>
    </row>
    <row r="1867" spans="1:2" x14ac:dyDescent="0.25">
      <c r="A1867">
        <v>2.3865938186645508E-2</v>
      </c>
      <c r="B1867">
        <v>0.77947455644607544</v>
      </c>
    </row>
    <row r="1868" spans="1:2" x14ac:dyDescent="0.25">
      <c r="A1868">
        <v>2.5526471436023712E-2</v>
      </c>
      <c r="B1868">
        <v>0.68383520841598511</v>
      </c>
    </row>
    <row r="1869" spans="1:2" x14ac:dyDescent="0.25">
      <c r="A1869">
        <v>2.1745538339018822E-2</v>
      </c>
      <c r="B1869">
        <v>0.92434126138687134</v>
      </c>
    </row>
    <row r="1870" spans="1:2" x14ac:dyDescent="0.25">
      <c r="A1870">
        <v>2.2029703482985497E-2</v>
      </c>
      <c r="B1870">
        <v>0.95165890455245972</v>
      </c>
    </row>
    <row r="1871" spans="1:2" x14ac:dyDescent="0.25">
      <c r="A1871">
        <v>2.0915443077683449E-2</v>
      </c>
      <c r="B1871">
        <v>1.2282341718673706</v>
      </c>
    </row>
    <row r="1872" spans="1:2" x14ac:dyDescent="0.25">
      <c r="A1872">
        <v>1.8273063004016876E-2</v>
      </c>
      <c r="B1872">
        <v>0.69973760843276978</v>
      </c>
    </row>
    <row r="1873" spans="1:2" x14ac:dyDescent="0.25">
      <c r="A1873">
        <v>1.4604317955672741E-2</v>
      </c>
      <c r="B1873">
        <v>0.32619085907936096</v>
      </c>
    </row>
    <row r="1874" spans="1:2" x14ac:dyDescent="0.25">
      <c r="A1874">
        <v>1.889532245695591E-2</v>
      </c>
      <c r="B1874">
        <v>7.8443169593811035E-2</v>
      </c>
    </row>
    <row r="1875" spans="1:2" x14ac:dyDescent="0.25">
      <c r="A1875">
        <v>1.9862297922372818E-2</v>
      </c>
      <c r="B1875">
        <v>0.137486532330513</v>
      </c>
    </row>
    <row r="1876" spans="1:2" x14ac:dyDescent="0.25">
      <c r="A1876">
        <v>2.3633852601051331E-2</v>
      </c>
      <c r="B1876">
        <v>7.8865647315979004E-2</v>
      </c>
    </row>
    <row r="1877" spans="1:2" x14ac:dyDescent="0.25">
      <c r="A1877">
        <v>1.3851282186806202E-2</v>
      </c>
      <c r="B1877">
        <v>0.13210365176200867</v>
      </c>
    </row>
    <row r="1878" spans="1:2" x14ac:dyDescent="0.25">
      <c r="A1878">
        <v>2.4376368150115013E-2</v>
      </c>
      <c r="B1878">
        <v>0.44600504636764526</v>
      </c>
    </row>
    <row r="1879" spans="1:2" x14ac:dyDescent="0.25">
      <c r="A1879">
        <v>2.3921921849250793E-2</v>
      </c>
      <c r="B1879">
        <v>0.67670577764511108</v>
      </c>
    </row>
    <row r="1880" spans="1:2" x14ac:dyDescent="0.25">
      <c r="A1880">
        <v>2.5244466960430145E-2</v>
      </c>
      <c r="B1880">
        <v>0.10378935188055038</v>
      </c>
    </row>
    <row r="1881" spans="1:2" x14ac:dyDescent="0.25">
      <c r="A1881">
        <v>0.1076471358537674</v>
      </c>
      <c r="B1881">
        <v>2.315131664276123</v>
      </c>
    </row>
    <row r="1882" spans="1:2" x14ac:dyDescent="0.25">
      <c r="A1882">
        <v>2.3634046316146851E-2</v>
      </c>
      <c r="B1882">
        <v>1.6687723398208618</v>
      </c>
    </row>
    <row r="1883" spans="1:2" x14ac:dyDescent="0.25">
      <c r="A1883">
        <v>2.1663287654519081E-2</v>
      </c>
      <c r="B1883">
        <v>0.63649529218673706</v>
      </c>
    </row>
    <row r="1884" spans="1:2" x14ac:dyDescent="0.25">
      <c r="A1884">
        <v>0.16307404637336731</v>
      </c>
      <c r="B1884">
        <v>0.77119189500808716</v>
      </c>
    </row>
    <row r="1885" spans="1:2" x14ac:dyDescent="0.25">
      <c r="A1885">
        <v>2.4025779217481613E-2</v>
      </c>
      <c r="B1885">
        <v>0.9075552225112915</v>
      </c>
    </row>
    <row r="1886" spans="1:2" x14ac:dyDescent="0.25">
      <c r="A1886">
        <v>2.3913675919175148E-2</v>
      </c>
      <c r="B1886">
        <v>0.75485008955001831</v>
      </c>
    </row>
    <row r="1887" spans="1:2" x14ac:dyDescent="0.25">
      <c r="A1887">
        <v>2.2267812862992287E-2</v>
      </c>
      <c r="B1887">
        <v>1.0709801912307739</v>
      </c>
    </row>
    <row r="1888" spans="1:2" x14ac:dyDescent="0.25">
      <c r="A1888">
        <v>2.2331574931740761E-2</v>
      </c>
      <c r="B1888">
        <v>0.66963601112365723</v>
      </c>
    </row>
    <row r="1889" spans="1:2" x14ac:dyDescent="0.25">
      <c r="A1889">
        <v>1.8877103924751282E-2</v>
      </c>
      <c r="B1889">
        <v>0.6663087010383606</v>
      </c>
    </row>
    <row r="1890" spans="1:2" x14ac:dyDescent="0.25">
      <c r="A1890">
        <v>2.0769435912370682E-2</v>
      </c>
      <c r="B1890">
        <v>0.53432625532150269</v>
      </c>
    </row>
    <row r="1891" spans="1:2" x14ac:dyDescent="0.25">
      <c r="A1891">
        <v>2.2796059027314186E-2</v>
      </c>
      <c r="B1891">
        <v>0.60332381725311279</v>
      </c>
    </row>
    <row r="1892" spans="1:2" x14ac:dyDescent="0.25">
      <c r="A1892">
        <v>2.1095562726259232E-2</v>
      </c>
      <c r="B1892">
        <v>0.52674537897109985</v>
      </c>
    </row>
    <row r="1893" spans="1:2" x14ac:dyDescent="0.25">
      <c r="A1893">
        <v>2.471471019089222E-2</v>
      </c>
      <c r="B1893">
        <v>0.52042597532272339</v>
      </c>
    </row>
    <row r="1894" spans="1:2" x14ac:dyDescent="0.25">
      <c r="A1894">
        <v>2.1379170939326286E-2</v>
      </c>
      <c r="B1894">
        <v>0.4324667751789093</v>
      </c>
    </row>
    <row r="1895" spans="1:2" x14ac:dyDescent="0.25">
      <c r="A1895">
        <v>2.1366704255342484E-2</v>
      </c>
      <c r="B1895">
        <v>0.42215758562088013</v>
      </c>
    </row>
    <row r="1896" spans="1:2" x14ac:dyDescent="0.25">
      <c r="A1896">
        <v>1.9132046028971672E-2</v>
      </c>
      <c r="B1896">
        <v>0.2260420173406601</v>
      </c>
    </row>
    <row r="1897" spans="1:2" x14ac:dyDescent="0.25">
      <c r="A1897">
        <v>1.5053433366119862E-2</v>
      </c>
      <c r="B1897">
        <v>0.10506895929574966</v>
      </c>
    </row>
    <row r="1898" spans="1:2" x14ac:dyDescent="0.25">
      <c r="A1898">
        <v>1.9700461998581886E-2</v>
      </c>
      <c r="B1898">
        <v>6.1184298247098923E-2</v>
      </c>
    </row>
    <row r="1899" spans="1:2" x14ac:dyDescent="0.25">
      <c r="A1899">
        <v>1.6766872256994247E-2</v>
      </c>
      <c r="B1899">
        <v>3.8121029734611511E-2</v>
      </c>
    </row>
    <row r="1900" spans="1:2" x14ac:dyDescent="0.25">
      <c r="A1900">
        <v>2.2465288639068604E-2</v>
      </c>
      <c r="B1900">
        <v>0</v>
      </c>
    </row>
    <row r="1901" spans="1:2" x14ac:dyDescent="0.25">
      <c r="A1901">
        <v>2.3535287007689476E-2</v>
      </c>
      <c r="B1901">
        <v>5.4407272487878799E-2</v>
      </c>
    </row>
    <row r="1902" spans="1:2" x14ac:dyDescent="0.25">
      <c r="A1902">
        <v>1.8391380086541176E-2</v>
      </c>
      <c r="B1902">
        <v>3.8011264055967331E-2</v>
      </c>
    </row>
    <row r="1903" spans="1:2" x14ac:dyDescent="0.25">
      <c r="A1903">
        <v>2.4884846061468124E-2</v>
      </c>
      <c r="B1903">
        <v>9.5422379672527313E-2</v>
      </c>
    </row>
    <row r="1904" spans="1:2" x14ac:dyDescent="0.25">
      <c r="A1904">
        <v>2.3826828226447105E-2</v>
      </c>
      <c r="B1904">
        <v>6.4020209014415741E-2</v>
      </c>
    </row>
    <row r="1905" spans="1:2" x14ac:dyDescent="0.25">
      <c r="A1905">
        <v>0.10486321896314621</v>
      </c>
      <c r="B1905">
        <v>2.1961491107940674</v>
      </c>
    </row>
    <row r="1906" spans="1:2" x14ac:dyDescent="0.25">
      <c r="A1906">
        <v>2.3825963959097862E-2</v>
      </c>
      <c r="B1906">
        <v>1.4381875991821289</v>
      </c>
    </row>
    <row r="1907" spans="1:2" x14ac:dyDescent="0.25">
      <c r="A1907">
        <v>2.7072235941886902E-2</v>
      </c>
      <c r="B1907">
        <v>5.8937892913818359</v>
      </c>
    </row>
    <row r="1908" spans="1:2" x14ac:dyDescent="0.25">
      <c r="A1908">
        <v>2.2517606616020203E-2</v>
      </c>
      <c r="B1908">
        <v>9.5317631959915161E-2</v>
      </c>
    </row>
    <row r="1909" spans="1:2" x14ac:dyDescent="0.25">
      <c r="A1909">
        <v>1.9300119951367378E-2</v>
      </c>
      <c r="B1909">
        <v>9.024154394865036E-2</v>
      </c>
    </row>
    <row r="1910" spans="1:2" x14ac:dyDescent="0.25">
      <c r="A1910">
        <v>1.4443367719650269E-2</v>
      </c>
      <c r="B1910">
        <v>0.10050690919160843</v>
      </c>
    </row>
    <row r="1911" spans="1:2" x14ac:dyDescent="0.25">
      <c r="A1911">
        <v>2.5129335001111031E-2</v>
      </c>
      <c r="B1911">
        <v>7.1281202137470245E-2</v>
      </c>
    </row>
    <row r="1912" spans="1:2" x14ac:dyDescent="0.25">
      <c r="A1912">
        <v>1.9357068464159966E-2</v>
      </c>
      <c r="B1912">
        <v>0.14628265798091888</v>
      </c>
    </row>
    <row r="1913" spans="1:2" x14ac:dyDescent="0.25">
      <c r="A1913">
        <v>2.4575203657150269E-2</v>
      </c>
      <c r="B1913">
        <v>0.10377291589975357</v>
      </c>
    </row>
    <row r="1914" spans="1:2" x14ac:dyDescent="0.25">
      <c r="A1914">
        <v>1.8953876569867134E-2</v>
      </c>
      <c r="B1914">
        <v>6.4808905124664307E-2</v>
      </c>
    </row>
    <row r="1915" spans="1:2" x14ac:dyDescent="0.25">
      <c r="A1915">
        <v>2.4069696664810181E-2</v>
      </c>
      <c r="B1915">
        <v>8.6689122021198273E-2</v>
      </c>
    </row>
    <row r="1916" spans="1:2" x14ac:dyDescent="0.25">
      <c r="A1916">
        <v>2.1374151110649109E-2</v>
      </c>
      <c r="B1916">
        <v>6.4670547842979431E-2</v>
      </c>
    </row>
    <row r="1917" spans="1:2" x14ac:dyDescent="0.25">
      <c r="A1917">
        <v>2.0286325365304947E-2</v>
      </c>
      <c r="B1917">
        <v>7.9453267157077789E-2</v>
      </c>
    </row>
    <row r="1918" spans="1:2" x14ac:dyDescent="0.25">
      <c r="A1918">
        <v>2.6004549115896225E-2</v>
      </c>
      <c r="B1918">
        <v>9.0284079313278198E-2</v>
      </c>
    </row>
    <row r="1919" spans="1:2" x14ac:dyDescent="0.25">
      <c r="A1919">
        <v>2.2495809942483902E-2</v>
      </c>
      <c r="B1919">
        <v>0.13271127641201019</v>
      </c>
    </row>
    <row r="1920" spans="1:2" x14ac:dyDescent="0.25">
      <c r="A1920">
        <v>1.7101502045989037E-2</v>
      </c>
      <c r="B1920">
        <v>5.8055054396390915E-2</v>
      </c>
    </row>
    <row r="1921" spans="1:2" x14ac:dyDescent="0.25">
      <c r="A1921">
        <v>2.2814905270934105E-2</v>
      </c>
      <c r="B1921">
        <v>3.1462918967008591E-2</v>
      </c>
    </row>
    <row r="1922" spans="1:2" x14ac:dyDescent="0.25">
      <c r="A1922">
        <v>1.8923576921224594E-2</v>
      </c>
      <c r="B1922">
        <v>1.2008756399154663E-2</v>
      </c>
    </row>
    <row r="1923" spans="1:2" x14ac:dyDescent="0.25">
      <c r="A1923">
        <v>2.3329772055149078E-2</v>
      </c>
      <c r="B1923">
        <v>2.588099567219615E-3</v>
      </c>
    </row>
    <row r="1924" spans="1:2" x14ac:dyDescent="0.25">
      <c r="A1924">
        <v>2.0265674218535423E-2</v>
      </c>
      <c r="B1924">
        <v>3.852090984582901E-2</v>
      </c>
    </row>
    <row r="1925" spans="1:2" x14ac:dyDescent="0.25">
      <c r="A1925">
        <v>2.2934356704354286E-2</v>
      </c>
      <c r="B1925">
        <v>0</v>
      </c>
    </row>
    <row r="1926" spans="1:2" x14ac:dyDescent="0.25">
      <c r="A1926">
        <v>2.0888222381472588E-2</v>
      </c>
      <c r="B1926">
        <v>0.44953978061676025</v>
      </c>
    </row>
    <row r="1927" spans="1:2" x14ac:dyDescent="0.25">
      <c r="A1927">
        <v>2.2311359643936157E-2</v>
      </c>
      <c r="B1927">
        <v>0.67575210332870483</v>
      </c>
    </row>
    <row r="1928" spans="1:2" x14ac:dyDescent="0.25">
      <c r="A1928">
        <v>2.1086443215608597E-2</v>
      </c>
      <c r="B1928">
        <v>7.5474604964256287E-2</v>
      </c>
    </row>
    <row r="1929" spans="1:2" x14ac:dyDescent="0.25">
      <c r="A1929">
        <v>0.12171289324760437</v>
      </c>
      <c r="B1929">
        <v>2.26426100730896</v>
      </c>
    </row>
    <row r="1930" spans="1:2" x14ac:dyDescent="0.25">
      <c r="A1930">
        <v>1.8326675519347191E-2</v>
      </c>
      <c r="B1930">
        <v>1.4302909374237061</v>
      </c>
    </row>
    <row r="1931" spans="1:2" x14ac:dyDescent="0.25">
      <c r="A1931">
        <v>2.8712734580039978E-2</v>
      </c>
      <c r="B1931">
        <v>6.8596750497817993E-2</v>
      </c>
    </row>
    <row r="1932" spans="1:2" x14ac:dyDescent="0.25">
      <c r="A1932">
        <v>2.0165184512734413E-2</v>
      </c>
      <c r="B1932">
        <v>7.3297284543514252E-2</v>
      </c>
    </row>
    <row r="1933" spans="1:2" x14ac:dyDescent="0.25">
      <c r="A1933">
        <v>2.4350866675376892E-2</v>
      </c>
      <c r="B1933">
        <v>0.13163892924785614</v>
      </c>
    </row>
    <row r="1934" spans="1:2" x14ac:dyDescent="0.25">
      <c r="A1934">
        <v>2.2321673110127449E-2</v>
      </c>
      <c r="B1934">
        <v>0.13211070001125336</v>
      </c>
    </row>
    <row r="1935" spans="1:2" x14ac:dyDescent="0.25">
      <c r="A1935">
        <v>2.1519768983125687E-2</v>
      </c>
      <c r="B1935">
        <v>0.11637533456087112</v>
      </c>
    </row>
    <row r="1936" spans="1:2" x14ac:dyDescent="0.25">
      <c r="A1936">
        <v>2.1865846589207649E-2</v>
      </c>
      <c r="B1936">
        <v>4.5097082853317261E-2</v>
      </c>
    </row>
    <row r="1937" spans="1:2" x14ac:dyDescent="0.25">
      <c r="A1937">
        <v>1.9499635323882103E-2</v>
      </c>
      <c r="B1937">
        <v>0.10269970446825027</v>
      </c>
    </row>
    <row r="1938" spans="1:2" x14ac:dyDescent="0.25">
      <c r="A1938">
        <v>2.2849619388580322E-2</v>
      </c>
      <c r="B1938">
        <v>0.17585824429988861</v>
      </c>
    </row>
    <row r="1939" spans="1:2" x14ac:dyDescent="0.25">
      <c r="A1939">
        <v>2.4262538179755211E-2</v>
      </c>
      <c r="B1939">
        <v>0.25575044751167297</v>
      </c>
    </row>
    <row r="1940" spans="1:2" x14ac:dyDescent="0.25">
      <c r="A1940">
        <v>2.2434880957007408E-2</v>
      </c>
      <c r="B1940">
        <v>0.24808596074581146</v>
      </c>
    </row>
    <row r="1941" spans="1:2" x14ac:dyDescent="0.25">
      <c r="A1941">
        <v>2.3092946037650108E-2</v>
      </c>
      <c r="B1941">
        <v>0.28364178538322449</v>
      </c>
    </row>
    <row r="1942" spans="1:2" x14ac:dyDescent="0.25">
      <c r="A1942">
        <v>2.2828388959169388E-2</v>
      </c>
      <c r="B1942">
        <v>0.21758438646793365</v>
      </c>
    </row>
    <row r="1943" spans="1:2" x14ac:dyDescent="0.25">
      <c r="A1943">
        <v>2.1522164344787598E-2</v>
      </c>
      <c r="B1943">
        <v>0.16087739169597626</v>
      </c>
    </row>
    <row r="1944" spans="1:2" x14ac:dyDescent="0.25">
      <c r="A1944">
        <v>1.7851989716291428E-2</v>
      </c>
      <c r="B1944">
        <v>0.10519043356180191</v>
      </c>
    </row>
    <row r="1945" spans="1:2" x14ac:dyDescent="0.25">
      <c r="A1945">
        <v>2.0508727058768272E-2</v>
      </c>
      <c r="B1945">
        <v>7.5893454253673553E-2</v>
      </c>
    </row>
    <row r="1946" spans="1:2" x14ac:dyDescent="0.25">
      <c r="A1946">
        <v>2.8448240831494331E-2</v>
      </c>
      <c r="B1946">
        <v>3.513973206281662E-2</v>
      </c>
    </row>
    <row r="1947" spans="1:2" x14ac:dyDescent="0.25">
      <c r="A1947">
        <v>2.1800529211759567E-2</v>
      </c>
      <c r="B1947">
        <v>5.196385458111763E-2</v>
      </c>
    </row>
    <row r="1948" spans="1:2" x14ac:dyDescent="0.25">
      <c r="A1948">
        <v>1.4908184297382832E-2</v>
      </c>
      <c r="B1948">
        <v>3.6769643425941467E-2</v>
      </c>
    </row>
    <row r="1949" spans="1:2" x14ac:dyDescent="0.25">
      <c r="A1949">
        <v>1.5582905150949955E-2</v>
      </c>
      <c r="B1949">
        <v>7.5177893042564392E-2</v>
      </c>
    </row>
    <row r="1950" spans="1:2" x14ac:dyDescent="0.25">
      <c r="A1950">
        <v>2.7700651437044144E-2</v>
      </c>
      <c r="B1950">
        <v>8.16512331366539E-2</v>
      </c>
    </row>
    <row r="1951" spans="1:2" x14ac:dyDescent="0.25">
      <c r="A1951">
        <v>2.2297604009509087E-2</v>
      </c>
      <c r="B1951">
        <v>2.8219019994139671E-2</v>
      </c>
    </row>
    <row r="1952" spans="1:2" x14ac:dyDescent="0.25">
      <c r="A1952">
        <v>2.5231147184967995E-2</v>
      </c>
      <c r="B1952">
        <v>4.4960122555494308E-2</v>
      </c>
    </row>
    <row r="1953" spans="1:2" x14ac:dyDescent="0.25">
      <c r="A1953">
        <v>0.12208961695432663</v>
      </c>
      <c r="B1953">
        <v>2.1880185604095459</v>
      </c>
    </row>
    <row r="1954" spans="1:2" x14ac:dyDescent="0.25">
      <c r="A1954">
        <v>2.6785509660840034E-2</v>
      </c>
      <c r="B1954">
        <v>1.3902217149734497</v>
      </c>
    </row>
    <row r="1955" spans="1:2" x14ac:dyDescent="0.25">
      <c r="A1955">
        <v>1.8840229138731956E-2</v>
      </c>
      <c r="B1955">
        <v>0.10047908127307892</v>
      </c>
    </row>
    <row r="1956" spans="1:2" x14ac:dyDescent="0.25">
      <c r="A1956">
        <v>1.9199829548597336E-2</v>
      </c>
      <c r="B1956">
        <v>0.24800978600978851</v>
      </c>
    </row>
    <row r="1957" spans="1:2" x14ac:dyDescent="0.25">
      <c r="A1957">
        <v>2.2390430793166161E-2</v>
      </c>
      <c r="B1957">
        <v>8.4031544625759125E-2</v>
      </c>
    </row>
    <row r="1958" spans="1:2" x14ac:dyDescent="0.25">
      <c r="A1958">
        <v>2.0820578560233116E-2</v>
      </c>
      <c r="B1958">
        <v>9.2836976051330566E-2</v>
      </c>
    </row>
    <row r="1959" spans="1:2" x14ac:dyDescent="0.25">
      <c r="A1959">
        <v>2.5461863726377487E-2</v>
      </c>
      <c r="B1959">
        <v>0.21031959354877472</v>
      </c>
    </row>
    <row r="1960" spans="1:2" x14ac:dyDescent="0.25">
      <c r="A1960">
        <v>2.177022211253643E-2</v>
      </c>
      <c r="B1960">
        <v>0.31516537070274353</v>
      </c>
    </row>
    <row r="1961" spans="1:2" x14ac:dyDescent="0.25">
      <c r="A1961">
        <v>2.4360956624150276E-2</v>
      </c>
      <c r="B1961">
        <v>0.36132636666297913</v>
      </c>
    </row>
    <row r="1962" spans="1:2" x14ac:dyDescent="0.25">
      <c r="A1962">
        <v>2.5323508307337761E-2</v>
      </c>
      <c r="B1962">
        <v>0.37559589743614197</v>
      </c>
    </row>
    <row r="1963" spans="1:2" x14ac:dyDescent="0.25">
      <c r="A1963">
        <v>2.1696258336305618E-2</v>
      </c>
      <c r="B1963">
        <v>0.45959702134132385</v>
      </c>
    </row>
    <row r="1964" spans="1:2" x14ac:dyDescent="0.25">
      <c r="A1964">
        <v>2.1454986184835434E-2</v>
      </c>
      <c r="B1964">
        <v>0.34327834844589233</v>
      </c>
    </row>
    <row r="1965" spans="1:2" x14ac:dyDescent="0.25">
      <c r="A1965">
        <v>2.161167748272419E-2</v>
      </c>
      <c r="B1965">
        <v>0.33390244841575623</v>
      </c>
    </row>
    <row r="1966" spans="1:2" x14ac:dyDescent="0.25">
      <c r="A1966">
        <v>2.2149251773953438E-2</v>
      </c>
      <c r="B1966">
        <v>0.31135109066963196</v>
      </c>
    </row>
    <row r="1967" spans="1:2" x14ac:dyDescent="0.25">
      <c r="A1967">
        <v>2.0200084894895554E-2</v>
      </c>
      <c r="B1967">
        <v>0.25340357422828674</v>
      </c>
    </row>
    <row r="1968" spans="1:2" x14ac:dyDescent="0.25">
      <c r="A1968">
        <v>2.2212686017155647E-2</v>
      </c>
      <c r="B1968">
        <v>4.7772087156772614E-2</v>
      </c>
    </row>
    <row r="1969" spans="1:2" x14ac:dyDescent="0.25">
      <c r="A1969">
        <v>3.6807484924793243E-2</v>
      </c>
      <c r="B1969">
        <v>4.0125343948602676E-2</v>
      </c>
    </row>
    <row r="1970" spans="1:2" x14ac:dyDescent="0.25">
      <c r="A1970">
        <v>3.609813004732132E-2</v>
      </c>
      <c r="B1970">
        <v>8.1427484750747681E-2</v>
      </c>
    </row>
    <row r="1971" spans="1:2" x14ac:dyDescent="0.25">
      <c r="A1971">
        <v>3.8507834076881409E-2</v>
      </c>
      <c r="B1971">
        <v>5.0240907818078995E-2</v>
      </c>
    </row>
    <row r="1972" spans="1:2" x14ac:dyDescent="0.25">
      <c r="A1972">
        <v>3.8393385708332062E-2</v>
      </c>
      <c r="B1972">
        <v>5.0247356295585632E-2</v>
      </c>
    </row>
    <row r="1973" spans="1:2" x14ac:dyDescent="0.25">
      <c r="A1973">
        <v>3.8020368665456772E-2</v>
      </c>
      <c r="B1973">
        <v>6.5524116158485413E-2</v>
      </c>
    </row>
    <row r="1974" spans="1:2" x14ac:dyDescent="0.25">
      <c r="A1974">
        <v>3.875742107629776E-2</v>
      </c>
      <c r="B1974">
        <v>0.44974422454833984</v>
      </c>
    </row>
    <row r="1975" spans="1:2" x14ac:dyDescent="0.25">
      <c r="A1975">
        <v>4.111742228269577E-2</v>
      </c>
      <c r="B1975">
        <v>0.58229273557662964</v>
      </c>
    </row>
    <row r="1976" spans="1:2" x14ac:dyDescent="0.25">
      <c r="A1976">
        <v>3.9202030748128891E-2</v>
      </c>
      <c r="B1976">
        <v>7.7049180865287781E-2</v>
      </c>
    </row>
    <row r="1977" spans="1:2" x14ac:dyDescent="0.25">
      <c r="A1977">
        <v>1.6387227922677994E-2</v>
      </c>
      <c r="B1977">
        <v>9.2614009976387024E-2</v>
      </c>
    </row>
    <row r="1978" spans="1:2" x14ac:dyDescent="0.25">
      <c r="A1978">
        <v>0</v>
      </c>
      <c r="B1978">
        <v>0.14141233265399933</v>
      </c>
    </row>
    <row r="1979" spans="1:2" x14ac:dyDescent="0.25">
      <c r="A1979">
        <v>1.8821667181327939E-3</v>
      </c>
      <c r="B1979">
        <v>0.11359697580337524</v>
      </c>
    </row>
    <row r="1980" spans="1:2" x14ac:dyDescent="0.25">
      <c r="A1980">
        <v>7.6952278614044189E-2</v>
      </c>
      <c r="B1980">
        <v>3.2081770896911621</v>
      </c>
    </row>
    <row r="1981" spans="1:2" x14ac:dyDescent="0.25">
      <c r="A1981">
        <v>9.8741855472326279E-3</v>
      </c>
      <c r="B1981">
        <v>0.59336942434310913</v>
      </c>
    </row>
    <row r="1982" spans="1:2" x14ac:dyDescent="0.25">
      <c r="A1982">
        <v>0.2662847638130188</v>
      </c>
      <c r="B1982">
        <v>1.1033298969268799</v>
      </c>
    </row>
    <row r="1983" spans="1:2" x14ac:dyDescent="0.25">
      <c r="A1983">
        <v>0.57718813419342041</v>
      </c>
      <c r="B1983">
        <v>5.1601781845092773</v>
      </c>
    </row>
    <row r="1984" spans="1:2" x14ac:dyDescent="0.25">
      <c r="A1984">
        <v>0.60146403312683105</v>
      </c>
      <c r="B1984">
        <v>0.5304337739944458</v>
      </c>
    </row>
    <row r="1985" spans="1:2" x14ac:dyDescent="0.25">
      <c r="A1985">
        <v>0.64272862672805786</v>
      </c>
      <c r="B1985">
        <v>0.5562630295753479</v>
      </c>
    </row>
    <row r="1986" spans="1:2" x14ac:dyDescent="0.25">
      <c r="A1986">
        <v>0.70354264974594116</v>
      </c>
      <c r="B1986">
        <v>0.56067186594009399</v>
      </c>
    </row>
    <row r="1987" spans="1:2" x14ac:dyDescent="0.25">
      <c r="A1987">
        <v>0.30076456069946289</v>
      </c>
      <c r="B1987">
        <v>0.60342085361480713</v>
      </c>
    </row>
    <row r="1988" spans="1:2" x14ac:dyDescent="0.25">
      <c r="A1988">
        <v>6.5925762057304382E-2</v>
      </c>
      <c r="B1988">
        <v>0.68362337350845337</v>
      </c>
    </row>
    <row r="1989" spans="1:2" x14ac:dyDescent="0.25">
      <c r="A1989">
        <v>3.8512770086526871E-2</v>
      </c>
      <c r="B1989">
        <v>0.88565182685852051</v>
      </c>
    </row>
    <row r="1990" spans="1:2" x14ac:dyDescent="0.25">
      <c r="A1990">
        <v>3.9336040616035461E-2</v>
      </c>
      <c r="B1990">
        <v>0.6043393611907959</v>
      </c>
    </row>
    <row r="1991" spans="1:2" x14ac:dyDescent="0.25">
      <c r="A1991">
        <v>4.0582664310932159E-2</v>
      </c>
      <c r="B1991">
        <v>0.7669224739074707</v>
      </c>
    </row>
    <row r="1992" spans="1:2" x14ac:dyDescent="0.25">
      <c r="A1992">
        <v>3.443581610918045E-2</v>
      </c>
      <c r="B1992">
        <v>0.97523456811904907</v>
      </c>
    </row>
    <row r="1993" spans="1:2" x14ac:dyDescent="0.25">
      <c r="A1993">
        <v>9.1325044631958008E-2</v>
      </c>
      <c r="B1993">
        <v>1.9923269748687744</v>
      </c>
    </row>
    <row r="1994" spans="1:2" x14ac:dyDescent="0.25">
      <c r="A1994">
        <v>5.22889643907547E-2</v>
      </c>
      <c r="B1994">
        <v>2.2942018508911133</v>
      </c>
    </row>
    <row r="1995" spans="1:2" x14ac:dyDescent="0.25">
      <c r="A1995">
        <v>3.7285488098859787E-2</v>
      </c>
      <c r="B1995">
        <v>2.6937065124511719</v>
      </c>
    </row>
    <row r="1996" spans="1:2" x14ac:dyDescent="0.25">
      <c r="A1996">
        <v>3.7302490323781967E-2</v>
      </c>
      <c r="B1996">
        <v>1.0012726783752441</v>
      </c>
    </row>
    <row r="1997" spans="1:2" x14ac:dyDescent="0.25">
      <c r="A1997">
        <v>3.8990151137113571E-2</v>
      </c>
      <c r="B1997">
        <v>1.1094537973403931</v>
      </c>
    </row>
    <row r="1998" spans="1:2" x14ac:dyDescent="0.25">
      <c r="A1998">
        <v>3.7825897336006165E-2</v>
      </c>
      <c r="B1998">
        <v>0.92748844623565674</v>
      </c>
    </row>
    <row r="1999" spans="1:2" x14ac:dyDescent="0.25">
      <c r="A1999">
        <v>3.8550019264221191E-2</v>
      </c>
      <c r="B1999">
        <v>1.0576409101486206</v>
      </c>
    </row>
    <row r="2000" spans="1:2" x14ac:dyDescent="0.25">
      <c r="A2000">
        <v>3.6165900528430939E-2</v>
      </c>
      <c r="B2000">
        <v>0.77488332986831665</v>
      </c>
    </row>
    <row r="2001" spans="1:2" x14ac:dyDescent="0.25">
      <c r="A2001">
        <v>0.11491920053958893</v>
      </c>
      <c r="B2001">
        <v>2.7085449695587158</v>
      </c>
    </row>
    <row r="2002" spans="1:2" x14ac:dyDescent="0.25">
      <c r="A2002">
        <v>3.8115482777357101E-2</v>
      </c>
      <c r="B2002">
        <v>1.9873743057250977</v>
      </c>
    </row>
    <row r="2003" spans="1:2" x14ac:dyDescent="0.25">
      <c r="A2003">
        <v>3.6942116916179657E-2</v>
      </c>
      <c r="B2003">
        <v>0.81592094898223877</v>
      </c>
    </row>
    <row r="2004" spans="1:2" x14ac:dyDescent="0.25">
      <c r="A2004">
        <v>3.6116641014814377E-2</v>
      </c>
      <c r="B2004">
        <v>0.71515566110610962</v>
      </c>
    </row>
    <row r="2005" spans="1:2" x14ac:dyDescent="0.25">
      <c r="A2005">
        <v>3.5371948033571243E-2</v>
      </c>
      <c r="B2005">
        <v>0.81717771291732788</v>
      </c>
    </row>
    <row r="2006" spans="1:2" x14ac:dyDescent="0.25">
      <c r="A2006">
        <v>3.6463819444179535E-2</v>
      </c>
      <c r="B2006">
        <v>0.70548367500305176</v>
      </c>
    </row>
    <row r="2007" spans="1:2" x14ac:dyDescent="0.25">
      <c r="A2007">
        <v>3.6624707281589508E-2</v>
      </c>
      <c r="B2007">
        <v>0.86024981737136841</v>
      </c>
    </row>
    <row r="2008" spans="1:2" x14ac:dyDescent="0.25">
      <c r="A2008">
        <v>3.6115150898694992E-2</v>
      </c>
      <c r="B2008">
        <v>0.65891671180725098</v>
      </c>
    </row>
    <row r="2009" spans="1:2" x14ac:dyDescent="0.25">
      <c r="A2009">
        <v>4.0611162781715393E-2</v>
      </c>
      <c r="B2009">
        <v>0.55027884244918823</v>
      </c>
    </row>
    <row r="2010" spans="1:2" x14ac:dyDescent="0.25">
      <c r="A2010">
        <v>3.8052156567573547E-2</v>
      </c>
      <c r="B2010">
        <v>0.32704260945320129</v>
      </c>
    </row>
    <row r="2011" spans="1:2" x14ac:dyDescent="0.25">
      <c r="A2011">
        <v>3.6843873560428619E-2</v>
      </c>
      <c r="B2011">
        <v>0.35856857895851135</v>
      </c>
    </row>
    <row r="2012" spans="1:2" x14ac:dyDescent="0.25">
      <c r="A2012">
        <v>3.6921493709087372E-2</v>
      </c>
      <c r="B2012">
        <v>0.30680385231971741</v>
      </c>
    </row>
    <row r="2013" spans="1:2" x14ac:dyDescent="0.25">
      <c r="A2013">
        <v>3.6640677601099014E-2</v>
      </c>
      <c r="B2013">
        <v>0.37905007600784302</v>
      </c>
    </row>
    <row r="2014" spans="1:2" x14ac:dyDescent="0.25">
      <c r="A2014">
        <v>3.5170838236808777E-2</v>
      </c>
      <c r="B2014">
        <v>0.33424869179725647</v>
      </c>
    </row>
    <row r="2015" spans="1:2" x14ac:dyDescent="0.25">
      <c r="A2015">
        <v>3.6633692681789398E-2</v>
      </c>
      <c r="B2015">
        <v>0.35731059312820435</v>
      </c>
    </row>
    <row r="2016" spans="1:2" x14ac:dyDescent="0.25">
      <c r="A2016">
        <v>3.7832140922546387E-2</v>
      </c>
      <c r="B2016">
        <v>0.31930369138717651</v>
      </c>
    </row>
    <row r="2017" spans="1:2" x14ac:dyDescent="0.25">
      <c r="A2017">
        <v>3.6766365170478821E-2</v>
      </c>
      <c r="B2017">
        <v>0.36755907535552979</v>
      </c>
    </row>
    <row r="2018" spans="1:2" x14ac:dyDescent="0.25">
      <c r="A2018">
        <v>3.7898264825344086E-2</v>
      </c>
      <c r="B2018">
        <v>0.33392846584320068</v>
      </c>
    </row>
    <row r="2019" spans="1:2" x14ac:dyDescent="0.25">
      <c r="A2019">
        <v>3.916187584400177E-2</v>
      </c>
      <c r="B2019">
        <v>0.35293635725975037</v>
      </c>
    </row>
    <row r="2020" spans="1:2" x14ac:dyDescent="0.25">
      <c r="A2020">
        <v>3.5331685096025467E-2</v>
      </c>
      <c r="B2020">
        <v>0.25828605890274048</v>
      </c>
    </row>
    <row r="2021" spans="1:2" x14ac:dyDescent="0.25">
      <c r="A2021">
        <v>2.7305793017148972E-2</v>
      </c>
      <c r="B2021">
        <v>0.18417024612426758</v>
      </c>
    </row>
    <row r="2022" spans="1:2" x14ac:dyDescent="0.25">
      <c r="A2022">
        <v>3.1491931527853012E-2</v>
      </c>
      <c r="B2022">
        <v>0.4854259192943573</v>
      </c>
    </row>
    <row r="2023" spans="1:2" x14ac:dyDescent="0.25">
      <c r="A2023">
        <v>3.7684220820665359E-2</v>
      </c>
      <c r="B2023">
        <v>0.77835512161254883</v>
      </c>
    </row>
    <row r="2024" spans="1:2" x14ac:dyDescent="0.25">
      <c r="A2024">
        <v>3.717365488409996E-2</v>
      </c>
      <c r="B2024">
        <v>7.9130925238132477E-2</v>
      </c>
    </row>
    <row r="2025" spans="1:2" x14ac:dyDescent="0.25">
      <c r="A2025">
        <v>0.12444714456796646</v>
      </c>
      <c r="B2025">
        <v>2.1762702465057373</v>
      </c>
    </row>
    <row r="2026" spans="1:2" x14ac:dyDescent="0.25">
      <c r="A2026">
        <v>3.8443554192781448E-2</v>
      </c>
      <c r="B2026">
        <v>3.8779516220092773</v>
      </c>
    </row>
    <row r="2027" spans="1:2" x14ac:dyDescent="0.25">
      <c r="A2027">
        <v>3.9662547409534454E-2</v>
      </c>
      <c r="B2027">
        <v>2.4932930469512939</v>
      </c>
    </row>
    <row r="2028" spans="1:2" x14ac:dyDescent="0.25">
      <c r="A2028">
        <v>3.3399738371372223E-2</v>
      </c>
      <c r="B2028">
        <v>1.8663159608840942</v>
      </c>
    </row>
    <row r="2029" spans="1:2" x14ac:dyDescent="0.25">
      <c r="A2029">
        <v>3.3655505627393723E-2</v>
      </c>
      <c r="B2029">
        <v>4.1858983039855957</v>
      </c>
    </row>
    <row r="2030" spans="1:2" x14ac:dyDescent="0.25">
      <c r="A2030">
        <v>1.9571084529161453E-2</v>
      </c>
      <c r="B2030">
        <v>0.32098609209060669</v>
      </c>
    </row>
    <row r="2031" spans="1:2" x14ac:dyDescent="0.25">
      <c r="A2031">
        <v>2.5171061977744102E-2</v>
      </c>
      <c r="B2031">
        <v>0.86293458938598633</v>
      </c>
    </row>
    <row r="2032" spans="1:2" x14ac:dyDescent="0.25">
      <c r="A2032">
        <v>2.6505853980779648E-2</v>
      </c>
      <c r="B2032">
        <v>8.491351455450058E-2</v>
      </c>
    </row>
    <row r="2033" spans="1:2" x14ac:dyDescent="0.25">
      <c r="A2033">
        <v>2.0974807441234589E-2</v>
      </c>
      <c r="B2033">
        <v>2.2847728803753853E-2</v>
      </c>
    </row>
    <row r="2034" spans="1:2" x14ac:dyDescent="0.25">
      <c r="A2034">
        <v>1.9691014662384987E-2</v>
      </c>
      <c r="B2034">
        <v>5.2621066570281982E-2</v>
      </c>
    </row>
    <row r="2035" spans="1:2" x14ac:dyDescent="0.25">
      <c r="A2035">
        <v>2.2632962092757225E-2</v>
      </c>
      <c r="B2035">
        <v>6.970958411693573E-2</v>
      </c>
    </row>
    <row r="2036" spans="1:2" x14ac:dyDescent="0.25">
      <c r="A2036">
        <v>2.3042427375912666E-2</v>
      </c>
      <c r="B2036">
        <v>2.3545436561107635E-2</v>
      </c>
    </row>
    <row r="2037" spans="1:2" x14ac:dyDescent="0.25">
      <c r="A2037">
        <v>2.2705776616930962E-2</v>
      </c>
      <c r="B2037">
        <v>3.7281468510627747E-2</v>
      </c>
    </row>
    <row r="2038" spans="1:2" x14ac:dyDescent="0.25">
      <c r="A2038">
        <v>2.2725513204932213E-2</v>
      </c>
      <c r="B2038">
        <v>8.0649189651012421E-2</v>
      </c>
    </row>
    <row r="2039" spans="1:2" x14ac:dyDescent="0.25">
      <c r="A2039">
        <v>1.7320606857538223E-2</v>
      </c>
      <c r="B2039">
        <v>6.4518168568611145E-2</v>
      </c>
    </row>
    <row r="2040" spans="1:2" x14ac:dyDescent="0.25">
      <c r="A2040">
        <v>1.8488414585590363E-2</v>
      </c>
      <c r="B2040">
        <v>5.5895082652568817E-2</v>
      </c>
    </row>
    <row r="2041" spans="1:2" x14ac:dyDescent="0.25">
      <c r="A2041">
        <v>2.2286958992481232E-2</v>
      </c>
      <c r="B2041">
        <v>3.6921963095664978E-2</v>
      </c>
    </row>
    <row r="2042" spans="1:2" x14ac:dyDescent="0.25">
      <c r="A2042">
        <v>2.3335117846727371E-2</v>
      </c>
      <c r="B2042">
        <v>5.0210196524858475E-2</v>
      </c>
    </row>
    <row r="2043" spans="1:2" x14ac:dyDescent="0.25">
      <c r="A2043">
        <v>2.171461284160614E-2</v>
      </c>
      <c r="B2043">
        <v>1.3676201924681664E-2</v>
      </c>
    </row>
    <row r="2044" spans="1:2" x14ac:dyDescent="0.25">
      <c r="A2044">
        <v>2.0653849467635155E-2</v>
      </c>
      <c r="B2044">
        <v>7.0179447531700134E-2</v>
      </c>
    </row>
    <row r="2045" spans="1:2" x14ac:dyDescent="0.25">
      <c r="A2045">
        <v>1.830640621483326E-2</v>
      </c>
      <c r="B2045">
        <v>3.1349312514066696E-2</v>
      </c>
    </row>
    <row r="2046" spans="1:2" x14ac:dyDescent="0.25">
      <c r="A2046">
        <v>2.2290432825684547E-2</v>
      </c>
      <c r="B2046">
        <v>1.4845213852822781E-2</v>
      </c>
    </row>
    <row r="2047" spans="1:2" x14ac:dyDescent="0.25">
      <c r="A2047">
        <v>2.3094752803444862E-2</v>
      </c>
      <c r="B2047">
        <v>4.3918360024690628E-2</v>
      </c>
    </row>
    <row r="2048" spans="1:2" x14ac:dyDescent="0.25">
      <c r="A2048">
        <v>2.6286579668521881E-2</v>
      </c>
      <c r="B2048">
        <v>0</v>
      </c>
    </row>
    <row r="2049" spans="1:2" x14ac:dyDescent="0.25">
      <c r="A2049">
        <v>0.12092563509941101</v>
      </c>
      <c r="B2049">
        <v>2.1474964618682861</v>
      </c>
    </row>
    <row r="2050" spans="1:2" x14ac:dyDescent="0.25">
      <c r="A2050">
        <v>2.3815419524908066E-2</v>
      </c>
      <c r="B2050">
        <v>1.3884658813476563</v>
      </c>
    </row>
    <row r="2051" spans="1:2" x14ac:dyDescent="0.25">
      <c r="A2051">
        <v>2.3571072146296501E-2</v>
      </c>
      <c r="B2051">
        <v>5.8938560485839844</v>
      </c>
    </row>
    <row r="2052" spans="1:2" x14ac:dyDescent="0.25">
      <c r="A2052">
        <v>6.2425822019577026E-2</v>
      </c>
      <c r="B2052">
        <v>7.8387148678302765E-2</v>
      </c>
    </row>
    <row r="2053" spans="1:2" x14ac:dyDescent="0.25">
      <c r="A2053">
        <v>2.0641745068132877E-3</v>
      </c>
      <c r="B2053">
        <v>0.10021448135375977</v>
      </c>
    </row>
    <row r="2054" spans="1:2" x14ac:dyDescent="0.25">
      <c r="A2054">
        <v>6.2810308299958706E-3</v>
      </c>
      <c r="B2054">
        <v>6.7642234265804291E-2</v>
      </c>
    </row>
    <row r="2055" spans="1:2" x14ac:dyDescent="0.25">
      <c r="A2055">
        <v>1.7128871753811836E-2</v>
      </c>
      <c r="B2055">
        <v>5.0274178385734558E-2</v>
      </c>
    </row>
    <row r="2056" spans="1:2" x14ac:dyDescent="0.25">
      <c r="A2056">
        <v>1.8533339723944664E-2</v>
      </c>
      <c r="B2056">
        <v>6.4252465963363647E-2</v>
      </c>
    </row>
    <row r="2057" spans="1:2" x14ac:dyDescent="0.25">
      <c r="A2057">
        <v>2.3333396762609482E-2</v>
      </c>
      <c r="B2057">
        <v>0.10612004995346069</v>
      </c>
    </row>
    <row r="2058" spans="1:2" x14ac:dyDescent="0.25">
      <c r="A2058">
        <v>2.3648915812373161E-2</v>
      </c>
      <c r="B2058">
        <v>6.7072369158267975E-2</v>
      </c>
    </row>
    <row r="2059" spans="1:2" x14ac:dyDescent="0.25">
      <c r="A2059">
        <v>2.3687878623604774E-2</v>
      </c>
      <c r="B2059">
        <v>8.3152025938034058E-2</v>
      </c>
    </row>
    <row r="2060" spans="1:2" x14ac:dyDescent="0.25">
      <c r="A2060">
        <v>2.3542778566479683E-2</v>
      </c>
      <c r="B2060">
        <v>9.8872363567352295E-2</v>
      </c>
    </row>
    <row r="2061" spans="1:2" x14ac:dyDescent="0.25">
      <c r="A2061">
        <v>2.3681791499257088E-2</v>
      </c>
      <c r="B2061">
        <v>8.1647932529449463E-2</v>
      </c>
    </row>
    <row r="2062" spans="1:2" x14ac:dyDescent="0.25">
      <c r="A2062">
        <v>2.257770299911499E-2</v>
      </c>
      <c r="B2062">
        <v>9.4728760421276093E-2</v>
      </c>
    </row>
    <row r="2063" spans="1:2" x14ac:dyDescent="0.25">
      <c r="A2063">
        <v>1.6605347394943237E-2</v>
      </c>
      <c r="B2063">
        <v>0.11264756321907043</v>
      </c>
    </row>
    <row r="2064" spans="1:2" x14ac:dyDescent="0.25">
      <c r="A2064">
        <v>1.9314656034111977E-2</v>
      </c>
      <c r="B2064">
        <v>2.679801918566227E-2</v>
      </c>
    </row>
    <row r="2065" spans="1:2" x14ac:dyDescent="0.25">
      <c r="A2065">
        <v>2.1886575967073441E-2</v>
      </c>
      <c r="B2065">
        <v>4.2421314865350723E-2</v>
      </c>
    </row>
    <row r="2066" spans="1:2" x14ac:dyDescent="0.25">
      <c r="A2066">
        <v>1.8662767484784126E-2</v>
      </c>
      <c r="B2066">
        <v>2.6852939277887344E-2</v>
      </c>
    </row>
    <row r="2067" spans="1:2" x14ac:dyDescent="0.25">
      <c r="A2067">
        <v>2.234993502497673E-2</v>
      </c>
      <c r="B2067">
        <v>0</v>
      </c>
    </row>
    <row r="2068" spans="1:2" x14ac:dyDescent="0.25">
      <c r="A2068">
        <v>2.2859370335936546E-2</v>
      </c>
      <c r="B2068">
        <v>0</v>
      </c>
    </row>
    <row r="2069" spans="1:2" x14ac:dyDescent="0.25">
      <c r="A2069">
        <v>2.1485835313796997E-2</v>
      </c>
      <c r="B2069">
        <v>0</v>
      </c>
    </row>
    <row r="2070" spans="1:2" x14ac:dyDescent="0.25">
      <c r="A2070">
        <v>2.4992436170578003E-2</v>
      </c>
      <c r="B2070">
        <v>0.44777840375900269</v>
      </c>
    </row>
    <row r="2071" spans="1:2" x14ac:dyDescent="0.25">
      <c r="A2071">
        <v>1.911628432571888E-2</v>
      </c>
      <c r="B2071">
        <v>0.6227073073387146</v>
      </c>
    </row>
    <row r="2072" spans="1:2" x14ac:dyDescent="0.25">
      <c r="A2072">
        <v>2.6220215484499931E-2</v>
      </c>
      <c r="B2072">
        <v>2.346290647983551E-2</v>
      </c>
    </row>
    <row r="2073" spans="1:2" x14ac:dyDescent="0.25">
      <c r="A2073">
        <v>0.12280332297086716</v>
      </c>
      <c r="B2073">
        <v>2.1516995429992676</v>
      </c>
    </row>
    <row r="2074" spans="1:2" x14ac:dyDescent="0.25">
      <c r="A2074">
        <v>2.2506119683384895E-2</v>
      </c>
      <c r="B2074">
        <v>1.4118314981460571</v>
      </c>
    </row>
    <row r="2075" spans="1:2" x14ac:dyDescent="0.25">
      <c r="A2075">
        <v>2.2049479186534882E-2</v>
      </c>
      <c r="B2075">
        <v>4.5745868235826492E-2</v>
      </c>
    </row>
    <row r="2076" spans="1:2" x14ac:dyDescent="0.25">
      <c r="A2076">
        <v>2.21699308604002E-2</v>
      </c>
      <c r="B2076">
        <v>6.7706428468227386E-2</v>
      </c>
    </row>
    <row r="2077" spans="1:2" x14ac:dyDescent="0.25">
      <c r="A2077">
        <v>2.2645303979516029E-2</v>
      </c>
      <c r="B2077">
        <v>6.886601448059082E-2</v>
      </c>
    </row>
    <row r="2078" spans="1:2" x14ac:dyDescent="0.25">
      <c r="A2078">
        <v>2.3065609857439995E-2</v>
      </c>
      <c r="B2078">
        <v>8.390730619430542E-2</v>
      </c>
    </row>
    <row r="2079" spans="1:2" x14ac:dyDescent="0.25">
      <c r="A2079">
        <v>2.1385803818702698E-2</v>
      </c>
      <c r="B2079">
        <v>0.10462182015180588</v>
      </c>
    </row>
    <row r="2080" spans="1:2" x14ac:dyDescent="0.25">
      <c r="A2080">
        <v>2.2308738902211189E-2</v>
      </c>
      <c r="B2080">
        <v>9.5560319721698761E-2</v>
      </c>
    </row>
    <row r="2081" spans="1:2" x14ac:dyDescent="0.25">
      <c r="A2081">
        <v>2.452903613448143E-2</v>
      </c>
      <c r="B2081">
        <v>0.12551818788051605</v>
      </c>
    </row>
    <row r="2082" spans="1:2" x14ac:dyDescent="0.25">
      <c r="A2082">
        <v>2.2409960627555847E-2</v>
      </c>
      <c r="B2082">
        <v>8.5175998508930206E-2</v>
      </c>
    </row>
    <row r="2083" spans="1:2" x14ac:dyDescent="0.25">
      <c r="A2083">
        <v>2.2445812821388245E-2</v>
      </c>
      <c r="B2083">
        <v>0.15771903097629547</v>
      </c>
    </row>
    <row r="2084" spans="1:2" x14ac:dyDescent="0.25">
      <c r="A2084">
        <v>2.1937822923064232E-2</v>
      </c>
      <c r="B2084">
        <v>0.19459728896617889</v>
      </c>
    </row>
    <row r="2085" spans="1:2" x14ac:dyDescent="0.25">
      <c r="A2085">
        <v>2.2369731217622757E-2</v>
      </c>
      <c r="B2085">
        <v>0.24272489547729492</v>
      </c>
    </row>
    <row r="2086" spans="1:2" x14ac:dyDescent="0.25">
      <c r="A2086">
        <v>2.166256308555603E-2</v>
      </c>
      <c r="B2086">
        <v>0.2228570282459259</v>
      </c>
    </row>
    <row r="2087" spans="1:2" x14ac:dyDescent="0.25">
      <c r="A2087">
        <v>1.9218172878026962E-2</v>
      </c>
      <c r="B2087">
        <v>0.18049168586730957</v>
      </c>
    </row>
    <row r="2088" spans="1:2" x14ac:dyDescent="0.25">
      <c r="A2088">
        <v>1.6737755388021469E-2</v>
      </c>
      <c r="B2088">
        <v>8.2308277487754822E-2</v>
      </c>
    </row>
    <row r="2089" spans="1:2" x14ac:dyDescent="0.25">
      <c r="A2089">
        <v>2.3991769179701805E-2</v>
      </c>
      <c r="B2089">
        <v>1.2255928479135036E-2</v>
      </c>
    </row>
    <row r="2090" spans="1:2" x14ac:dyDescent="0.25">
      <c r="A2090">
        <v>2.5125434622168541E-2</v>
      </c>
      <c r="B2090">
        <v>4.5545544475317001E-2</v>
      </c>
    </row>
    <row r="2091" spans="1:2" x14ac:dyDescent="0.25">
      <c r="A2091">
        <v>1.5256577171385288E-2</v>
      </c>
      <c r="B2091">
        <v>1.1191572062671185E-2</v>
      </c>
    </row>
    <row r="2092" spans="1:2" x14ac:dyDescent="0.25">
      <c r="A2092">
        <v>0.15182216465473175</v>
      </c>
      <c r="B2092">
        <v>3.5483323037624359E-2</v>
      </c>
    </row>
    <row r="2093" spans="1:2" x14ac:dyDescent="0.25">
      <c r="A2093">
        <v>8.8813327252864838E-2</v>
      </c>
      <c r="B2093">
        <v>0.1200731098651886</v>
      </c>
    </row>
    <row r="2094" spans="1:2" x14ac:dyDescent="0.25">
      <c r="A2094">
        <v>2.3489829152822495E-2</v>
      </c>
      <c r="B2094">
        <v>0</v>
      </c>
    </row>
    <row r="2095" spans="1:2" x14ac:dyDescent="0.25">
      <c r="A2095">
        <v>2.1172575652599335E-2</v>
      </c>
      <c r="B2095">
        <v>3.5183999687433243E-2</v>
      </c>
    </row>
    <row r="2096" spans="1:2" x14ac:dyDescent="0.25">
      <c r="A2096">
        <v>2.6924474164843559E-2</v>
      </c>
      <c r="B2096">
        <v>1.8346186727285385E-2</v>
      </c>
    </row>
    <row r="2097" spans="1:2" x14ac:dyDescent="0.25">
      <c r="A2097">
        <v>0.10854870080947876</v>
      </c>
      <c r="B2097">
        <v>2.1478264331817627</v>
      </c>
    </row>
    <row r="2098" spans="1:2" x14ac:dyDescent="0.25">
      <c r="A2098">
        <v>2.1137015894055367E-2</v>
      </c>
      <c r="B2098">
        <v>1.467534065246582</v>
      </c>
    </row>
    <row r="2099" spans="1:2" x14ac:dyDescent="0.25">
      <c r="A2099">
        <v>1.9524781033396721E-2</v>
      </c>
      <c r="B2099">
        <v>9.3722626566886902E-2</v>
      </c>
    </row>
    <row r="2100" spans="1:2" x14ac:dyDescent="0.25">
      <c r="A2100">
        <v>1.8602104857563972E-2</v>
      </c>
      <c r="B2100">
        <v>0.11389383673667908</v>
      </c>
    </row>
    <row r="2101" spans="1:2" x14ac:dyDescent="0.25">
      <c r="A2101">
        <v>2.4803068488836288E-2</v>
      </c>
      <c r="B2101">
        <v>0.12026680260896683</v>
      </c>
    </row>
    <row r="2102" spans="1:2" x14ac:dyDescent="0.25">
      <c r="A2102">
        <v>2.0463164895772934E-2</v>
      </c>
      <c r="B2102">
        <v>9.8236195743083954E-2</v>
      </c>
    </row>
    <row r="2103" spans="1:2" x14ac:dyDescent="0.25">
      <c r="A2103">
        <v>2.5280091911554337E-2</v>
      </c>
      <c r="B2103">
        <v>0.26217228174209595</v>
      </c>
    </row>
    <row r="2104" spans="1:2" x14ac:dyDescent="0.25">
      <c r="A2104">
        <v>2.2086622193455696E-2</v>
      </c>
      <c r="B2104">
        <v>0.32841730117797852</v>
      </c>
    </row>
    <row r="2105" spans="1:2" x14ac:dyDescent="0.25">
      <c r="A2105">
        <v>2.2402426227927208E-2</v>
      </c>
      <c r="B2105">
        <v>0.5101359486579895</v>
      </c>
    </row>
    <row r="2106" spans="1:2" x14ac:dyDescent="0.25">
      <c r="A2106">
        <v>2.3411106318235397E-2</v>
      </c>
      <c r="B2106">
        <v>0.50495296716690063</v>
      </c>
    </row>
    <row r="2107" spans="1:2" x14ac:dyDescent="0.25">
      <c r="A2107">
        <v>2.1176053211092949E-2</v>
      </c>
      <c r="B2107">
        <v>0.6012529730796814</v>
      </c>
    </row>
    <row r="2108" spans="1:2" x14ac:dyDescent="0.25">
      <c r="A2108">
        <v>2.1697305142879486E-2</v>
      </c>
      <c r="B2108">
        <v>0.43972909450531006</v>
      </c>
    </row>
    <row r="2109" spans="1:2" x14ac:dyDescent="0.25">
      <c r="A2109">
        <v>2.2775258868932724E-2</v>
      </c>
      <c r="B2109">
        <v>0.37425559759140015</v>
      </c>
    </row>
    <row r="2110" spans="1:2" x14ac:dyDescent="0.25">
      <c r="A2110">
        <v>2.2948812693357468E-2</v>
      </c>
      <c r="B2110">
        <v>0.3185364305973053</v>
      </c>
    </row>
    <row r="2111" spans="1:2" x14ac:dyDescent="0.25">
      <c r="A2111">
        <v>1.7023267224431038E-2</v>
      </c>
      <c r="B2111">
        <v>0.21558564901351929</v>
      </c>
    </row>
    <row r="2112" spans="1:2" x14ac:dyDescent="0.25">
      <c r="A2112">
        <v>1.7213443294167519E-2</v>
      </c>
      <c r="B2112">
        <v>6.4334169030189514E-2</v>
      </c>
    </row>
    <row r="2113" spans="1:2" x14ac:dyDescent="0.25">
      <c r="A2113">
        <v>2.0480258390307426E-2</v>
      </c>
      <c r="B2113">
        <v>7.6543383300304413E-2</v>
      </c>
    </row>
    <row r="2114" spans="1:2" x14ac:dyDescent="0.25">
      <c r="A2114">
        <v>1.8132638186216354E-2</v>
      </c>
      <c r="B2114">
        <v>3.9839543402194977E-2</v>
      </c>
    </row>
    <row r="2115" spans="1:2" x14ac:dyDescent="0.25">
      <c r="A2115">
        <v>2.0837403833866119E-2</v>
      </c>
      <c r="B2115">
        <v>3.3422436565160751E-2</v>
      </c>
    </row>
    <row r="2116" spans="1:2" x14ac:dyDescent="0.25">
      <c r="A2116">
        <v>2.3082921281456947E-2</v>
      </c>
      <c r="B2116">
        <v>2.2104838863015175E-2</v>
      </c>
    </row>
    <row r="2117" spans="1:2" x14ac:dyDescent="0.25">
      <c r="A2117">
        <v>2.6282981038093567E-2</v>
      </c>
      <c r="B2117">
        <v>2.2827655076980591E-2</v>
      </c>
    </row>
    <row r="2118" spans="1:2" x14ac:dyDescent="0.25">
      <c r="A2118">
        <v>2.4304166436195374E-2</v>
      </c>
      <c r="B2118">
        <v>0.46924194693565369</v>
      </c>
    </row>
    <row r="2119" spans="1:2" x14ac:dyDescent="0.25">
      <c r="A2119">
        <v>2.0847920328378677E-2</v>
      </c>
      <c r="B2119">
        <v>0.70545512437820435</v>
      </c>
    </row>
    <row r="2120" spans="1:2" x14ac:dyDescent="0.25">
      <c r="A2120">
        <v>2.1076951175928116E-2</v>
      </c>
      <c r="B2120">
        <v>8.5700303316116333E-2</v>
      </c>
    </row>
    <row r="2121" spans="1:2" x14ac:dyDescent="0.25">
      <c r="A2121">
        <v>0.10705313831567764</v>
      </c>
      <c r="B2121">
        <v>2.1948649883270264</v>
      </c>
    </row>
    <row r="2122" spans="1:2" x14ac:dyDescent="0.25">
      <c r="A2122">
        <v>3.5717546939849854E-2</v>
      </c>
      <c r="B2122">
        <v>1.4063048362731934</v>
      </c>
    </row>
    <row r="2123" spans="1:2" x14ac:dyDescent="0.25">
      <c r="A2123">
        <v>2.2037269547581673E-2</v>
      </c>
      <c r="B2123">
        <v>0.13221265375614166</v>
      </c>
    </row>
    <row r="2124" spans="1:2" x14ac:dyDescent="0.25">
      <c r="A2124">
        <v>2.1465716883540154E-2</v>
      </c>
      <c r="B2124">
        <v>0.19822756946086884</v>
      </c>
    </row>
    <row r="2125" spans="1:2" x14ac:dyDescent="0.25">
      <c r="A2125">
        <v>2.3728625848889351E-2</v>
      </c>
      <c r="B2125">
        <v>0.35069510340690613</v>
      </c>
    </row>
    <row r="2126" spans="1:2" x14ac:dyDescent="0.25">
      <c r="A2126">
        <v>2.1638695150613785E-2</v>
      </c>
      <c r="B2126">
        <v>0.40579003095626831</v>
      </c>
    </row>
    <row r="2127" spans="1:2" x14ac:dyDescent="0.25">
      <c r="A2127">
        <v>3.4043338149785995E-2</v>
      </c>
      <c r="B2127">
        <v>0.59342491626739502</v>
      </c>
    </row>
    <row r="2128" spans="1:2" x14ac:dyDescent="0.25">
      <c r="A2128">
        <v>3.8592569530010223E-2</v>
      </c>
      <c r="B2128">
        <v>0.60080236196517944</v>
      </c>
    </row>
    <row r="2129" spans="1:2" x14ac:dyDescent="0.25">
      <c r="A2129">
        <v>3.7906773388385773E-2</v>
      </c>
      <c r="B2129">
        <v>0.83364367485046387</v>
      </c>
    </row>
    <row r="2130" spans="1:2" x14ac:dyDescent="0.25">
      <c r="A2130">
        <v>3.6658897995948792E-2</v>
      </c>
      <c r="B2130">
        <v>0.72642511129379272</v>
      </c>
    </row>
    <row r="2131" spans="1:2" x14ac:dyDescent="0.25">
      <c r="A2131">
        <v>3.7130631506443024E-2</v>
      </c>
      <c r="B2131">
        <v>0.79696750640869141</v>
      </c>
    </row>
    <row r="2132" spans="1:2" x14ac:dyDescent="0.25">
      <c r="A2132">
        <v>3.6701403558254242E-2</v>
      </c>
      <c r="B2132">
        <v>0.55051255226135254</v>
      </c>
    </row>
    <row r="2133" spans="1:2" x14ac:dyDescent="0.25">
      <c r="A2133">
        <v>3.5853095352649689E-2</v>
      </c>
      <c r="B2133">
        <v>0.55704301595687866</v>
      </c>
    </row>
    <row r="2134" spans="1:2" x14ac:dyDescent="0.25">
      <c r="A2134">
        <v>3.6569491028785706E-2</v>
      </c>
      <c r="B2134">
        <v>0.49938526749610901</v>
      </c>
    </row>
    <row r="2135" spans="1:2" x14ac:dyDescent="0.25">
      <c r="A2135">
        <v>3.5038940608501434E-2</v>
      </c>
      <c r="B2135">
        <v>0.40160906314849854</v>
      </c>
    </row>
    <row r="2136" spans="1:2" x14ac:dyDescent="0.25">
      <c r="A2136">
        <v>3.4799970686435699E-2</v>
      </c>
      <c r="B2136">
        <v>0.18856184184551239</v>
      </c>
    </row>
    <row r="2137" spans="1:2" x14ac:dyDescent="0.25">
      <c r="A2137">
        <v>2.894776314496994E-2</v>
      </c>
      <c r="B2137">
        <v>0.11835611611604691</v>
      </c>
    </row>
    <row r="2138" spans="1:2" x14ac:dyDescent="0.25">
      <c r="A2138">
        <v>3.8589805364608765E-2</v>
      </c>
      <c r="B2138">
        <v>9.8229311406612396E-2</v>
      </c>
    </row>
    <row r="2139" spans="1:2" x14ac:dyDescent="0.25">
      <c r="A2139">
        <v>3.7937011569738388E-2</v>
      </c>
      <c r="B2139">
        <v>7.3127157986164093E-2</v>
      </c>
    </row>
    <row r="2140" spans="1:2" x14ac:dyDescent="0.25">
      <c r="A2140">
        <v>3.7245403975248337E-2</v>
      </c>
      <c r="B2140">
        <v>5.0135932862758636E-2</v>
      </c>
    </row>
    <row r="2141" spans="1:2" x14ac:dyDescent="0.25">
      <c r="A2141">
        <v>2.9021687805652618E-2</v>
      </c>
      <c r="B2141">
        <v>5.4125387221574783E-2</v>
      </c>
    </row>
    <row r="2142" spans="1:2" x14ac:dyDescent="0.25">
      <c r="A2142">
        <v>4.0279380977153778E-2</v>
      </c>
      <c r="B2142">
        <v>6.7610204219818115E-2</v>
      </c>
    </row>
    <row r="2143" spans="1:2" x14ac:dyDescent="0.25">
      <c r="A2143">
        <v>3.6830563098192215E-2</v>
      </c>
      <c r="B2143">
        <v>5.3209849284030497E-5</v>
      </c>
    </row>
    <row r="2144" spans="1:2" x14ac:dyDescent="0.25">
      <c r="A2144">
        <v>3.7409868091344833E-2</v>
      </c>
      <c r="B2144">
        <v>4.2562581598758698E-2</v>
      </c>
    </row>
    <row r="2145" spans="1:2" x14ac:dyDescent="0.25">
      <c r="A2145">
        <v>0.1287233978509903</v>
      </c>
      <c r="B2145">
        <v>2.1578085422515869</v>
      </c>
    </row>
    <row r="2146" spans="1:2" x14ac:dyDescent="0.25">
      <c r="A2146">
        <v>4.3759260326623917E-2</v>
      </c>
      <c r="B2146">
        <v>1.4779244661331177</v>
      </c>
    </row>
    <row r="2147" spans="1:2" x14ac:dyDescent="0.25">
      <c r="A2147">
        <v>3.8893148303031921E-2</v>
      </c>
      <c r="B2147">
        <v>9.523414820432663E-2</v>
      </c>
    </row>
    <row r="2148" spans="1:2" x14ac:dyDescent="0.25">
      <c r="A2148">
        <v>3.8209881633520126E-2</v>
      </c>
      <c r="B2148">
        <v>0.13334517180919647</v>
      </c>
    </row>
    <row r="2149" spans="1:2" x14ac:dyDescent="0.25">
      <c r="A2149">
        <v>3.7275791168212891E-2</v>
      </c>
      <c r="B2149">
        <v>0.28883466124534607</v>
      </c>
    </row>
    <row r="2150" spans="1:2" x14ac:dyDescent="0.25">
      <c r="A2150">
        <v>3.861478716135025E-2</v>
      </c>
      <c r="B2150">
        <v>0.39829638600349426</v>
      </c>
    </row>
    <row r="2151" spans="1:2" x14ac:dyDescent="0.25">
      <c r="A2151">
        <v>3.7041336297988892E-2</v>
      </c>
      <c r="B2151">
        <v>0.48407059907913208</v>
      </c>
    </row>
    <row r="2152" spans="1:2" x14ac:dyDescent="0.25">
      <c r="A2152">
        <v>3.907269611954689E-2</v>
      </c>
      <c r="B2152">
        <v>0.54210209846496582</v>
      </c>
    </row>
    <row r="2153" spans="1:2" x14ac:dyDescent="0.25">
      <c r="A2153">
        <v>3.7147406488656998E-2</v>
      </c>
      <c r="B2153">
        <v>0.6072198748588562</v>
      </c>
    </row>
    <row r="2154" spans="1:2" x14ac:dyDescent="0.25">
      <c r="A2154">
        <v>3.8251586258411407E-2</v>
      </c>
      <c r="B2154">
        <v>0.54787582159042358</v>
      </c>
    </row>
    <row r="2155" spans="1:2" x14ac:dyDescent="0.25">
      <c r="A2155">
        <v>3.5431250929832458E-2</v>
      </c>
      <c r="B2155">
        <v>0.65554410219192505</v>
      </c>
    </row>
    <row r="2156" spans="1:2" x14ac:dyDescent="0.25">
      <c r="A2156">
        <v>3.6065127700567245E-2</v>
      </c>
      <c r="B2156">
        <v>0.63604754209518433</v>
      </c>
    </row>
    <row r="2157" spans="1:2" x14ac:dyDescent="0.25">
      <c r="A2157">
        <v>3.6583609879016876E-2</v>
      </c>
      <c r="B2157">
        <v>0.57768988609313965</v>
      </c>
    </row>
    <row r="2158" spans="1:2" x14ac:dyDescent="0.25">
      <c r="A2158">
        <v>3.6613013595342636E-2</v>
      </c>
      <c r="B2158">
        <v>0.46581077575683594</v>
      </c>
    </row>
    <row r="2159" spans="1:2" x14ac:dyDescent="0.25">
      <c r="A2159">
        <v>3.4081794321537018E-2</v>
      </c>
      <c r="B2159">
        <v>0.32885092496871948</v>
      </c>
    </row>
    <row r="2160" spans="1:2" x14ac:dyDescent="0.25">
      <c r="A2160">
        <v>3.3653583377599716E-2</v>
      </c>
      <c r="B2160">
        <v>0.13023535907268524</v>
      </c>
    </row>
    <row r="2161" spans="1:2" x14ac:dyDescent="0.25">
      <c r="A2161">
        <v>3.6171175539493561E-2</v>
      </c>
      <c r="B2161">
        <v>8.7712548673152924E-2</v>
      </c>
    </row>
    <row r="2162" spans="1:2" x14ac:dyDescent="0.25">
      <c r="A2162">
        <v>3.6156326532363892E-2</v>
      </c>
      <c r="B2162">
        <v>7.4619852006435394E-2</v>
      </c>
    </row>
    <row r="2163" spans="1:2" x14ac:dyDescent="0.25">
      <c r="A2163">
        <v>3.2138969749212265E-2</v>
      </c>
      <c r="B2163">
        <v>5.4170757532119751E-2</v>
      </c>
    </row>
    <row r="2164" spans="1:2" x14ac:dyDescent="0.25">
      <c r="A2164">
        <v>3.573424369096756E-2</v>
      </c>
      <c r="B2164">
        <v>4.7055464237928391E-2</v>
      </c>
    </row>
    <row r="2165" spans="1:2" x14ac:dyDescent="0.25">
      <c r="A2165">
        <v>3.8323525339365005E-2</v>
      </c>
      <c r="B2165">
        <v>2.7765581384301186E-2</v>
      </c>
    </row>
    <row r="2166" spans="1:2" x14ac:dyDescent="0.25">
      <c r="A2166">
        <v>3.6779973655939102E-2</v>
      </c>
      <c r="B2166">
        <v>0.46733656525611877</v>
      </c>
    </row>
    <row r="2167" spans="1:2" x14ac:dyDescent="0.25">
      <c r="A2167">
        <v>3.5695567727088928E-2</v>
      </c>
      <c r="B2167">
        <v>0.59360706806182861</v>
      </c>
    </row>
    <row r="2168" spans="1:2" x14ac:dyDescent="0.25">
      <c r="A2168">
        <v>3.6509573459625244E-2</v>
      </c>
      <c r="B2168">
        <v>8.2448914647102356E-2</v>
      </c>
    </row>
    <row r="2169" spans="1:2" x14ac:dyDescent="0.25">
      <c r="A2169">
        <v>0.11667855829000473</v>
      </c>
      <c r="B2169">
        <v>2.1419351100921631</v>
      </c>
    </row>
    <row r="2170" spans="1:2" x14ac:dyDescent="0.25">
      <c r="A2170">
        <v>0.14292125403881073</v>
      </c>
      <c r="B2170">
        <v>1.4456732273101807</v>
      </c>
    </row>
    <row r="2171" spans="1:2" x14ac:dyDescent="0.25">
      <c r="A2171">
        <v>8.4370754659175873E-2</v>
      </c>
      <c r="B2171">
        <v>0.11261320114135742</v>
      </c>
    </row>
    <row r="2172" spans="1:2" x14ac:dyDescent="0.25">
      <c r="A2172">
        <v>4.0311291813850403E-2</v>
      </c>
      <c r="B2172">
        <v>0.10491564124822617</v>
      </c>
    </row>
    <row r="2173" spans="1:2" x14ac:dyDescent="0.25">
      <c r="A2173">
        <v>3.6119349300861359E-2</v>
      </c>
      <c r="B2173">
        <v>0.13613304495811462</v>
      </c>
    </row>
    <row r="2174" spans="1:2" x14ac:dyDescent="0.25">
      <c r="A2174">
        <v>3.566712886095047E-2</v>
      </c>
      <c r="B2174">
        <v>0.18978904187679291</v>
      </c>
    </row>
    <row r="2175" spans="1:2" x14ac:dyDescent="0.25">
      <c r="A2175">
        <v>3.9797019213438034E-2</v>
      </c>
      <c r="B2175">
        <v>0.28173732757568359</v>
      </c>
    </row>
    <row r="2176" spans="1:2" x14ac:dyDescent="0.25">
      <c r="A2176">
        <v>3.9350885897874832E-2</v>
      </c>
      <c r="B2176">
        <v>0.31951531767845154</v>
      </c>
    </row>
    <row r="2177" spans="1:2" x14ac:dyDescent="0.25">
      <c r="A2177">
        <v>4.4417962431907654E-2</v>
      </c>
      <c r="B2177">
        <v>0.42972710728645325</v>
      </c>
    </row>
    <row r="2178" spans="1:2" x14ac:dyDescent="0.25">
      <c r="A2178">
        <v>3.556278720498085E-2</v>
      </c>
      <c r="B2178">
        <v>0.45560619235038757</v>
      </c>
    </row>
    <row r="2179" spans="1:2" x14ac:dyDescent="0.25">
      <c r="A2179">
        <v>3.7357263267040253E-2</v>
      </c>
      <c r="B2179">
        <v>0.61005085706710815</v>
      </c>
    </row>
    <row r="2180" spans="1:2" x14ac:dyDescent="0.25">
      <c r="A2180">
        <v>3.7048399448394775E-2</v>
      </c>
      <c r="B2180">
        <v>0.56006282567977905</v>
      </c>
    </row>
    <row r="2181" spans="1:2" x14ac:dyDescent="0.25">
      <c r="A2181">
        <v>3.6959685385227203E-2</v>
      </c>
      <c r="B2181">
        <v>0.6965937614440918</v>
      </c>
    </row>
    <row r="2182" spans="1:2" x14ac:dyDescent="0.25">
      <c r="A2182">
        <v>3.60601507127285E-2</v>
      </c>
      <c r="B2182">
        <v>0.58781921863555908</v>
      </c>
    </row>
    <row r="2183" spans="1:2" x14ac:dyDescent="0.25">
      <c r="A2183">
        <v>3.4758556634187698E-2</v>
      </c>
      <c r="B2183">
        <v>0.46197715401649475</v>
      </c>
    </row>
    <row r="2184" spans="1:2" x14ac:dyDescent="0.25">
      <c r="A2184">
        <v>2.9716022312641144E-2</v>
      </c>
      <c r="B2184">
        <v>0.15870411694049835</v>
      </c>
    </row>
    <row r="2185" spans="1:2" x14ac:dyDescent="0.25">
      <c r="A2185">
        <v>2.9836619272828102E-2</v>
      </c>
      <c r="B2185">
        <v>6.5281406044960022E-2</v>
      </c>
    </row>
    <row r="2186" spans="1:2" x14ac:dyDescent="0.25">
      <c r="A2186">
        <v>3.5445638000965118E-2</v>
      </c>
      <c r="B2186">
        <v>9.0359605848789215E-2</v>
      </c>
    </row>
    <row r="2187" spans="1:2" x14ac:dyDescent="0.25">
      <c r="A2187">
        <v>3.469274565577507E-2</v>
      </c>
      <c r="B2187">
        <v>1.8143376801162958E-3</v>
      </c>
    </row>
    <row r="2188" spans="1:2" x14ac:dyDescent="0.25">
      <c r="A2188">
        <v>3.7380505353212357E-2</v>
      </c>
      <c r="B2188">
        <v>3.1365424394607544E-2</v>
      </c>
    </row>
    <row r="2189" spans="1:2" x14ac:dyDescent="0.25">
      <c r="A2189">
        <v>3.6817744374275208E-2</v>
      </c>
      <c r="B2189">
        <v>3.410889208316803E-2</v>
      </c>
    </row>
    <row r="2190" spans="1:2" x14ac:dyDescent="0.25">
      <c r="A2190">
        <v>3.6443427205085754E-2</v>
      </c>
      <c r="B2190">
        <v>2.1040689200162888E-2</v>
      </c>
    </row>
    <row r="2191" spans="1:2" x14ac:dyDescent="0.25">
      <c r="A2191">
        <v>3.8605310022830963E-2</v>
      </c>
      <c r="B2191">
        <v>3.0198825523257256E-2</v>
      </c>
    </row>
    <row r="2192" spans="1:2" x14ac:dyDescent="0.25">
      <c r="A2192">
        <v>3.7295356392860413E-2</v>
      </c>
      <c r="B2192">
        <v>2.8555752709507942E-2</v>
      </c>
    </row>
    <row r="2193" spans="1:2" x14ac:dyDescent="0.25">
      <c r="A2193">
        <v>0.11778679490089417</v>
      </c>
      <c r="B2193">
        <v>2.1084368228912354</v>
      </c>
    </row>
    <row r="2194" spans="1:2" x14ac:dyDescent="0.25">
      <c r="A2194">
        <v>4.0701709687709808E-2</v>
      </c>
      <c r="B2194">
        <v>1.4559272527694702</v>
      </c>
    </row>
    <row r="2195" spans="1:2" x14ac:dyDescent="0.25">
      <c r="A2195">
        <v>3.9043635129928589E-2</v>
      </c>
      <c r="B2195">
        <v>0.15729361772537231</v>
      </c>
    </row>
    <row r="2196" spans="1:2" x14ac:dyDescent="0.25">
      <c r="A2196">
        <v>3.8436319679021835E-2</v>
      </c>
      <c r="B2196">
        <v>0.15519134700298309</v>
      </c>
    </row>
    <row r="2197" spans="1:2" x14ac:dyDescent="0.25">
      <c r="A2197">
        <v>3.8204692304134369E-2</v>
      </c>
      <c r="B2197">
        <v>1.535744309425354</v>
      </c>
    </row>
    <row r="2198" spans="1:2" x14ac:dyDescent="0.25">
      <c r="A2198">
        <v>3.9162453263998032E-2</v>
      </c>
      <c r="B2198">
        <v>3.6348268985748291</v>
      </c>
    </row>
    <row r="2199" spans="1:2" x14ac:dyDescent="0.25">
      <c r="A2199">
        <v>4.0442511439323425E-2</v>
      </c>
      <c r="B2199">
        <v>4.7770719528198242</v>
      </c>
    </row>
    <row r="2200" spans="1:2" x14ac:dyDescent="0.25">
      <c r="A2200">
        <v>3.8541082292795181E-2</v>
      </c>
      <c r="B2200">
        <v>0.67649990320205688</v>
      </c>
    </row>
    <row r="2201" spans="1:2" x14ac:dyDescent="0.25">
      <c r="A2201">
        <v>4.2540408670902252E-2</v>
      </c>
      <c r="B2201">
        <v>0.71360915899276733</v>
      </c>
    </row>
    <row r="2202" spans="1:2" x14ac:dyDescent="0.25">
      <c r="A2202">
        <v>3.6520127207040787E-2</v>
      </c>
      <c r="B2202">
        <v>0.73650377988815308</v>
      </c>
    </row>
    <row r="2203" spans="1:2" x14ac:dyDescent="0.25">
      <c r="A2203">
        <v>3.7225529551506042E-2</v>
      </c>
      <c r="B2203">
        <v>0.82466304302215576</v>
      </c>
    </row>
    <row r="2204" spans="1:2" x14ac:dyDescent="0.25">
      <c r="A2204">
        <v>3.7057414650917053E-2</v>
      </c>
      <c r="B2204">
        <v>0.8843759298324585</v>
      </c>
    </row>
    <row r="2205" spans="1:2" x14ac:dyDescent="0.25">
      <c r="A2205">
        <v>3.5150237381458282E-2</v>
      </c>
      <c r="B2205">
        <v>1.0859931707382202</v>
      </c>
    </row>
    <row r="2206" spans="1:2" x14ac:dyDescent="0.25">
      <c r="A2206">
        <v>3.5918250679969788E-2</v>
      </c>
      <c r="B2206">
        <v>0.89211511611938477</v>
      </c>
    </row>
    <row r="2207" spans="1:2" x14ac:dyDescent="0.25">
      <c r="A2207">
        <v>3.5181842744350433E-2</v>
      </c>
      <c r="B2207">
        <v>0.90620589256286621</v>
      </c>
    </row>
    <row r="2208" spans="1:2" x14ac:dyDescent="0.25">
      <c r="A2208">
        <v>3.2620370388031006E-2</v>
      </c>
      <c r="B2208">
        <v>0.80062061548233032</v>
      </c>
    </row>
    <row r="2209" spans="1:2" x14ac:dyDescent="0.25">
      <c r="A2209">
        <v>3.6374714225530624E-2</v>
      </c>
      <c r="B2209">
        <v>0.62808459997177124</v>
      </c>
    </row>
    <row r="2210" spans="1:2" x14ac:dyDescent="0.25">
      <c r="A2210">
        <v>3.1876754015684128E-2</v>
      </c>
      <c r="B2210">
        <v>0.30690264701843262</v>
      </c>
    </row>
    <row r="2211" spans="1:2" x14ac:dyDescent="0.25">
      <c r="A2211">
        <v>2.9517866671085358E-2</v>
      </c>
      <c r="B2211">
        <v>9.0896099805831909E-2</v>
      </c>
    </row>
    <row r="2212" spans="1:2" x14ac:dyDescent="0.25">
      <c r="A2212">
        <v>3.7769109010696411E-2</v>
      </c>
      <c r="B2212">
        <v>0.13931280374526978</v>
      </c>
    </row>
    <row r="2213" spans="1:2" x14ac:dyDescent="0.25">
      <c r="A2213">
        <v>3.6132186651229858E-2</v>
      </c>
      <c r="B2213">
        <v>0.1126403883099556</v>
      </c>
    </row>
    <row r="2214" spans="1:2" x14ac:dyDescent="0.25">
      <c r="A2214">
        <v>3.5848122090101242E-2</v>
      </c>
      <c r="B2214">
        <v>0.50057041645050049</v>
      </c>
    </row>
    <row r="2215" spans="1:2" x14ac:dyDescent="0.25">
      <c r="A2215">
        <v>3.8351535797119141E-2</v>
      </c>
      <c r="B2215">
        <v>0.66147845983505249</v>
      </c>
    </row>
    <row r="2216" spans="1:2" x14ac:dyDescent="0.25">
      <c r="A2216">
        <v>4.1763003915548325E-2</v>
      </c>
      <c r="B2216">
        <v>9.4663999974727631E-2</v>
      </c>
    </row>
    <row r="2217" spans="1:2" x14ac:dyDescent="0.25">
      <c r="A2217">
        <v>0.11574071645736694</v>
      </c>
      <c r="B2217">
        <v>2.0850744247436523</v>
      </c>
    </row>
    <row r="2218" spans="1:2" x14ac:dyDescent="0.25">
      <c r="A2218">
        <v>3.4901954233646393E-2</v>
      </c>
      <c r="B2218">
        <v>1.5123881101608276</v>
      </c>
    </row>
    <row r="2219" spans="1:2" x14ac:dyDescent="0.25">
      <c r="A2219">
        <v>3.7610333412885666E-2</v>
      </c>
      <c r="B2219">
        <v>6.4485664367675781</v>
      </c>
    </row>
    <row r="2220" spans="1:2" x14ac:dyDescent="0.25">
      <c r="A2220">
        <v>0.22585530579090118</v>
      </c>
      <c r="B2220">
        <v>1.1954330205917358</v>
      </c>
    </row>
    <row r="2221" spans="1:2" x14ac:dyDescent="0.25">
      <c r="A2221">
        <v>0.23786835372447968</v>
      </c>
      <c r="B2221">
        <v>6.1597833633422852</v>
      </c>
    </row>
    <row r="2222" spans="1:2" x14ac:dyDescent="0.25">
      <c r="A2222">
        <v>0.23353870213031769</v>
      </c>
      <c r="B2222">
        <v>2.6898736953735352</v>
      </c>
    </row>
    <row r="2223" spans="1:2" x14ac:dyDescent="0.25">
      <c r="A2223">
        <v>0.22622187435626984</v>
      </c>
      <c r="B2223">
        <v>3.645244836807251</v>
      </c>
    </row>
    <row r="2224" spans="1:2" x14ac:dyDescent="0.25">
      <c r="A2224">
        <v>0.16012091934680939</v>
      </c>
      <c r="B2224">
        <v>2.2102799415588379</v>
      </c>
    </row>
    <row r="2225" spans="1:2" x14ac:dyDescent="0.25">
      <c r="A2225">
        <v>0.24259869754314423</v>
      </c>
      <c r="B2225">
        <v>3.8548893928527832</v>
      </c>
    </row>
    <row r="2226" spans="1:2" x14ac:dyDescent="0.25">
      <c r="A2226">
        <v>0.24866639077663422</v>
      </c>
      <c r="B2226">
        <v>4.0092744827270508</v>
      </c>
    </row>
    <row r="2227" spans="1:2" x14ac:dyDescent="0.25">
      <c r="A2227">
        <v>0.14109736680984497</v>
      </c>
      <c r="B2227">
        <v>3.5849015712738037</v>
      </c>
    </row>
    <row r="2228" spans="1:2" x14ac:dyDescent="0.25">
      <c r="A2228">
        <v>3.6356993019580841E-2</v>
      </c>
      <c r="B2228">
        <v>1.3998537063598633</v>
      </c>
    </row>
    <row r="2229" spans="1:2" x14ac:dyDescent="0.25">
      <c r="A2229">
        <v>3.8289323449134827E-2</v>
      </c>
      <c r="B2229">
        <v>1.4958587884902954</v>
      </c>
    </row>
    <row r="2230" spans="1:2" x14ac:dyDescent="0.25">
      <c r="A2230">
        <v>3.9260521531105042E-2</v>
      </c>
      <c r="B2230">
        <v>1.2695008516311646</v>
      </c>
    </row>
    <row r="2231" spans="1:2" x14ac:dyDescent="0.25">
      <c r="A2231">
        <v>3.8026269525289536E-2</v>
      </c>
      <c r="B2231">
        <v>1.4433339834213257</v>
      </c>
    </row>
    <row r="2232" spans="1:2" x14ac:dyDescent="0.25">
      <c r="A2232">
        <v>3.6631990224123001E-2</v>
      </c>
      <c r="B2232">
        <v>1.2975975275039673</v>
      </c>
    </row>
    <row r="2233" spans="1:2" x14ac:dyDescent="0.25">
      <c r="A2233">
        <v>3.547455370426178E-2</v>
      </c>
      <c r="B2233">
        <v>0.9720960259437561</v>
      </c>
    </row>
  </sheetData>
  <mergeCells count="2">
    <mergeCell ref="F2:G2"/>
    <mergeCell ref="F3:G3"/>
  </mergeCells>
  <conditionalFormatting sqref="O2">
    <cfRule type="cellIs" dxfId="2" priority="21" operator="equal">
      <formula>0</formula>
    </cfRule>
  </conditionalFormatting>
  <conditionalFormatting sqref="F5:I5 G6:I6 F7:I7">
    <cfRule type="cellIs" dxfId="1" priority="20" operator="equal">
      <formula>0</formula>
    </cfRule>
  </conditionalFormatting>
  <conditionalFormatting sqref="F8:I30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CommandButton1">
          <controlPr defaultSize="0" autoLine="0" r:id="rId4">
            <anchor moveWithCells="1">
              <from>
                <xdr:col>8</xdr:col>
                <xdr:colOff>619125</xdr:colOff>
                <xdr:row>0</xdr:row>
                <xdr:rowOff>171450</xdr:rowOff>
              </from>
              <to>
                <xdr:col>11</xdr:col>
                <xdr:colOff>0</xdr:colOff>
                <xdr:row>2</xdr:row>
                <xdr:rowOff>171450</xdr:rowOff>
              </to>
            </anchor>
          </controlPr>
        </control>
      </mc:Choice>
      <mc:Fallback>
        <control shapeId="24577" r:id="rId3" name="CommandButton1"/>
      </mc:Fallback>
    </mc:AlternateContent>
    <mc:AlternateContent xmlns:mc="http://schemas.openxmlformats.org/markup-compatibility/2006">
      <mc:Choice Requires="x14">
        <control shapeId="24578" r:id="rId5" name="CommandButton2">
          <controlPr defaultSize="0" autoLine="0" r:id="rId6">
            <anchor moveWithCells="1">
              <from>
                <xdr:col>15</xdr:col>
                <xdr:colOff>590550</xdr:colOff>
                <xdr:row>1</xdr:row>
                <xdr:rowOff>0</xdr:rowOff>
              </from>
              <to>
                <xdr:col>18</xdr:col>
                <xdr:colOff>590550</xdr:colOff>
                <xdr:row>3</xdr:row>
                <xdr:rowOff>0</xdr:rowOff>
              </to>
            </anchor>
          </controlPr>
        </control>
      </mc:Choice>
      <mc:Fallback>
        <control shapeId="24578" r:id="rId5" name="CommandButton2"/>
      </mc:Fallback>
    </mc:AlternateContent>
    <mc:AlternateContent xmlns:mc="http://schemas.openxmlformats.org/markup-compatibility/2006">
      <mc:Choice Requires="x14">
        <control shapeId="24579" r:id="rId7" name="CommandButton3">
          <controlPr defaultSize="0" autoLine="0" r:id="rId8">
            <anchor moveWithCells="1">
              <from>
                <xdr:col>2</xdr:col>
                <xdr:colOff>533400</xdr:colOff>
                <xdr:row>1</xdr:row>
                <xdr:rowOff>19050</xdr:rowOff>
              </from>
              <to>
                <xdr:col>4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79" r:id="rId7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895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D16" sqref="D16:E45"/>
    </sheetView>
  </sheetViews>
  <sheetFormatPr defaultRowHeight="15" x14ac:dyDescent="0.25"/>
  <cols>
    <col min="1" max="1" width="47.7109375" bestFit="1" customWidth="1"/>
    <col min="2" max="2" width="20.7109375" customWidth="1"/>
    <col min="3" max="3" width="0.28515625" hidden="1" customWidth="1"/>
    <col min="4" max="4" width="20.7109375" style="3" customWidth="1"/>
    <col min="5" max="6" width="20.5703125" style="3" customWidth="1"/>
    <col min="7" max="8" width="20.7109375" style="3" customWidth="1"/>
    <col min="9" max="9" width="16.140625" style="3" hidden="1" customWidth="1"/>
    <col min="10" max="11" width="20.7109375" style="3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16</v>
      </c>
      <c r="D1" s="1"/>
      <c r="E1" s="1"/>
      <c r="F1">
        <f>$D1*$B$2 + $B$3</f>
        <v>-165.33333332631571</v>
      </c>
      <c r="G1">
        <f>(F1-E1)^2</f>
        <v>27335.111108790617</v>
      </c>
      <c r="H1" s="29" t="b">
        <v>1</v>
      </c>
      <c r="I1"/>
      <c r="J1"/>
      <c r="K1"/>
    </row>
    <row r="2" spans="1:11" ht="15" customHeight="1" thickTop="1" thickBot="1" x14ac:dyDescent="0.3">
      <c r="A2" s="16" t="s">
        <v>6</v>
      </c>
      <c r="B2" s="16">
        <v>30.999999995579969</v>
      </c>
      <c r="D2" s="1"/>
      <c r="E2"/>
      <c r="F2"/>
      <c r="G2"/>
      <c r="H2" s="29"/>
      <c r="I2"/>
      <c r="J2"/>
      <c r="K2"/>
    </row>
    <row r="3" spans="1:11" ht="15" customHeight="1" thickTop="1" thickBot="1" x14ac:dyDescent="0.3">
      <c r="A3" s="16" t="s">
        <v>1</v>
      </c>
      <c r="B3" s="16">
        <v>-165.33333332631571</v>
      </c>
      <c r="D3" s="1"/>
      <c r="E3"/>
      <c r="F3"/>
      <c r="G3"/>
      <c r="H3">
        <v>866.14745762020846</v>
      </c>
      <c r="I3"/>
      <c r="J3"/>
      <c r="K3"/>
    </row>
    <row r="4" spans="1:11" ht="15" hidden="1" customHeight="1" thickTop="1" thickBot="1" x14ac:dyDescent="0.3">
      <c r="A4" s="16"/>
      <c r="B4" s="16"/>
      <c r="D4" s="1"/>
      <c r="E4"/>
      <c r="F4"/>
      <c r="G4"/>
      <c r="H4"/>
      <c r="I4"/>
      <c r="J4"/>
      <c r="K4"/>
    </row>
    <row r="5" spans="1:11" ht="15" hidden="1" customHeight="1" thickTop="1" thickBot="1" x14ac:dyDescent="0.3">
      <c r="A5" s="16"/>
      <c r="B5" s="16"/>
      <c r="D5" s="1"/>
      <c r="E5"/>
      <c r="F5"/>
      <c r="G5"/>
      <c r="H5"/>
      <c r="I5"/>
      <c r="J5"/>
      <c r="K5"/>
    </row>
    <row r="6" spans="1:11" ht="15" hidden="1" customHeight="1" thickTop="1" thickBot="1" x14ac:dyDescent="0.3">
      <c r="A6" s="16"/>
      <c r="B6" s="16"/>
      <c r="D6" s="1"/>
      <c r="E6"/>
      <c r="F6"/>
      <c r="G6"/>
      <c r="H6"/>
      <c r="I6"/>
      <c r="J6"/>
      <c r="K6"/>
    </row>
    <row r="7" spans="1:11" ht="16.5" customHeight="1" thickTop="1" thickBot="1" x14ac:dyDescent="0.3">
      <c r="A7" s="16" t="s">
        <v>48</v>
      </c>
      <c r="B7" s="16">
        <v>1</v>
      </c>
      <c r="D7"/>
      <c r="E7"/>
      <c r="F7"/>
      <c r="G7"/>
      <c r="H7"/>
      <c r="I7"/>
      <c r="J7"/>
      <c r="K7"/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0.97029891358925791</v>
      </c>
      <c r="D8" s="1"/>
      <c r="E8"/>
      <c r="F8"/>
      <c r="G8"/>
      <c r="H8"/>
      <c r="I8"/>
      <c r="J8"/>
      <c r="K8"/>
    </row>
    <row r="9" spans="1:11" ht="15" customHeight="1" thickTop="1" thickBot="1" x14ac:dyDescent="0.3">
      <c r="A9" s="16" t="s">
        <v>14</v>
      </c>
      <c r="B9" s="16">
        <v>1.0000000000000001E-15</v>
      </c>
      <c r="D9" s="1"/>
      <c r="E9"/>
      <c r="F9"/>
      <c r="G9"/>
      <c r="H9"/>
      <c r="I9"/>
      <c r="J9"/>
      <c r="K9"/>
    </row>
    <row r="10" spans="1:11" ht="15" customHeight="1" thickTop="1" thickBot="1" x14ac:dyDescent="0.3">
      <c r="A10" s="16" t="s">
        <v>2</v>
      </c>
      <c r="B10" s="16">
        <f ca="1">SUM(INDIRECT("G16:G"&amp;(B12+15)))</f>
        <v>134250.66666666663</v>
      </c>
      <c r="D10" s="1"/>
      <c r="E10"/>
      <c r="F10"/>
      <c r="G10"/>
      <c r="H10"/>
      <c r="I10"/>
      <c r="J10"/>
      <c r="K10"/>
    </row>
    <row r="11" spans="1:11" ht="15" customHeight="1" thickTop="1" thickBot="1" x14ac:dyDescent="0.3">
      <c r="A11" s="16" t="s">
        <v>4</v>
      </c>
      <c r="B11" s="16">
        <f ca="1">MAX(INDIRECT("G16:G"&amp;(B12+15)))</f>
        <v>18315.111145102324</v>
      </c>
      <c r="D11"/>
      <c r="E11"/>
      <c r="F11"/>
      <c r="G11"/>
      <c r="H11"/>
      <c r="I11"/>
      <c r="J11"/>
      <c r="K11"/>
    </row>
    <row r="12" spans="1:11" ht="15" customHeight="1" thickTop="1" thickBot="1" x14ac:dyDescent="0.3">
      <c r="A12" s="16" t="s">
        <v>10</v>
      </c>
      <c r="B12" s="16">
        <v>30</v>
      </c>
      <c r="D12"/>
      <c r="E12"/>
      <c r="F12"/>
      <c r="G12"/>
      <c r="H12" t="s">
        <v>54</v>
      </c>
      <c r="I12"/>
      <c r="J12"/>
      <c r="K12"/>
    </row>
    <row r="13" spans="1:11" ht="15" customHeight="1" thickTop="1" thickBot="1" x14ac:dyDescent="0.3">
      <c r="A13" s="16" t="s">
        <v>9</v>
      </c>
      <c r="B13" s="16">
        <f>B12-B14</f>
        <v>30</v>
      </c>
      <c r="D13"/>
      <c r="E13"/>
      <c r="F13"/>
      <c r="G13"/>
      <c r="H13"/>
      <c r="I13"/>
      <c r="J13"/>
      <c r="K13"/>
    </row>
    <row r="14" spans="1:11" ht="15" customHeight="1" thickTop="1" thickBot="1" x14ac:dyDescent="0.3">
      <c r="A14" s="16" t="s">
        <v>5</v>
      </c>
      <c r="B14" s="16">
        <v>0</v>
      </c>
      <c r="D14"/>
      <c r="E14"/>
      <c r="F14"/>
      <c r="G14"/>
      <c r="H14"/>
      <c r="I14"/>
      <c r="J14"/>
      <c r="K14"/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56</v>
      </c>
      <c r="E15" s="1" t="s">
        <v>57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" customHeight="1" thickTop="1" x14ac:dyDescent="0.25">
      <c r="D16">
        <v>1</v>
      </c>
      <c r="E16">
        <v>1</v>
      </c>
      <c r="F16">
        <f t="shared" ref="F16:F46" si="0">$D16*$B$2 + $B$3</f>
        <v>-134.33333333073574</v>
      </c>
      <c r="G16">
        <f t="shared" ref="G16:G46" si="1">(F16-E16)^2</f>
        <v>18315.11111040803</v>
      </c>
    </row>
    <row r="17" spans="4:20" x14ac:dyDescent="0.25">
      <c r="D17">
        <v>2</v>
      </c>
      <c r="E17">
        <v>4</v>
      </c>
      <c r="F17">
        <f t="shared" si="0"/>
        <v>-103.33333333515577</v>
      </c>
      <c r="G17">
        <f t="shared" si="1"/>
        <v>11520.444444835661</v>
      </c>
    </row>
    <row r="18" spans="4:20" x14ac:dyDescent="0.25">
      <c r="D18">
        <v>3</v>
      </c>
      <c r="E18">
        <v>9</v>
      </c>
      <c r="F18">
        <f t="shared" si="0"/>
        <v>-72.333333339575802</v>
      </c>
      <c r="G18">
        <f t="shared" si="1"/>
        <v>6615.1111121265531</v>
      </c>
    </row>
    <row r="19" spans="4:20" x14ac:dyDescent="0.25">
      <c r="D19">
        <v>4</v>
      </c>
      <c r="E19">
        <v>16</v>
      </c>
      <c r="F19">
        <f t="shared" si="0"/>
        <v>-41.333333343995832</v>
      </c>
      <c r="G19">
        <f t="shared" si="1"/>
        <v>3287.1111123337441</v>
      </c>
    </row>
    <row r="20" spans="4:20" x14ac:dyDescent="0.25">
      <c r="D20">
        <v>5</v>
      </c>
      <c r="E20">
        <v>25</v>
      </c>
      <c r="F20">
        <f t="shared" si="0"/>
        <v>-10.333333348415863</v>
      </c>
      <c r="G20">
        <f t="shared" si="1"/>
        <v>1248.4444455102766</v>
      </c>
      <c r="T20" s="4"/>
    </row>
    <row r="21" spans="4:20" x14ac:dyDescent="0.25">
      <c r="D21">
        <v>6</v>
      </c>
      <c r="E21">
        <v>36</v>
      </c>
      <c r="F21">
        <f t="shared" si="0"/>
        <v>20.666666647164107</v>
      </c>
      <c r="G21">
        <f t="shared" si="1"/>
        <v>235.11111170918963</v>
      </c>
    </row>
    <row r="22" spans="4:20" x14ac:dyDescent="0.25">
      <c r="D22">
        <v>7</v>
      </c>
      <c r="E22">
        <v>49</v>
      </c>
      <c r="F22">
        <f t="shared" si="0"/>
        <v>51.666666642744076</v>
      </c>
      <c r="G22">
        <f t="shared" si="1"/>
        <v>7.111110983523961</v>
      </c>
    </row>
    <row r="23" spans="4:20" x14ac:dyDescent="0.25">
      <c r="D23">
        <v>8</v>
      </c>
      <c r="E23">
        <v>64</v>
      </c>
      <c r="F23">
        <f t="shared" si="0"/>
        <v>82.666666638324045</v>
      </c>
      <c r="G23">
        <f t="shared" si="1"/>
        <v>348.4444433863199</v>
      </c>
    </row>
    <row r="24" spans="4:20" x14ac:dyDescent="0.25">
      <c r="D24">
        <v>9</v>
      </c>
      <c r="E24">
        <v>81</v>
      </c>
      <c r="F24">
        <f t="shared" si="0"/>
        <v>113.66666663390401</v>
      </c>
      <c r="G24">
        <f t="shared" si="1"/>
        <v>1067.1111089706178</v>
      </c>
    </row>
    <row r="25" spans="4:20" x14ac:dyDescent="0.25">
      <c r="D25">
        <v>10</v>
      </c>
      <c r="E25">
        <v>100</v>
      </c>
      <c r="F25">
        <f t="shared" si="0"/>
        <v>144.66666662948398</v>
      </c>
      <c r="G25">
        <f t="shared" si="1"/>
        <v>1995.1111077894582</v>
      </c>
    </row>
    <row r="26" spans="4:20" x14ac:dyDescent="0.25">
      <c r="D26">
        <v>11</v>
      </c>
      <c r="E26">
        <v>121</v>
      </c>
      <c r="F26">
        <f t="shared" si="0"/>
        <v>175.66666662506395</v>
      </c>
      <c r="G26">
        <f t="shared" si="1"/>
        <v>2988.4444398958813</v>
      </c>
    </row>
    <row r="27" spans="4:20" x14ac:dyDescent="0.25">
      <c r="D27">
        <v>12</v>
      </c>
      <c r="E27">
        <v>144</v>
      </c>
      <c r="F27">
        <f t="shared" si="0"/>
        <v>206.66666662064392</v>
      </c>
      <c r="G27">
        <f t="shared" si="1"/>
        <v>3927.1111053429272</v>
      </c>
    </row>
    <row r="28" spans="4:20" x14ac:dyDescent="0.25">
      <c r="D28">
        <v>13</v>
      </c>
      <c r="E28">
        <v>169</v>
      </c>
      <c r="F28">
        <f t="shared" si="0"/>
        <v>237.66666661622389</v>
      </c>
      <c r="G28">
        <f t="shared" si="1"/>
        <v>4715.1111041836366</v>
      </c>
    </row>
    <row r="29" spans="4:20" x14ac:dyDescent="0.25">
      <c r="D29">
        <v>14</v>
      </c>
      <c r="E29">
        <v>196</v>
      </c>
      <c r="F29">
        <f t="shared" si="0"/>
        <v>268.66666661180386</v>
      </c>
      <c r="G29">
        <f t="shared" si="1"/>
        <v>5280.4444364710498</v>
      </c>
    </row>
    <row r="30" spans="4:20" x14ac:dyDescent="0.25">
      <c r="D30">
        <v>15</v>
      </c>
      <c r="E30">
        <v>225</v>
      </c>
      <c r="F30">
        <f t="shared" si="0"/>
        <v>299.66666660738383</v>
      </c>
      <c r="G30">
        <f t="shared" si="1"/>
        <v>5575.1111022582081</v>
      </c>
    </row>
    <row r="31" spans="4:20" x14ac:dyDescent="0.25">
      <c r="D31">
        <v>16</v>
      </c>
      <c r="E31">
        <v>256</v>
      </c>
      <c r="F31">
        <f t="shared" si="0"/>
        <v>330.6666666029638</v>
      </c>
      <c r="G31">
        <f t="shared" si="1"/>
        <v>5575.1111015981496</v>
      </c>
    </row>
    <row r="32" spans="4:20" x14ac:dyDescent="0.25">
      <c r="D32">
        <v>17</v>
      </c>
      <c r="E32">
        <v>289</v>
      </c>
      <c r="F32">
        <f t="shared" si="0"/>
        <v>361.66666659854377</v>
      </c>
      <c r="G32">
        <f t="shared" si="1"/>
        <v>5280.4444345439169</v>
      </c>
    </row>
    <row r="33" spans="4:7" x14ac:dyDescent="0.25">
      <c r="D33">
        <v>18</v>
      </c>
      <c r="E33">
        <v>324</v>
      </c>
      <c r="F33">
        <f t="shared" si="0"/>
        <v>392.66666659412374</v>
      </c>
      <c r="G33">
        <f t="shared" si="1"/>
        <v>4715.1111011485491</v>
      </c>
    </row>
    <row r="34" spans="4:7" x14ac:dyDescent="0.25">
      <c r="D34">
        <v>19</v>
      </c>
      <c r="E34">
        <v>361</v>
      </c>
      <c r="F34">
        <f t="shared" si="0"/>
        <v>423.66666658970371</v>
      </c>
      <c r="G34">
        <f t="shared" si="1"/>
        <v>3927.1111014650869</v>
      </c>
    </row>
    <row r="35" spans="4:7" x14ac:dyDescent="0.25">
      <c r="D35">
        <v>20</v>
      </c>
      <c r="E35">
        <v>400</v>
      </c>
      <c r="F35">
        <f t="shared" si="0"/>
        <v>454.66666658528368</v>
      </c>
      <c r="G35">
        <f t="shared" si="1"/>
        <v>2988.4444355465712</v>
      </c>
    </row>
    <row r="36" spans="4:7" x14ac:dyDescent="0.25">
      <c r="D36">
        <v>21</v>
      </c>
      <c r="E36">
        <v>441</v>
      </c>
      <c r="F36">
        <f t="shared" si="0"/>
        <v>485.66666658086365</v>
      </c>
      <c r="G36">
        <f t="shared" si="1"/>
        <v>1995.1111034460414</v>
      </c>
    </row>
    <row r="37" spans="4:7" x14ac:dyDescent="0.25">
      <c r="D37">
        <v>22</v>
      </c>
      <c r="E37">
        <v>484</v>
      </c>
      <c r="F37">
        <f t="shared" si="0"/>
        <v>516.66666657644362</v>
      </c>
      <c r="G37">
        <f t="shared" si="1"/>
        <v>1067.1111052165386</v>
      </c>
    </row>
    <row r="38" spans="4:7" x14ac:dyDescent="0.25">
      <c r="D38">
        <v>23</v>
      </c>
      <c r="E38">
        <v>529</v>
      </c>
      <c r="F38">
        <f t="shared" si="0"/>
        <v>547.66666657202359</v>
      </c>
      <c r="G38">
        <f t="shared" si="1"/>
        <v>348.44444091110279</v>
      </c>
    </row>
    <row r="39" spans="4:7" x14ac:dyDescent="0.25">
      <c r="D39">
        <v>24</v>
      </c>
      <c r="E39">
        <v>576</v>
      </c>
      <c r="F39">
        <f t="shared" si="0"/>
        <v>578.66666656760356</v>
      </c>
      <c r="G39">
        <f t="shared" si="1"/>
        <v>7.1111105827745327</v>
      </c>
    </row>
    <row r="40" spans="4:7" x14ac:dyDescent="0.25">
      <c r="D40">
        <v>25</v>
      </c>
      <c r="E40">
        <v>625</v>
      </c>
      <c r="F40">
        <f t="shared" si="0"/>
        <v>609.66666656318353</v>
      </c>
      <c r="G40">
        <f t="shared" si="1"/>
        <v>235.11111428459409</v>
      </c>
    </row>
    <row r="41" spans="4:7" x14ac:dyDescent="0.25">
      <c r="D41">
        <v>26</v>
      </c>
      <c r="E41">
        <v>676</v>
      </c>
      <c r="F41">
        <f t="shared" si="0"/>
        <v>640.6666665587635</v>
      </c>
      <c r="G41">
        <f t="shared" si="1"/>
        <v>1248.444452069602</v>
      </c>
    </row>
    <row r="42" spans="4:7" x14ac:dyDescent="0.25">
      <c r="D42">
        <v>27</v>
      </c>
      <c r="E42">
        <v>729</v>
      </c>
      <c r="F42">
        <f t="shared" si="0"/>
        <v>671.66666655434346</v>
      </c>
      <c r="G42">
        <f t="shared" si="1"/>
        <v>3287.1111239908382</v>
      </c>
    </row>
    <row r="43" spans="4:7" x14ac:dyDescent="0.25">
      <c r="D43">
        <v>28</v>
      </c>
      <c r="E43">
        <v>784</v>
      </c>
      <c r="F43">
        <f t="shared" si="0"/>
        <v>702.66666654992343</v>
      </c>
      <c r="G43">
        <f t="shared" si="1"/>
        <v>6615.1111301013434</v>
      </c>
    </row>
    <row r="44" spans="4:7" x14ac:dyDescent="0.25">
      <c r="D44">
        <v>29</v>
      </c>
      <c r="E44">
        <v>841</v>
      </c>
      <c r="F44">
        <f t="shared" si="0"/>
        <v>733.6666665455034</v>
      </c>
      <c r="G44">
        <f t="shared" si="1"/>
        <v>11520.444470454158</v>
      </c>
    </row>
    <row r="45" spans="4:7" x14ac:dyDescent="0.25">
      <c r="D45">
        <v>30</v>
      </c>
      <c r="E45">
        <v>900</v>
      </c>
      <c r="F45">
        <f t="shared" si="0"/>
        <v>764.66666654108337</v>
      </c>
      <c r="G45">
        <f t="shared" si="1"/>
        <v>18315.111145102324</v>
      </c>
    </row>
    <row r="46" spans="4:7" x14ac:dyDescent="0.25">
      <c r="D46"/>
      <c r="E46"/>
      <c r="F46"/>
      <c r="G46"/>
    </row>
    <row r="47" spans="4:7" x14ac:dyDescent="0.25">
      <c r="D47"/>
      <c r="E47"/>
      <c r="F47"/>
      <c r="G47"/>
    </row>
    <row r="48" spans="4:7" x14ac:dyDescent="0.25">
      <c r="D48"/>
      <c r="E48"/>
      <c r="F48"/>
      <c r="G48"/>
    </row>
    <row r="49" spans="4:7" x14ac:dyDescent="0.25">
      <c r="D49"/>
      <c r="E49"/>
      <c r="F49"/>
      <c r="G49"/>
    </row>
    <row r="50" spans="4:7" x14ac:dyDescent="0.25">
      <c r="D50"/>
      <c r="E50"/>
      <c r="F50"/>
      <c r="G50"/>
    </row>
    <row r="51" spans="4:7" x14ac:dyDescent="0.25">
      <c r="D51"/>
      <c r="E51"/>
      <c r="F51"/>
      <c r="G51"/>
    </row>
    <row r="52" spans="4:7" x14ac:dyDescent="0.25">
      <c r="D52"/>
      <c r="E52"/>
      <c r="F52"/>
      <c r="G52"/>
    </row>
    <row r="53" spans="4:7" x14ac:dyDescent="0.25">
      <c r="D53"/>
      <c r="E53"/>
      <c r="F53"/>
      <c r="G53"/>
    </row>
    <row r="54" spans="4:7" x14ac:dyDescent="0.25">
      <c r="D54"/>
      <c r="E54"/>
      <c r="F54"/>
      <c r="G54"/>
    </row>
    <row r="55" spans="4:7" x14ac:dyDescent="0.25">
      <c r="D55"/>
      <c r="E55"/>
      <c r="F55"/>
      <c r="G55"/>
    </row>
    <row r="56" spans="4:7" x14ac:dyDescent="0.25">
      <c r="D56"/>
      <c r="E56"/>
      <c r="F56"/>
      <c r="G56"/>
    </row>
    <row r="57" spans="4:7" x14ac:dyDescent="0.25">
      <c r="D57"/>
      <c r="E57"/>
      <c r="F57"/>
      <c r="G57"/>
    </row>
    <row r="58" spans="4:7" x14ac:dyDescent="0.25">
      <c r="D58"/>
      <c r="E58"/>
      <c r="F58"/>
      <c r="G58"/>
    </row>
    <row r="59" spans="4:7" x14ac:dyDescent="0.25">
      <c r="D59"/>
      <c r="E59"/>
      <c r="F59"/>
      <c r="G59"/>
    </row>
    <row r="60" spans="4:7" x14ac:dyDescent="0.25">
      <c r="D60"/>
      <c r="E60"/>
      <c r="F60"/>
      <c r="G60"/>
    </row>
    <row r="61" spans="4:7" x14ac:dyDescent="0.25">
      <c r="D61"/>
      <c r="E61"/>
      <c r="F61"/>
      <c r="G61"/>
    </row>
    <row r="62" spans="4:7" x14ac:dyDescent="0.25">
      <c r="D62"/>
      <c r="E62"/>
      <c r="F62"/>
      <c r="G62"/>
    </row>
    <row r="63" spans="4:7" x14ac:dyDescent="0.25">
      <c r="D63"/>
      <c r="E63"/>
      <c r="F63"/>
      <c r="G63"/>
    </row>
    <row r="64" spans="4:7" x14ac:dyDescent="0.25">
      <c r="D64"/>
      <c r="E64"/>
      <c r="F64"/>
      <c r="G64"/>
    </row>
    <row r="65" spans="4:7" x14ac:dyDescent="0.25">
      <c r="D65"/>
      <c r="E65"/>
      <c r="F65"/>
      <c r="G65"/>
    </row>
    <row r="66" spans="4:7" x14ac:dyDescent="0.25">
      <c r="D66"/>
      <c r="E66"/>
      <c r="F66"/>
      <c r="G66"/>
    </row>
    <row r="67" spans="4:7" x14ac:dyDescent="0.25">
      <c r="D67"/>
      <c r="E67"/>
      <c r="F67"/>
      <c r="G67"/>
    </row>
    <row r="68" spans="4:7" x14ac:dyDescent="0.25">
      <c r="D68"/>
      <c r="E68"/>
      <c r="F68"/>
      <c r="G68"/>
    </row>
    <row r="69" spans="4:7" x14ac:dyDescent="0.25">
      <c r="D69"/>
      <c r="E69"/>
      <c r="F69"/>
      <c r="G69"/>
    </row>
    <row r="70" spans="4:7" x14ac:dyDescent="0.25">
      <c r="D70"/>
      <c r="E70"/>
      <c r="F70"/>
      <c r="G70"/>
    </row>
    <row r="71" spans="4:7" x14ac:dyDescent="0.25">
      <c r="D71"/>
      <c r="E71"/>
      <c r="F71"/>
      <c r="G71"/>
    </row>
    <row r="72" spans="4:7" x14ac:dyDescent="0.25">
      <c r="D72"/>
      <c r="E72"/>
      <c r="F72"/>
      <c r="G72"/>
    </row>
    <row r="73" spans="4:7" x14ac:dyDescent="0.25">
      <c r="D73"/>
      <c r="E73"/>
      <c r="F73"/>
      <c r="G73"/>
    </row>
    <row r="74" spans="4:7" x14ac:dyDescent="0.25">
      <c r="D74"/>
      <c r="E74"/>
      <c r="F74"/>
      <c r="G74"/>
    </row>
    <row r="75" spans="4:7" x14ac:dyDescent="0.25">
      <c r="D75"/>
      <c r="E75"/>
      <c r="F75"/>
      <c r="G75"/>
    </row>
    <row r="76" spans="4:7" x14ac:dyDescent="0.25">
      <c r="D76"/>
      <c r="E76"/>
      <c r="F76"/>
      <c r="G76"/>
    </row>
    <row r="77" spans="4:7" x14ac:dyDescent="0.25">
      <c r="D77"/>
      <c r="E77"/>
      <c r="F77"/>
      <c r="G77"/>
    </row>
    <row r="78" spans="4:7" x14ac:dyDescent="0.25">
      <c r="D78"/>
      <c r="E78"/>
      <c r="F78"/>
      <c r="G78"/>
    </row>
    <row r="79" spans="4:7" x14ac:dyDescent="0.25">
      <c r="D79"/>
      <c r="E79"/>
      <c r="F79"/>
      <c r="G79"/>
    </row>
    <row r="80" spans="4:7" x14ac:dyDescent="0.25">
      <c r="D80"/>
      <c r="E80"/>
      <c r="F80"/>
      <c r="G80"/>
    </row>
    <row r="81" spans="4:7" x14ac:dyDescent="0.25">
      <c r="D81"/>
      <c r="E81"/>
      <c r="F81"/>
      <c r="G81"/>
    </row>
    <row r="82" spans="4:7" x14ac:dyDescent="0.25">
      <c r="D82"/>
      <c r="E82"/>
      <c r="F82"/>
      <c r="G82"/>
    </row>
    <row r="83" spans="4:7" x14ac:dyDescent="0.25">
      <c r="D83"/>
      <c r="E83"/>
      <c r="F83"/>
      <c r="G83"/>
    </row>
    <row r="84" spans="4:7" x14ac:dyDescent="0.25">
      <c r="D84"/>
      <c r="E84"/>
      <c r="F84"/>
      <c r="G84"/>
    </row>
    <row r="85" spans="4:7" x14ac:dyDescent="0.25">
      <c r="D85"/>
      <c r="E85"/>
      <c r="F85"/>
      <c r="G85"/>
    </row>
    <row r="86" spans="4:7" x14ac:dyDescent="0.25">
      <c r="D86"/>
      <c r="E86"/>
      <c r="F86"/>
      <c r="G86"/>
    </row>
    <row r="87" spans="4:7" x14ac:dyDescent="0.25">
      <c r="D87"/>
      <c r="E87"/>
      <c r="F87"/>
      <c r="G87"/>
    </row>
    <row r="88" spans="4:7" x14ac:dyDescent="0.25">
      <c r="D88"/>
      <c r="E88"/>
      <c r="F88"/>
      <c r="G88"/>
    </row>
    <row r="89" spans="4:7" x14ac:dyDescent="0.25">
      <c r="D89"/>
      <c r="E89"/>
      <c r="F89"/>
      <c r="G89"/>
    </row>
    <row r="90" spans="4:7" x14ac:dyDescent="0.25">
      <c r="D90"/>
      <c r="E90"/>
      <c r="F90"/>
      <c r="G90"/>
    </row>
    <row r="91" spans="4:7" x14ac:dyDescent="0.25">
      <c r="D91"/>
      <c r="E91"/>
      <c r="F91"/>
      <c r="G91"/>
    </row>
    <row r="92" spans="4:7" x14ac:dyDescent="0.25">
      <c r="D92"/>
      <c r="E92"/>
      <c r="F92"/>
      <c r="G92"/>
    </row>
    <row r="93" spans="4:7" x14ac:dyDescent="0.25">
      <c r="D93"/>
      <c r="E93"/>
      <c r="F93"/>
      <c r="G93"/>
    </row>
    <row r="94" spans="4:7" x14ac:dyDescent="0.25">
      <c r="D94"/>
      <c r="E94"/>
      <c r="F94"/>
      <c r="G94"/>
    </row>
    <row r="95" spans="4:7" x14ac:dyDescent="0.25">
      <c r="D95"/>
      <c r="E95"/>
      <c r="F95"/>
      <c r="G95"/>
    </row>
    <row r="96" spans="4:7" x14ac:dyDescent="0.25">
      <c r="D96"/>
      <c r="E96"/>
      <c r="F96"/>
      <c r="G96"/>
    </row>
    <row r="97" spans="4:7" x14ac:dyDescent="0.25">
      <c r="D97"/>
      <c r="E97"/>
      <c r="F97"/>
      <c r="G97"/>
    </row>
    <row r="98" spans="4:7" x14ac:dyDescent="0.25">
      <c r="D98"/>
      <c r="E98"/>
      <c r="F98"/>
      <c r="G98"/>
    </row>
    <row r="99" spans="4:7" x14ac:dyDescent="0.25">
      <c r="D99"/>
      <c r="E99"/>
      <c r="F99"/>
      <c r="G99"/>
    </row>
    <row r="100" spans="4:7" x14ac:dyDescent="0.25">
      <c r="D100"/>
      <c r="E100"/>
      <c r="F100"/>
      <c r="G100"/>
    </row>
    <row r="101" spans="4:7" x14ac:dyDescent="0.25">
      <c r="D101"/>
      <c r="E101"/>
      <c r="F101"/>
      <c r="G101"/>
    </row>
    <row r="102" spans="4:7" x14ac:dyDescent="0.25">
      <c r="D102"/>
      <c r="E102"/>
      <c r="F102"/>
      <c r="G102"/>
    </row>
    <row r="103" spans="4:7" x14ac:dyDescent="0.25">
      <c r="D103"/>
      <c r="E103"/>
      <c r="F103"/>
      <c r="G103"/>
    </row>
    <row r="104" spans="4:7" x14ac:dyDescent="0.25">
      <c r="D104"/>
      <c r="E104"/>
      <c r="F104"/>
      <c r="G104"/>
    </row>
    <row r="105" spans="4:7" x14ac:dyDescent="0.25">
      <c r="D105"/>
      <c r="E105"/>
      <c r="F105"/>
      <c r="G105"/>
    </row>
    <row r="106" spans="4:7" x14ac:dyDescent="0.25">
      <c r="D106"/>
      <c r="E106"/>
      <c r="F106"/>
      <c r="G106"/>
    </row>
    <row r="107" spans="4:7" x14ac:dyDescent="0.25">
      <c r="D107"/>
      <c r="E107"/>
      <c r="F107"/>
      <c r="G107"/>
    </row>
    <row r="108" spans="4:7" x14ac:dyDescent="0.25">
      <c r="D108"/>
      <c r="E108"/>
      <c r="F108"/>
      <c r="G108"/>
    </row>
    <row r="109" spans="4:7" x14ac:dyDescent="0.25">
      <c r="D109"/>
      <c r="E109"/>
      <c r="F109"/>
      <c r="G109"/>
    </row>
    <row r="110" spans="4:7" x14ac:dyDescent="0.25">
      <c r="D110"/>
      <c r="E110"/>
      <c r="F110"/>
      <c r="G110"/>
    </row>
    <row r="111" spans="4:7" x14ac:dyDescent="0.25">
      <c r="D111"/>
      <c r="E111"/>
      <c r="F111"/>
      <c r="G111"/>
    </row>
    <row r="112" spans="4:7" x14ac:dyDescent="0.25">
      <c r="D112"/>
      <c r="E112"/>
      <c r="F112"/>
      <c r="G112"/>
    </row>
    <row r="113" spans="4:7" x14ac:dyDescent="0.25">
      <c r="D113"/>
      <c r="E113"/>
      <c r="F113"/>
      <c r="G113"/>
    </row>
    <row r="114" spans="4:7" x14ac:dyDescent="0.25">
      <c r="D114"/>
      <c r="E114"/>
      <c r="F114"/>
      <c r="G114"/>
    </row>
    <row r="115" spans="4:7" x14ac:dyDescent="0.25">
      <c r="D115"/>
      <c r="E115"/>
      <c r="F115"/>
      <c r="G115"/>
    </row>
    <row r="116" spans="4:7" x14ac:dyDescent="0.25">
      <c r="D116"/>
      <c r="E116"/>
      <c r="F116"/>
      <c r="G116"/>
    </row>
    <row r="117" spans="4:7" x14ac:dyDescent="0.25">
      <c r="D117"/>
      <c r="E117"/>
      <c r="F117"/>
      <c r="G117"/>
    </row>
    <row r="118" spans="4:7" x14ac:dyDescent="0.25">
      <c r="D118"/>
      <c r="E118"/>
      <c r="F118"/>
      <c r="G118"/>
    </row>
    <row r="119" spans="4:7" x14ac:dyDescent="0.25">
      <c r="D119"/>
      <c r="E119"/>
      <c r="F119"/>
      <c r="G119"/>
    </row>
    <row r="120" spans="4:7" x14ac:dyDescent="0.25">
      <c r="D120"/>
      <c r="E120"/>
      <c r="F120"/>
      <c r="G120"/>
    </row>
    <row r="121" spans="4:7" x14ac:dyDescent="0.25">
      <c r="D121"/>
      <c r="E121"/>
      <c r="F121"/>
      <c r="G121"/>
    </row>
    <row r="122" spans="4:7" x14ac:dyDescent="0.25">
      <c r="D122"/>
      <c r="E122"/>
      <c r="F122"/>
      <c r="G122"/>
    </row>
    <row r="123" spans="4:7" x14ac:dyDescent="0.25">
      <c r="D123"/>
      <c r="E123"/>
      <c r="F123"/>
      <c r="G123"/>
    </row>
    <row r="124" spans="4:7" x14ac:dyDescent="0.25">
      <c r="D124"/>
      <c r="E124"/>
      <c r="F124"/>
      <c r="G124"/>
    </row>
    <row r="125" spans="4:7" x14ac:dyDescent="0.25">
      <c r="D125"/>
      <c r="E125"/>
      <c r="F125"/>
      <c r="G125"/>
    </row>
    <row r="126" spans="4:7" x14ac:dyDescent="0.25">
      <c r="D126"/>
      <c r="E126"/>
      <c r="F126"/>
      <c r="G126"/>
    </row>
    <row r="127" spans="4:7" x14ac:dyDescent="0.25">
      <c r="D127"/>
      <c r="E127"/>
      <c r="F127"/>
      <c r="G127"/>
    </row>
    <row r="128" spans="4:7" x14ac:dyDescent="0.25">
      <c r="D128"/>
      <c r="E128"/>
      <c r="F128"/>
      <c r="G128"/>
    </row>
    <row r="129" spans="4:7" x14ac:dyDescent="0.25">
      <c r="D129"/>
      <c r="E129"/>
      <c r="F129"/>
      <c r="G129"/>
    </row>
    <row r="130" spans="4:7" x14ac:dyDescent="0.25">
      <c r="D130"/>
      <c r="E130"/>
      <c r="F130"/>
      <c r="G130"/>
    </row>
    <row r="131" spans="4:7" x14ac:dyDescent="0.25">
      <c r="D131"/>
      <c r="E131"/>
      <c r="F131"/>
      <c r="G131"/>
    </row>
    <row r="132" spans="4:7" x14ac:dyDescent="0.25">
      <c r="D132"/>
      <c r="E132"/>
      <c r="F132"/>
      <c r="G132"/>
    </row>
    <row r="133" spans="4:7" x14ac:dyDescent="0.25">
      <c r="D133"/>
      <c r="E133"/>
      <c r="F133"/>
      <c r="G133"/>
    </row>
    <row r="134" spans="4:7" x14ac:dyDescent="0.25">
      <c r="D134"/>
      <c r="E134"/>
      <c r="F134"/>
      <c r="G134"/>
    </row>
    <row r="135" spans="4:7" x14ac:dyDescent="0.25">
      <c r="D135"/>
      <c r="E135"/>
      <c r="F135"/>
      <c r="G135"/>
    </row>
    <row r="136" spans="4:7" x14ac:dyDescent="0.25">
      <c r="D136"/>
      <c r="E136"/>
      <c r="F136"/>
      <c r="G136"/>
    </row>
    <row r="137" spans="4:7" x14ac:dyDescent="0.25">
      <c r="D137"/>
      <c r="E137"/>
      <c r="F137"/>
      <c r="G137"/>
    </row>
    <row r="138" spans="4:7" x14ac:dyDescent="0.25">
      <c r="D138"/>
      <c r="E138"/>
      <c r="F138"/>
      <c r="G138"/>
    </row>
    <row r="139" spans="4:7" x14ac:dyDescent="0.25">
      <c r="D139"/>
      <c r="E139"/>
      <c r="F139"/>
      <c r="G139"/>
    </row>
    <row r="140" spans="4:7" x14ac:dyDescent="0.25">
      <c r="D140"/>
      <c r="E140"/>
      <c r="F140"/>
      <c r="G140"/>
    </row>
    <row r="141" spans="4:7" x14ac:dyDescent="0.25">
      <c r="D141"/>
      <c r="E141"/>
      <c r="F141"/>
      <c r="G141"/>
    </row>
    <row r="142" spans="4:7" x14ac:dyDescent="0.25">
      <c r="D142"/>
      <c r="E142"/>
      <c r="F142"/>
      <c r="G142"/>
    </row>
    <row r="143" spans="4:7" x14ac:dyDescent="0.25">
      <c r="D143"/>
      <c r="E143"/>
      <c r="F143"/>
      <c r="G143"/>
    </row>
    <row r="144" spans="4:7" x14ac:dyDescent="0.25">
      <c r="D144"/>
      <c r="E144"/>
      <c r="F144"/>
      <c r="G144"/>
    </row>
    <row r="145" spans="4:7" x14ac:dyDescent="0.25">
      <c r="D145"/>
      <c r="E145"/>
      <c r="F145"/>
      <c r="G145"/>
    </row>
    <row r="146" spans="4:7" x14ac:dyDescent="0.25">
      <c r="D146"/>
      <c r="E146"/>
      <c r="F146"/>
      <c r="G146"/>
    </row>
    <row r="147" spans="4:7" x14ac:dyDescent="0.25">
      <c r="D147"/>
      <c r="E147"/>
      <c r="F147"/>
      <c r="G147"/>
    </row>
    <row r="148" spans="4:7" x14ac:dyDescent="0.25">
      <c r="D148"/>
      <c r="E148"/>
      <c r="F148"/>
      <c r="G148"/>
    </row>
    <row r="149" spans="4:7" x14ac:dyDescent="0.25">
      <c r="D149"/>
      <c r="E149"/>
      <c r="F149"/>
      <c r="G149"/>
    </row>
    <row r="150" spans="4:7" x14ac:dyDescent="0.25">
      <c r="D150"/>
      <c r="E150"/>
      <c r="F150"/>
      <c r="G150"/>
    </row>
    <row r="151" spans="4:7" x14ac:dyDescent="0.25">
      <c r="D151"/>
      <c r="E151"/>
      <c r="F151"/>
      <c r="G151"/>
    </row>
    <row r="152" spans="4:7" x14ac:dyDescent="0.25">
      <c r="D152"/>
      <c r="E152"/>
      <c r="F152"/>
      <c r="G152"/>
    </row>
    <row r="153" spans="4:7" x14ac:dyDescent="0.25">
      <c r="D153"/>
      <c r="E153"/>
      <c r="F153"/>
      <c r="G153"/>
    </row>
    <row r="154" spans="4:7" x14ac:dyDescent="0.25">
      <c r="D154"/>
      <c r="E154"/>
      <c r="F154"/>
      <c r="G154"/>
    </row>
    <row r="155" spans="4:7" x14ac:dyDescent="0.25">
      <c r="D155"/>
      <c r="E155"/>
      <c r="F155"/>
      <c r="G155"/>
    </row>
    <row r="156" spans="4:7" x14ac:dyDescent="0.25">
      <c r="D156"/>
      <c r="E156"/>
      <c r="F156"/>
      <c r="G156"/>
    </row>
    <row r="157" spans="4:7" x14ac:dyDescent="0.25">
      <c r="D157"/>
      <c r="E157"/>
      <c r="F157"/>
      <c r="G157"/>
    </row>
    <row r="158" spans="4:7" x14ac:dyDescent="0.25">
      <c r="D158"/>
      <c r="E158"/>
      <c r="F158"/>
      <c r="G158"/>
    </row>
    <row r="159" spans="4:7" x14ac:dyDescent="0.25">
      <c r="D159"/>
      <c r="E159"/>
      <c r="F159"/>
      <c r="G159"/>
    </row>
    <row r="160" spans="4:7" x14ac:dyDescent="0.25">
      <c r="D160"/>
      <c r="E160"/>
      <c r="F160"/>
      <c r="G160"/>
    </row>
    <row r="161" spans="4:7" x14ac:dyDescent="0.25">
      <c r="D161"/>
      <c r="E161"/>
      <c r="F161"/>
      <c r="G161"/>
    </row>
    <row r="162" spans="4:7" x14ac:dyDescent="0.25">
      <c r="D162"/>
      <c r="E162"/>
      <c r="F162"/>
      <c r="G162"/>
    </row>
    <row r="163" spans="4:7" x14ac:dyDescent="0.25">
      <c r="D163"/>
      <c r="E163"/>
      <c r="F163"/>
      <c r="G163"/>
    </row>
    <row r="164" spans="4:7" x14ac:dyDescent="0.25">
      <c r="D164"/>
      <c r="E164"/>
      <c r="F164"/>
      <c r="G164"/>
    </row>
    <row r="165" spans="4:7" x14ac:dyDescent="0.25">
      <c r="D165"/>
      <c r="E165"/>
      <c r="F165"/>
      <c r="G165"/>
    </row>
    <row r="166" spans="4:7" x14ac:dyDescent="0.25">
      <c r="D166"/>
      <c r="E166"/>
      <c r="F166"/>
      <c r="G166"/>
    </row>
    <row r="167" spans="4:7" x14ac:dyDescent="0.25">
      <c r="D167"/>
      <c r="E167"/>
      <c r="F167"/>
      <c r="G167"/>
    </row>
    <row r="168" spans="4:7" x14ac:dyDescent="0.25">
      <c r="D168"/>
      <c r="E168"/>
      <c r="F168"/>
      <c r="G168"/>
    </row>
    <row r="169" spans="4:7" x14ac:dyDescent="0.25">
      <c r="D169"/>
      <c r="E169"/>
      <c r="F169"/>
      <c r="G169"/>
    </row>
    <row r="170" spans="4:7" x14ac:dyDescent="0.25">
      <c r="D170"/>
      <c r="E170"/>
      <c r="F170"/>
      <c r="G170"/>
    </row>
    <row r="171" spans="4:7" x14ac:dyDescent="0.25">
      <c r="D171"/>
      <c r="E171"/>
      <c r="F171"/>
      <c r="G171"/>
    </row>
    <row r="172" spans="4:7" x14ac:dyDescent="0.25">
      <c r="D172"/>
      <c r="E172"/>
      <c r="F172"/>
      <c r="G172"/>
    </row>
    <row r="173" spans="4:7" x14ac:dyDescent="0.25">
      <c r="D173"/>
      <c r="E173"/>
      <c r="F173"/>
      <c r="G173"/>
    </row>
    <row r="174" spans="4:7" x14ac:dyDescent="0.25">
      <c r="D174"/>
      <c r="E174"/>
      <c r="F174"/>
      <c r="G174"/>
    </row>
    <row r="175" spans="4:7" x14ac:dyDescent="0.25">
      <c r="D175"/>
      <c r="E175"/>
      <c r="F175"/>
      <c r="G175"/>
    </row>
    <row r="176" spans="4:7" x14ac:dyDescent="0.25">
      <c r="D176"/>
      <c r="E176"/>
      <c r="F176"/>
      <c r="G176"/>
    </row>
    <row r="177" spans="4:7" x14ac:dyDescent="0.25">
      <c r="D177"/>
      <c r="E177"/>
      <c r="F177"/>
      <c r="G177"/>
    </row>
    <row r="178" spans="4:7" x14ac:dyDescent="0.25">
      <c r="D178"/>
      <c r="E178"/>
      <c r="F178"/>
      <c r="G178"/>
    </row>
    <row r="179" spans="4:7" x14ac:dyDescent="0.25">
      <c r="D179"/>
      <c r="E179"/>
      <c r="F179"/>
      <c r="G179"/>
    </row>
    <row r="180" spans="4:7" x14ac:dyDescent="0.25">
      <c r="D180"/>
      <c r="E180"/>
      <c r="F180"/>
      <c r="G180"/>
    </row>
    <row r="181" spans="4:7" x14ac:dyDescent="0.25">
      <c r="D181"/>
      <c r="E181"/>
      <c r="F181"/>
      <c r="G181"/>
    </row>
    <row r="182" spans="4:7" x14ac:dyDescent="0.25">
      <c r="D182"/>
      <c r="E182"/>
      <c r="F182"/>
      <c r="G182"/>
    </row>
    <row r="183" spans="4:7" x14ac:dyDescent="0.25">
      <c r="D183"/>
      <c r="E183"/>
      <c r="F183"/>
      <c r="G183"/>
    </row>
    <row r="184" spans="4:7" x14ac:dyDescent="0.25">
      <c r="D184"/>
      <c r="E184"/>
      <c r="F184"/>
      <c r="G184"/>
    </row>
    <row r="185" spans="4:7" x14ac:dyDescent="0.25">
      <c r="D185"/>
      <c r="E185"/>
      <c r="F185"/>
      <c r="G185"/>
    </row>
    <row r="186" spans="4:7" x14ac:dyDescent="0.25">
      <c r="D186"/>
      <c r="E186"/>
      <c r="F186"/>
      <c r="G186"/>
    </row>
    <row r="187" spans="4:7" x14ac:dyDescent="0.25">
      <c r="D187"/>
      <c r="E187"/>
      <c r="F187"/>
      <c r="G187"/>
    </row>
    <row r="188" spans="4:7" x14ac:dyDescent="0.25">
      <c r="D188"/>
      <c r="E188"/>
      <c r="F188"/>
      <c r="G188"/>
    </row>
    <row r="189" spans="4:7" x14ac:dyDescent="0.25">
      <c r="D189"/>
      <c r="E189"/>
      <c r="F189"/>
      <c r="G189"/>
    </row>
    <row r="190" spans="4:7" x14ac:dyDescent="0.25">
      <c r="D190"/>
      <c r="E190"/>
      <c r="F190"/>
      <c r="G190"/>
    </row>
    <row r="191" spans="4:7" x14ac:dyDescent="0.25">
      <c r="D191"/>
      <c r="E191"/>
      <c r="F191"/>
      <c r="G191"/>
    </row>
    <row r="192" spans="4:7" x14ac:dyDescent="0.25">
      <c r="D192"/>
      <c r="E192"/>
      <c r="F192"/>
      <c r="G192"/>
    </row>
    <row r="193" spans="4:7" x14ac:dyDescent="0.25">
      <c r="D193"/>
      <c r="E193"/>
      <c r="F193"/>
      <c r="G193"/>
    </row>
    <row r="194" spans="4:7" x14ac:dyDescent="0.25">
      <c r="D194"/>
      <c r="E194"/>
      <c r="F194"/>
      <c r="G194"/>
    </row>
    <row r="195" spans="4:7" x14ac:dyDescent="0.25">
      <c r="D195"/>
      <c r="E195"/>
      <c r="F195"/>
      <c r="G195"/>
    </row>
    <row r="196" spans="4:7" x14ac:dyDescent="0.25">
      <c r="D196"/>
      <c r="E196"/>
      <c r="F196"/>
      <c r="G196"/>
    </row>
    <row r="197" spans="4:7" x14ac:dyDescent="0.25">
      <c r="D197"/>
      <c r="E197"/>
      <c r="F197"/>
      <c r="G197"/>
    </row>
    <row r="198" spans="4:7" x14ac:dyDescent="0.25">
      <c r="D198"/>
      <c r="E198"/>
      <c r="F198"/>
      <c r="G198"/>
    </row>
    <row r="199" spans="4:7" x14ac:dyDescent="0.25">
      <c r="D199"/>
      <c r="E199"/>
      <c r="F199"/>
      <c r="G199"/>
    </row>
    <row r="200" spans="4:7" x14ac:dyDescent="0.25">
      <c r="D200"/>
      <c r="E200"/>
      <c r="F200"/>
      <c r="G200"/>
    </row>
    <row r="201" spans="4:7" x14ac:dyDescent="0.25">
      <c r="D201"/>
      <c r="E201"/>
      <c r="F201"/>
      <c r="G201"/>
    </row>
    <row r="202" spans="4:7" x14ac:dyDescent="0.25">
      <c r="D202"/>
      <c r="E202"/>
      <c r="F202"/>
      <c r="G202"/>
    </row>
    <row r="203" spans="4:7" x14ac:dyDescent="0.25">
      <c r="D203"/>
      <c r="E203"/>
      <c r="F203"/>
      <c r="G203"/>
    </row>
    <row r="204" spans="4:7" x14ac:dyDescent="0.25">
      <c r="D204"/>
      <c r="E204"/>
      <c r="F204"/>
      <c r="G204"/>
    </row>
    <row r="205" spans="4:7" x14ac:dyDescent="0.25">
      <c r="D205"/>
      <c r="E205"/>
      <c r="F205"/>
      <c r="G205"/>
    </row>
    <row r="206" spans="4:7" x14ac:dyDescent="0.25">
      <c r="D206"/>
      <c r="E206"/>
      <c r="F206"/>
      <c r="G206"/>
    </row>
    <row r="207" spans="4:7" x14ac:dyDescent="0.25">
      <c r="D207"/>
      <c r="E207"/>
      <c r="F207"/>
      <c r="G207"/>
    </row>
    <row r="208" spans="4:7" x14ac:dyDescent="0.25">
      <c r="D208"/>
      <c r="E208"/>
      <c r="F208"/>
      <c r="G208"/>
    </row>
    <row r="209" spans="4:7" x14ac:dyDescent="0.25">
      <c r="D209"/>
      <c r="E209"/>
      <c r="F209"/>
      <c r="G209"/>
    </row>
    <row r="210" spans="4:7" x14ac:dyDescent="0.25">
      <c r="D210"/>
      <c r="E210"/>
      <c r="F210"/>
      <c r="G210"/>
    </row>
    <row r="211" spans="4:7" x14ac:dyDescent="0.25">
      <c r="D211"/>
      <c r="E211"/>
      <c r="F211"/>
      <c r="G211"/>
    </row>
    <row r="212" spans="4:7" x14ac:dyDescent="0.25">
      <c r="D212"/>
      <c r="E212"/>
      <c r="F212"/>
      <c r="G212"/>
    </row>
    <row r="213" spans="4:7" x14ac:dyDescent="0.25">
      <c r="D213"/>
      <c r="E213"/>
      <c r="F213"/>
      <c r="G213"/>
    </row>
    <row r="214" spans="4:7" x14ac:dyDescent="0.25">
      <c r="D214"/>
      <c r="E214"/>
      <c r="F214"/>
      <c r="G214"/>
    </row>
    <row r="215" spans="4:7" x14ac:dyDescent="0.25">
      <c r="D215"/>
      <c r="E215"/>
      <c r="F215"/>
      <c r="G215"/>
    </row>
    <row r="216" spans="4:7" x14ac:dyDescent="0.25">
      <c r="D216"/>
      <c r="E216"/>
      <c r="F216"/>
      <c r="G216"/>
    </row>
    <row r="217" spans="4:7" x14ac:dyDescent="0.25">
      <c r="D217"/>
      <c r="E217"/>
      <c r="F217"/>
      <c r="G217"/>
    </row>
    <row r="218" spans="4:7" x14ac:dyDescent="0.25">
      <c r="D218"/>
      <c r="E218"/>
      <c r="F218"/>
      <c r="G218"/>
    </row>
    <row r="219" spans="4:7" x14ac:dyDescent="0.25">
      <c r="D219"/>
      <c r="E219"/>
      <c r="F219"/>
      <c r="G219"/>
    </row>
    <row r="220" spans="4:7" x14ac:dyDescent="0.25">
      <c r="D220"/>
      <c r="E220"/>
      <c r="F220"/>
      <c r="G220"/>
    </row>
    <row r="221" spans="4:7" x14ac:dyDescent="0.25">
      <c r="D221"/>
      <c r="E221"/>
      <c r="F221"/>
      <c r="G221"/>
    </row>
    <row r="222" spans="4:7" x14ac:dyDescent="0.25">
      <c r="D222"/>
      <c r="E222"/>
      <c r="F222"/>
      <c r="G222"/>
    </row>
    <row r="223" spans="4:7" x14ac:dyDescent="0.25">
      <c r="D223"/>
      <c r="E223"/>
      <c r="F223"/>
      <c r="G223"/>
    </row>
    <row r="224" spans="4:7" x14ac:dyDescent="0.25">
      <c r="D224"/>
      <c r="E224"/>
      <c r="F224"/>
      <c r="G224"/>
    </row>
    <row r="225" spans="4:7" x14ac:dyDescent="0.25">
      <c r="D225"/>
      <c r="E225"/>
      <c r="F225"/>
      <c r="G225"/>
    </row>
    <row r="226" spans="4:7" x14ac:dyDescent="0.25">
      <c r="D226"/>
      <c r="E226"/>
      <c r="F226"/>
      <c r="G226"/>
    </row>
    <row r="227" spans="4:7" x14ac:dyDescent="0.25">
      <c r="D227"/>
      <c r="E227"/>
      <c r="F227"/>
      <c r="G227"/>
    </row>
    <row r="228" spans="4:7" x14ac:dyDescent="0.25">
      <c r="D228"/>
      <c r="E228"/>
      <c r="F228"/>
      <c r="G228"/>
    </row>
    <row r="229" spans="4:7" x14ac:dyDescent="0.25">
      <c r="D229"/>
      <c r="E229"/>
      <c r="F229"/>
      <c r="G229"/>
    </row>
    <row r="230" spans="4:7" x14ac:dyDescent="0.25">
      <c r="D230"/>
      <c r="E230"/>
      <c r="F230"/>
      <c r="G230"/>
    </row>
    <row r="231" spans="4:7" x14ac:dyDescent="0.25">
      <c r="D231"/>
      <c r="E231"/>
      <c r="F231"/>
      <c r="G231"/>
    </row>
    <row r="232" spans="4:7" x14ac:dyDescent="0.25">
      <c r="D232"/>
      <c r="E232"/>
      <c r="F232"/>
      <c r="G232"/>
    </row>
    <row r="233" spans="4:7" x14ac:dyDescent="0.25">
      <c r="D233"/>
      <c r="E233"/>
      <c r="F233"/>
      <c r="G233"/>
    </row>
    <row r="234" spans="4:7" x14ac:dyDescent="0.25">
      <c r="D234"/>
      <c r="E234"/>
      <c r="F234"/>
      <c r="G234"/>
    </row>
    <row r="235" spans="4:7" x14ac:dyDescent="0.25">
      <c r="D235"/>
      <c r="E235"/>
      <c r="F235"/>
      <c r="G235"/>
    </row>
    <row r="236" spans="4:7" x14ac:dyDescent="0.25">
      <c r="D236"/>
      <c r="E236"/>
      <c r="F236"/>
      <c r="G236"/>
    </row>
    <row r="237" spans="4:7" x14ac:dyDescent="0.25">
      <c r="D237"/>
      <c r="E237"/>
      <c r="F237"/>
      <c r="G237"/>
    </row>
    <row r="238" spans="4:7" x14ac:dyDescent="0.25">
      <c r="D238"/>
      <c r="E238"/>
      <c r="F238"/>
      <c r="G238"/>
    </row>
    <row r="239" spans="4:7" x14ac:dyDescent="0.25">
      <c r="D239"/>
      <c r="E239"/>
      <c r="F239"/>
      <c r="G239"/>
    </row>
    <row r="240" spans="4:7" x14ac:dyDescent="0.25">
      <c r="D240"/>
      <c r="E240"/>
      <c r="F240"/>
      <c r="G240"/>
    </row>
    <row r="241" spans="4:7" x14ac:dyDescent="0.25">
      <c r="D241"/>
      <c r="E241"/>
      <c r="F241"/>
      <c r="G241"/>
    </row>
    <row r="242" spans="4:7" x14ac:dyDescent="0.25">
      <c r="D242"/>
      <c r="E242"/>
      <c r="F242"/>
      <c r="G242"/>
    </row>
    <row r="243" spans="4:7" x14ac:dyDescent="0.25">
      <c r="D243"/>
      <c r="E243"/>
      <c r="F243"/>
      <c r="G243"/>
    </row>
    <row r="244" spans="4:7" x14ac:dyDescent="0.25">
      <c r="D244"/>
      <c r="E244"/>
      <c r="F244"/>
      <c r="G244"/>
    </row>
    <row r="245" spans="4:7" x14ac:dyDescent="0.25">
      <c r="D245"/>
      <c r="E245"/>
      <c r="F245"/>
      <c r="G245"/>
    </row>
    <row r="246" spans="4:7" x14ac:dyDescent="0.25">
      <c r="D246"/>
      <c r="E246"/>
      <c r="F246"/>
      <c r="G246"/>
    </row>
    <row r="247" spans="4:7" x14ac:dyDescent="0.25">
      <c r="D247"/>
      <c r="E247"/>
      <c r="F247"/>
      <c r="G247"/>
    </row>
    <row r="248" spans="4:7" x14ac:dyDescent="0.25">
      <c r="D248"/>
      <c r="E248"/>
      <c r="F248"/>
      <c r="G248"/>
    </row>
    <row r="249" spans="4:7" x14ac:dyDescent="0.25">
      <c r="D249"/>
      <c r="E249"/>
      <c r="F249"/>
      <c r="G249"/>
    </row>
    <row r="250" spans="4:7" x14ac:dyDescent="0.25">
      <c r="D250"/>
      <c r="E250"/>
      <c r="F250"/>
      <c r="G250"/>
    </row>
    <row r="251" spans="4:7" x14ac:dyDescent="0.25">
      <c r="D251"/>
      <c r="E251"/>
      <c r="F251"/>
      <c r="G251"/>
    </row>
    <row r="252" spans="4:7" x14ac:dyDescent="0.25">
      <c r="D252"/>
      <c r="E252"/>
      <c r="F252"/>
      <c r="G252"/>
    </row>
    <row r="253" spans="4:7" x14ac:dyDescent="0.25">
      <c r="D253"/>
      <c r="E253"/>
      <c r="F253"/>
      <c r="G253"/>
    </row>
    <row r="254" spans="4:7" x14ac:dyDescent="0.25">
      <c r="D254"/>
      <c r="E254"/>
      <c r="F254"/>
      <c r="G254"/>
    </row>
    <row r="255" spans="4:7" x14ac:dyDescent="0.25">
      <c r="D255"/>
      <c r="E255"/>
      <c r="F255"/>
      <c r="G255"/>
    </row>
    <row r="256" spans="4:7" x14ac:dyDescent="0.25">
      <c r="D256"/>
      <c r="E256"/>
      <c r="F256"/>
      <c r="G256"/>
    </row>
    <row r="257" spans="4:7" x14ac:dyDescent="0.25">
      <c r="D257"/>
      <c r="E257"/>
      <c r="F257"/>
      <c r="G257"/>
    </row>
    <row r="258" spans="4:7" x14ac:dyDescent="0.25">
      <c r="D258"/>
      <c r="E258"/>
      <c r="F258"/>
      <c r="G258"/>
    </row>
    <row r="259" spans="4:7" x14ac:dyDescent="0.25">
      <c r="D259"/>
      <c r="E259"/>
      <c r="F259"/>
      <c r="G259"/>
    </row>
    <row r="260" spans="4:7" x14ac:dyDescent="0.25">
      <c r="D260"/>
      <c r="E260"/>
      <c r="F260"/>
      <c r="G260"/>
    </row>
    <row r="261" spans="4:7" x14ac:dyDescent="0.25">
      <c r="D261"/>
      <c r="E261"/>
      <c r="F261"/>
      <c r="G261"/>
    </row>
    <row r="262" spans="4:7" x14ac:dyDescent="0.25">
      <c r="D262"/>
      <c r="E262"/>
      <c r="F262"/>
      <c r="G262"/>
    </row>
    <row r="263" spans="4:7" x14ac:dyDescent="0.25">
      <c r="D263"/>
      <c r="E263"/>
      <c r="F263"/>
      <c r="G263"/>
    </row>
    <row r="264" spans="4:7" x14ac:dyDescent="0.25">
      <c r="D264"/>
      <c r="E264"/>
      <c r="F264"/>
      <c r="G264"/>
    </row>
    <row r="265" spans="4:7" x14ac:dyDescent="0.25">
      <c r="D265"/>
      <c r="E265"/>
      <c r="F265"/>
      <c r="G265"/>
    </row>
    <row r="266" spans="4:7" x14ac:dyDescent="0.25">
      <c r="D266"/>
      <c r="E266"/>
      <c r="F266"/>
      <c r="G266"/>
    </row>
    <row r="267" spans="4:7" x14ac:dyDescent="0.25">
      <c r="D267"/>
      <c r="E267"/>
      <c r="F267"/>
      <c r="G267"/>
    </row>
    <row r="268" spans="4:7" x14ac:dyDescent="0.25">
      <c r="D268"/>
      <c r="E268"/>
      <c r="F268"/>
      <c r="G268"/>
    </row>
    <row r="269" spans="4:7" x14ac:dyDescent="0.25">
      <c r="D269"/>
      <c r="E269"/>
      <c r="F269"/>
      <c r="G269"/>
    </row>
    <row r="270" spans="4:7" x14ac:dyDescent="0.25">
      <c r="D270"/>
      <c r="E270"/>
      <c r="F270"/>
      <c r="G270"/>
    </row>
    <row r="271" spans="4:7" x14ac:dyDescent="0.25">
      <c r="D271"/>
      <c r="E271"/>
      <c r="F271"/>
      <c r="G271"/>
    </row>
    <row r="272" spans="4:7" x14ac:dyDescent="0.25">
      <c r="D272"/>
      <c r="E272"/>
      <c r="F272"/>
      <c r="G272"/>
    </row>
    <row r="273" spans="4:7" x14ac:dyDescent="0.25">
      <c r="D273"/>
      <c r="E273"/>
      <c r="F273"/>
      <c r="G273"/>
    </row>
    <row r="274" spans="4:7" x14ac:dyDescent="0.25">
      <c r="D274"/>
      <c r="E274"/>
      <c r="F274"/>
      <c r="G274"/>
    </row>
    <row r="275" spans="4:7" x14ac:dyDescent="0.25">
      <c r="D275"/>
      <c r="E275"/>
      <c r="F275"/>
      <c r="G275"/>
    </row>
    <row r="276" spans="4:7" x14ac:dyDescent="0.25">
      <c r="D276"/>
      <c r="E276"/>
      <c r="F276"/>
      <c r="G276"/>
    </row>
    <row r="277" spans="4:7" x14ac:dyDescent="0.25">
      <c r="D277"/>
      <c r="E277"/>
      <c r="F277"/>
      <c r="G277"/>
    </row>
    <row r="278" spans="4:7" x14ac:dyDescent="0.25">
      <c r="D278"/>
      <c r="E278"/>
      <c r="F278"/>
      <c r="G278"/>
    </row>
    <row r="279" spans="4:7" x14ac:dyDescent="0.25">
      <c r="D279"/>
      <c r="E279"/>
      <c r="F279"/>
      <c r="G279"/>
    </row>
    <row r="280" spans="4:7" x14ac:dyDescent="0.25">
      <c r="D280"/>
      <c r="E280"/>
      <c r="F280"/>
      <c r="G280"/>
    </row>
    <row r="281" spans="4:7" x14ac:dyDescent="0.25">
      <c r="D281"/>
      <c r="E281"/>
      <c r="F281"/>
      <c r="G281"/>
    </row>
    <row r="282" spans="4:7" x14ac:dyDescent="0.25">
      <c r="D282"/>
      <c r="E282"/>
      <c r="F282"/>
      <c r="G282"/>
    </row>
    <row r="283" spans="4:7" x14ac:dyDescent="0.25">
      <c r="D283"/>
      <c r="E283"/>
      <c r="F283"/>
      <c r="G283"/>
    </row>
    <row r="284" spans="4:7" x14ac:dyDescent="0.25">
      <c r="D284"/>
      <c r="E284"/>
      <c r="F284"/>
      <c r="G284"/>
    </row>
    <row r="285" spans="4:7" x14ac:dyDescent="0.25">
      <c r="D285"/>
      <c r="E285"/>
      <c r="F285"/>
      <c r="G285"/>
    </row>
    <row r="286" spans="4:7" x14ac:dyDescent="0.25">
      <c r="D286"/>
      <c r="E286"/>
      <c r="F286"/>
      <c r="G286"/>
    </row>
    <row r="287" spans="4:7" x14ac:dyDescent="0.25">
      <c r="D287"/>
      <c r="E287"/>
      <c r="F287"/>
      <c r="G287"/>
    </row>
    <row r="288" spans="4:7" x14ac:dyDescent="0.25">
      <c r="D288"/>
      <c r="E288"/>
      <c r="F288"/>
      <c r="G288"/>
    </row>
    <row r="289" spans="4:7" x14ac:dyDescent="0.25">
      <c r="D289"/>
      <c r="E289"/>
      <c r="F289"/>
      <c r="G289"/>
    </row>
    <row r="290" spans="4:7" x14ac:dyDescent="0.25">
      <c r="D290"/>
      <c r="E290"/>
      <c r="F290"/>
      <c r="G290"/>
    </row>
    <row r="291" spans="4:7" x14ac:dyDescent="0.25">
      <c r="D291"/>
      <c r="E291"/>
      <c r="F291"/>
      <c r="G291"/>
    </row>
    <row r="292" spans="4:7" x14ac:dyDescent="0.25">
      <c r="D292"/>
      <c r="E292"/>
      <c r="F292"/>
      <c r="G292"/>
    </row>
    <row r="293" spans="4:7" x14ac:dyDescent="0.25">
      <c r="D293"/>
      <c r="E293"/>
      <c r="F293"/>
      <c r="G293"/>
    </row>
    <row r="294" spans="4:7" x14ac:dyDescent="0.25">
      <c r="D294"/>
      <c r="E294"/>
      <c r="F294"/>
      <c r="G294"/>
    </row>
    <row r="295" spans="4:7" x14ac:dyDescent="0.25">
      <c r="D295"/>
      <c r="E295"/>
      <c r="F295"/>
      <c r="G295"/>
    </row>
    <row r="296" spans="4:7" x14ac:dyDescent="0.25">
      <c r="D296"/>
      <c r="E296"/>
      <c r="F296"/>
      <c r="G296"/>
    </row>
    <row r="297" spans="4:7" x14ac:dyDescent="0.25">
      <c r="D297"/>
      <c r="E297"/>
      <c r="F297"/>
      <c r="G297"/>
    </row>
    <row r="298" spans="4:7" x14ac:dyDescent="0.25">
      <c r="D298"/>
      <c r="E298"/>
      <c r="F298"/>
      <c r="G298"/>
    </row>
    <row r="299" spans="4:7" x14ac:dyDescent="0.25">
      <c r="D299"/>
      <c r="E299"/>
      <c r="F299"/>
      <c r="G299"/>
    </row>
    <row r="300" spans="4:7" x14ac:dyDescent="0.25">
      <c r="D300"/>
      <c r="E300"/>
      <c r="F300"/>
      <c r="G300"/>
    </row>
    <row r="301" spans="4:7" x14ac:dyDescent="0.25">
      <c r="D301"/>
      <c r="E301"/>
      <c r="F301"/>
      <c r="G301"/>
    </row>
    <row r="302" spans="4:7" x14ac:dyDescent="0.25">
      <c r="D302"/>
      <c r="E302"/>
      <c r="F302"/>
      <c r="G302"/>
    </row>
    <row r="303" spans="4:7" x14ac:dyDescent="0.25">
      <c r="D303"/>
      <c r="E303"/>
      <c r="F303"/>
      <c r="G303"/>
    </row>
    <row r="304" spans="4:7" x14ac:dyDescent="0.25">
      <c r="D304"/>
      <c r="E304"/>
      <c r="F304"/>
      <c r="G304"/>
    </row>
    <row r="305" spans="4:7" x14ac:dyDescent="0.25">
      <c r="D305"/>
      <c r="E305"/>
      <c r="F305"/>
      <c r="G305"/>
    </row>
    <row r="306" spans="4:7" x14ac:dyDescent="0.25">
      <c r="D306"/>
      <c r="E306"/>
      <c r="F306"/>
      <c r="G306"/>
    </row>
    <row r="307" spans="4:7" x14ac:dyDescent="0.25">
      <c r="D307"/>
      <c r="E307"/>
      <c r="F307"/>
      <c r="G307"/>
    </row>
    <row r="308" spans="4:7" x14ac:dyDescent="0.25">
      <c r="D308"/>
      <c r="E308"/>
      <c r="F308"/>
      <c r="G308"/>
    </row>
    <row r="309" spans="4:7" x14ac:dyDescent="0.25">
      <c r="D309"/>
      <c r="E309"/>
      <c r="F309"/>
      <c r="G309"/>
    </row>
    <row r="310" spans="4:7" x14ac:dyDescent="0.25">
      <c r="D310"/>
      <c r="E310"/>
      <c r="F310"/>
      <c r="G310"/>
    </row>
    <row r="311" spans="4:7" x14ac:dyDescent="0.25">
      <c r="D311"/>
      <c r="E311"/>
      <c r="F311"/>
      <c r="G311"/>
    </row>
    <row r="312" spans="4:7" x14ac:dyDescent="0.25">
      <c r="D312"/>
      <c r="E312"/>
      <c r="F312"/>
      <c r="G312"/>
    </row>
    <row r="313" spans="4:7" x14ac:dyDescent="0.25">
      <c r="D313"/>
      <c r="E313"/>
      <c r="F313"/>
      <c r="G313"/>
    </row>
    <row r="314" spans="4:7" x14ac:dyDescent="0.25">
      <c r="D314"/>
      <c r="E314"/>
      <c r="F314"/>
      <c r="G314"/>
    </row>
    <row r="315" spans="4:7" x14ac:dyDescent="0.25">
      <c r="D315"/>
      <c r="E315"/>
      <c r="F315"/>
      <c r="G315"/>
    </row>
    <row r="316" spans="4:7" x14ac:dyDescent="0.25">
      <c r="D316"/>
      <c r="E316"/>
      <c r="F316"/>
      <c r="G316"/>
    </row>
    <row r="317" spans="4:7" x14ac:dyDescent="0.25">
      <c r="D317"/>
      <c r="E317"/>
      <c r="F317"/>
      <c r="G317"/>
    </row>
    <row r="318" spans="4:7" x14ac:dyDescent="0.25">
      <c r="D318"/>
      <c r="E318"/>
      <c r="F318"/>
      <c r="G318"/>
    </row>
    <row r="319" spans="4:7" x14ac:dyDescent="0.25">
      <c r="D319"/>
      <c r="E319"/>
      <c r="F319"/>
      <c r="G319"/>
    </row>
    <row r="320" spans="4:7" x14ac:dyDescent="0.25">
      <c r="D320"/>
      <c r="E320"/>
      <c r="F320"/>
      <c r="G320"/>
    </row>
    <row r="321" spans="4:7" x14ac:dyDescent="0.25">
      <c r="D321"/>
      <c r="E321"/>
      <c r="F321"/>
      <c r="G321"/>
    </row>
    <row r="322" spans="4:7" x14ac:dyDescent="0.25">
      <c r="D322"/>
      <c r="E322"/>
      <c r="F322"/>
      <c r="G322"/>
    </row>
    <row r="323" spans="4:7" x14ac:dyDescent="0.25">
      <c r="D323"/>
      <c r="E323"/>
      <c r="F323"/>
      <c r="G323"/>
    </row>
    <row r="324" spans="4:7" x14ac:dyDescent="0.25">
      <c r="D324"/>
      <c r="E324"/>
      <c r="F324"/>
      <c r="G324"/>
    </row>
    <row r="325" spans="4:7" x14ac:dyDescent="0.25">
      <c r="D325"/>
      <c r="E325"/>
      <c r="F325"/>
      <c r="G325"/>
    </row>
    <row r="326" spans="4:7" x14ac:dyDescent="0.25">
      <c r="D326"/>
      <c r="E326"/>
      <c r="F326"/>
      <c r="G326"/>
    </row>
    <row r="327" spans="4:7" x14ac:dyDescent="0.25">
      <c r="D327"/>
      <c r="E327"/>
      <c r="F327"/>
      <c r="G327"/>
    </row>
    <row r="328" spans="4:7" x14ac:dyDescent="0.25">
      <c r="D328"/>
      <c r="E328"/>
      <c r="F328"/>
      <c r="G328"/>
    </row>
    <row r="329" spans="4:7" x14ac:dyDescent="0.25">
      <c r="D329"/>
      <c r="E329"/>
      <c r="F329"/>
      <c r="G329"/>
    </row>
    <row r="330" spans="4:7" x14ac:dyDescent="0.25">
      <c r="D330"/>
      <c r="E330"/>
      <c r="F330"/>
      <c r="G330"/>
    </row>
    <row r="331" spans="4:7" x14ac:dyDescent="0.25">
      <c r="D331"/>
      <c r="E331"/>
      <c r="F331"/>
      <c r="G331"/>
    </row>
    <row r="332" spans="4:7" x14ac:dyDescent="0.25">
      <c r="D332"/>
      <c r="E332"/>
      <c r="F332"/>
      <c r="G332"/>
    </row>
    <row r="333" spans="4:7" x14ac:dyDescent="0.25">
      <c r="D333"/>
      <c r="E333"/>
      <c r="F333"/>
      <c r="G333"/>
    </row>
    <row r="334" spans="4:7" x14ac:dyDescent="0.25">
      <c r="D334"/>
      <c r="E334"/>
      <c r="F334"/>
      <c r="G334"/>
    </row>
    <row r="335" spans="4:7" x14ac:dyDescent="0.25">
      <c r="D335"/>
      <c r="E335"/>
      <c r="F335"/>
      <c r="G335"/>
    </row>
    <row r="336" spans="4:7" x14ac:dyDescent="0.25">
      <c r="D336"/>
      <c r="E336"/>
      <c r="F336"/>
      <c r="G336"/>
    </row>
    <row r="337" spans="4:7" x14ac:dyDescent="0.25">
      <c r="D337"/>
      <c r="E337"/>
      <c r="F337"/>
      <c r="G337"/>
    </row>
    <row r="338" spans="4:7" x14ac:dyDescent="0.25">
      <c r="D338"/>
      <c r="E338"/>
      <c r="F338"/>
      <c r="G338"/>
    </row>
    <row r="339" spans="4:7" x14ac:dyDescent="0.25">
      <c r="D339"/>
      <c r="E339"/>
      <c r="F339"/>
      <c r="G339"/>
    </row>
    <row r="340" spans="4:7" x14ac:dyDescent="0.25">
      <c r="D340"/>
      <c r="E340"/>
      <c r="F340"/>
      <c r="G340"/>
    </row>
    <row r="341" spans="4:7" x14ac:dyDescent="0.25">
      <c r="D341"/>
      <c r="E341"/>
      <c r="F341"/>
      <c r="G341"/>
    </row>
    <row r="342" spans="4:7" x14ac:dyDescent="0.25">
      <c r="D342"/>
      <c r="E342"/>
      <c r="F342"/>
      <c r="G342"/>
    </row>
    <row r="343" spans="4:7" x14ac:dyDescent="0.25">
      <c r="D343"/>
      <c r="E343"/>
      <c r="F343"/>
      <c r="G343"/>
    </row>
    <row r="344" spans="4:7" x14ac:dyDescent="0.25">
      <c r="D344"/>
      <c r="E344"/>
      <c r="F344"/>
      <c r="G344"/>
    </row>
    <row r="345" spans="4:7" x14ac:dyDescent="0.25">
      <c r="D345"/>
      <c r="E345"/>
      <c r="F345"/>
      <c r="G345"/>
    </row>
    <row r="346" spans="4:7" x14ac:dyDescent="0.25">
      <c r="D346"/>
      <c r="E346"/>
      <c r="F346"/>
      <c r="G346"/>
    </row>
    <row r="347" spans="4:7" x14ac:dyDescent="0.25">
      <c r="D347"/>
      <c r="E347"/>
      <c r="F347"/>
      <c r="G347"/>
    </row>
    <row r="348" spans="4:7" x14ac:dyDescent="0.25">
      <c r="D348"/>
      <c r="E348"/>
      <c r="F348"/>
      <c r="G348"/>
    </row>
    <row r="349" spans="4:7" x14ac:dyDescent="0.25">
      <c r="D349"/>
      <c r="E349"/>
      <c r="F349"/>
      <c r="G349"/>
    </row>
    <row r="350" spans="4:7" x14ac:dyDescent="0.25">
      <c r="D350"/>
      <c r="E350"/>
      <c r="F350"/>
      <c r="G350"/>
    </row>
    <row r="351" spans="4:7" x14ac:dyDescent="0.25">
      <c r="D351"/>
      <c r="E351"/>
      <c r="F351"/>
      <c r="G351"/>
    </row>
    <row r="352" spans="4:7" x14ac:dyDescent="0.25">
      <c r="D352"/>
      <c r="E352"/>
      <c r="F352"/>
      <c r="G352"/>
    </row>
    <row r="353" spans="4:7" x14ac:dyDescent="0.25">
      <c r="D353"/>
      <c r="E353"/>
      <c r="F353"/>
      <c r="G353"/>
    </row>
    <row r="354" spans="4:7" x14ac:dyDescent="0.25">
      <c r="D354"/>
      <c r="E354"/>
      <c r="F354"/>
      <c r="G354"/>
    </row>
    <row r="355" spans="4:7" x14ac:dyDescent="0.25">
      <c r="D355"/>
      <c r="E355"/>
      <c r="F355"/>
      <c r="G355"/>
    </row>
    <row r="356" spans="4:7" x14ac:dyDescent="0.25">
      <c r="D356"/>
      <c r="E356"/>
      <c r="F356"/>
      <c r="G356"/>
    </row>
    <row r="357" spans="4:7" x14ac:dyDescent="0.25">
      <c r="D357"/>
      <c r="E357"/>
      <c r="F357"/>
      <c r="G357"/>
    </row>
    <row r="358" spans="4:7" x14ac:dyDescent="0.25">
      <c r="D358"/>
      <c r="E358"/>
      <c r="F358"/>
      <c r="G358"/>
    </row>
    <row r="359" spans="4:7" x14ac:dyDescent="0.25">
      <c r="D359"/>
      <c r="E359"/>
      <c r="F359"/>
      <c r="G359"/>
    </row>
    <row r="360" spans="4:7" x14ac:dyDescent="0.25">
      <c r="D360"/>
      <c r="E360"/>
      <c r="F360"/>
      <c r="G360"/>
    </row>
    <row r="361" spans="4:7" x14ac:dyDescent="0.25">
      <c r="D361"/>
      <c r="E361"/>
      <c r="F361"/>
      <c r="G361"/>
    </row>
    <row r="362" spans="4:7" x14ac:dyDescent="0.25">
      <c r="D362"/>
      <c r="E362"/>
      <c r="F362"/>
      <c r="G362"/>
    </row>
    <row r="363" spans="4:7" x14ac:dyDescent="0.25">
      <c r="D363"/>
      <c r="E363"/>
      <c r="F363"/>
      <c r="G363"/>
    </row>
    <row r="364" spans="4:7" x14ac:dyDescent="0.25">
      <c r="D364"/>
      <c r="E364"/>
      <c r="F364"/>
      <c r="G364"/>
    </row>
    <row r="365" spans="4:7" x14ac:dyDescent="0.25">
      <c r="D365"/>
      <c r="E365"/>
      <c r="F365"/>
      <c r="G365"/>
    </row>
    <row r="366" spans="4:7" x14ac:dyDescent="0.25">
      <c r="D366"/>
      <c r="E366"/>
      <c r="F366"/>
      <c r="G366"/>
    </row>
    <row r="367" spans="4:7" x14ac:dyDescent="0.25">
      <c r="D367"/>
      <c r="E367"/>
      <c r="F367"/>
      <c r="G367"/>
    </row>
    <row r="368" spans="4:7" x14ac:dyDescent="0.25">
      <c r="D368"/>
      <c r="E368"/>
      <c r="F368"/>
      <c r="G368"/>
    </row>
    <row r="369" spans="4:7" x14ac:dyDescent="0.25">
      <c r="D369"/>
      <c r="E369"/>
      <c r="F369"/>
      <c r="G369"/>
    </row>
    <row r="370" spans="4:7" x14ac:dyDescent="0.25">
      <c r="D370"/>
      <c r="E370"/>
      <c r="F370"/>
      <c r="G370"/>
    </row>
    <row r="371" spans="4:7" x14ac:dyDescent="0.25">
      <c r="D371"/>
      <c r="E371"/>
      <c r="F371"/>
      <c r="G371"/>
    </row>
    <row r="372" spans="4:7" x14ac:dyDescent="0.25">
      <c r="D372"/>
      <c r="E372"/>
      <c r="F372"/>
      <c r="G372"/>
    </row>
    <row r="373" spans="4:7" x14ac:dyDescent="0.25">
      <c r="D373"/>
      <c r="E373"/>
      <c r="F373"/>
      <c r="G373"/>
    </row>
    <row r="374" spans="4:7" x14ac:dyDescent="0.25">
      <c r="D374"/>
      <c r="E374"/>
      <c r="F374"/>
      <c r="G374"/>
    </row>
    <row r="375" spans="4:7" x14ac:dyDescent="0.25">
      <c r="D375"/>
      <c r="E375"/>
      <c r="F375"/>
      <c r="G375"/>
    </row>
    <row r="376" spans="4:7" x14ac:dyDescent="0.25">
      <c r="D376"/>
      <c r="E376"/>
      <c r="F376"/>
      <c r="G376"/>
    </row>
    <row r="377" spans="4:7" x14ac:dyDescent="0.25">
      <c r="D377"/>
      <c r="E377"/>
      <c r="F377"/>
      <c r="G377"/>
    </row>
    <row r="378" spans="4:7" x14ac:dyDescent="0.25">
      <c r="D378"/>
      <c r="E378"/>
      <c r="F378"/>
      <c r="G378"/>
    </row>
    <row r="379" spans="4:7" x14ac:dyDescent="0.25">
      <c r="D379"/>
      <c r="E379"/>
      <c r="F379"/>
      <c r="G379"/>
    </row>
    <row r="380" spans="4:7" x14ac:dyDescent="0.25">
      <c r="D380"/>
      <c r="E380"/>
      <c r="F380"/>
      <c r="G380"/>
    </row>
    <row r="381" spans="4:7" x14ac:dyDescent="0.25">
      <c r="D381"/>
      <c r="E381"/>
      <c r="F381"/>
      <c r="G381"/>
    </row>
    <row r="382" spans="4:7" x14ac:dyDescent="0.25">
      <c r="D382"/>
      <c r="E382"/>
      <c r="F382"/>
      <c r="G382"/>
    </row>
    <row r="383" spans="4:7" x14ac:dyDescent="0.25">
      <c r="D383"/>
      <c r="E383"/>
      <c r="F383"/>
      <c r="G383"/>
    </row>
    <row r="384" spans="4:7" x14ac:dyDescent="0.25">
      <c r="D384"/>
      <c r="E384"/>
      <c r="F384"/>
      <c r="G384"/>
    </row>
    <row r="385" spans="4:7" x14ac:dyDescent="0.25">
      <c r="D385"/>
      <c r="E385"/>
      <c r="F385"/>
      <c r="G385"/>
    </row>
    <row r="386" spans="4:7" x14ac:dyDescent="0.25">
      <c r="D386"/>
      <c r="E386"/>
      <c r="F386"/>
      <c r="G386"/>
    </row>
    <row r="387" spans="4:7" x14ac:dyDescent="0.25">
      <c r="D387"/>
      <c r="E387"/>
      <c r="F387"/>
      <c r="G387"/>
    </row>
    <row r="388" spans="4:7" x14ac:dyDescent="0.25">
      <c r="D388"/>
      <c r="E388"/>
      <c r="F388"/>
      <c r="G388"/>
    </row>
    <row r="389" spans="4:7" x14ac:dyDescent="0.25">
      <c r="D389"/>
      <c r="E389"/>
      <c r="F389"/>
      <c r="G389"/>
    </row>
    <row r="390" spans="4:7" x14ac:dyDescent="0.25">
      <c r="D390"/>
      <c r="E390"/>
      <c r="F390"/>
      <c r="G390"/>
    </row>
    <row r="391" spans="4:7" x14ac:dyDescent="0.25">
      <c r="D391"/>
      <c r="E391"/>
      <c r="F391"/>
      <c r="G391"/>
    </row>
    <row r="392" spans="4:7" x14ac:dyDescent="0.25">
      <c r="D392"/>
      <c r="E392"/>
      <c r="F392"/>
      <c r="G392"/>
    </row>
    <row r="393" spans="4:7" x14ac:dyDescent="0.25">
      <c r="D393"/>
      <c r="E393"/>
      <c r="F393"/>
      <c r="G393"/>
    </row>
    <row r="394" spans="4:7" x14ac:dyDescent="0.25">
      <c r="D394"/>
      <c r="E394"/>
      <c r="F394"/>
      <c r="G394"/>
    </row>
    <row r="395" spans="4:7" x14ac:dyDescent="0.25">
      <c r="D395"/>
      <c r="E395"/>
      <c r="F395"/>
      <c r="G395"/>
    </row>
    <row r="396" spans="4:7" x14ac:dyDescent="0.25">
      <c r="D396"/>
      <c r="E396"/>
      <c r="F396"/>
      <c r="G396"/>
    </row>
    <row r="397" spans="4:7" x14ac:dyDescent="0.25">
      <c r="D397"/>
      <c r="E397"/>
      <c r="F397"/>
      <c r="G397"/>
    </row>
    <row r="398" spans="4:7" x14ac:dyDescent="0.25">
      <c r="D398"/>
      <c r="E398"/>
      <c r="F398"/>
      <c r="G398"/>
    </row>
    <row r="399" spans="4:7" x14ac:dyDescent="0.25">
      <c r="D399"/>
      <c r="E399"/>
      <c r="F399"/>
      <c r="G399"/>
    </row>
    <row r="400" spans="4:7" x14ac:dyDescent="0.25">
      <c r="D400"/>
      <c r="E400"/>
      <c r="F400"/>
      <c r="G400"/>
    </row>
    <row r="401" spans="4:7" x14ac:dyDescent="0.25">
      <c r="D401"/>
      <c r="E401"/>
      <c r="F401"/>
      <c r="G401"/>
    </row>
    <row r="402" spans="4:7" x14ac:dyDescent="0.25">
      <c r="D402"/>
      <c r="E402"/>
      <c r="F402"/>
      <c r="G402"/>
    </row>
    <row r="403" spans="4:7" x14ac:dyDescent="0.25">
      <c r="D403"/>
      <c r="E403"/>
      <c r="F403"/>
      <c r="G403"/>
    </row>
    <row r="404" spans="4:7" x14ac:dyDescent="0.25">
      <c r="D404"/>
      <c r="E404"/>
      <c r="F404"/>
      <c r="G404"/>
    </row>
    <row r="405" spans="4:7" x14ac:dyDescent="0.25">
      <c r="D405"/>
      <c r="E405"/>
      <c r="F405"/>
      <c r="G405"/>
    </row>
    <row r="406" spans="4:7" x14ac:dyDescent="0.25">
      <c r="D406"/>
      <c r="E406"/>
      <c r="F406"/>
      <c r="G406"/>
    </row>
    <row r="407" spans="4:7" x14ac:dyDescent="0.25">
      <c r="D407"/>
      <c r="E407"/>
      <c r="F407"/>
      <c r="G407"/>
    </row>
    <row r="408" spans="4:7" x14ac:dyDescent="0.25">
      <c r="D408"/>
      <c r="E408"/>
      <c r="F408"/>
      <c r="G408"/>
    </row>
    <row r="409" spans="4:7" x14ac:dyDescent="0.25">
      <c r="D409"/>
      <c r="E409"/>
      <c r="F409"/>
      <c r="G409"/>
    </row>
    <row r="410" spans="4:7" x14ac:dyDescent="0.25">
      <c r="D410"/>
      <c r="E410"/>
      <c r="F410"/>
      <c r="G410"/>
    </row>
    <row r="411" spans="4:7" x14ac:dyDescent="0.25">
      <c r="D411"/>
      <c r="E411"/>
      <c r="F411"/>
      <c r="G411"/>
    </row>
    <row r="412" spans="4:7" x14ac:dyDescent="0.25">
      <c r="D412"/>
      <c r="E412"/>
      <c r="F412"/>
      <c r="G412"/>
    </row>
    <row r="413" spans="4:7" x14ac:dyDescent="0.25">
      <c r="D413"/>
      <c r="E413"/>
      <c r="F413"/>
      <c r="G413"/>
    </row>
    <row r="414" spans="4:7" x14ac:dyDescent="0.25">
      <c r="D414"/>
      <c r="E414"/>
      <c r="F414"/>
      <c r="G414"/>
    </row>
    <row r="415" spans="4:7" x14ac:dyDescent="0.25">
      <c r="D415"/>
      <c r="E415"/>
      <c r="F415"/>
      <c r="G415"/>
    </row>
    <row r="416" spans="4:7" x14ac:dyDescent="0.25">
      <c r="D416"/>
      <c r="E416"/>
      <c r="F416"/>
      <c r="G416"/>
    </row>
    <row r="417" spans="4:7" x14ac:dyDescent="0.25">
      <c r="D417"/>
      <c r="E417"/>
      <c r="F417"/>
      <c r="G417"/>
    </row>
    <row r="418" spans="4:7" x14ac:dyDescent="0.25">
      <c r="D418"/>
      <c r="E418"/>
      <c r="F418"/>
      <c r="G418"/>
    </row>
    <row r="419" spans="4:7" x14ac:dyDescent="0.25">
      <c r="D419"/>
      <c r="E419"/>
      <c r="F419"/>
      <c r="G419"/>
    </row>
    <row r="420" spans="4:7" x14ac:dyDescent="0.25">
      <c r="D420"/>
      <c r="E420"/>
      <c r="F420"/>
      <c r="G420"/>
    </row>
    <row r="421" spans="4:7" x14ac:dyDescent="0.25">
      <c r="D421"/>
      <c r="E421"/>
      <c r="F421"/>
      <c r="G421"/>
    </row>
    <row r="422" spans="4:7" x14ac:dyDescent="0.25">
      <c r="D422"/>
      <c r="E422"/>
      <c r="F422"/>
      <c r="G422"/>
    </row>
    <row r="423" spans="4:7" x14ac:dyDescent="0.25">
      <c r="D423"/>
      <c r="E423"/>
      <c r="F423"/>
      <c r="G423"/>
    </row>
    <row r="424" spans="4:7" x14ac:dyDescent="0.25">
      <c r="D424"/>
      <c r="E424"/>
      <c r="F424"/>
      <c r="G424"/>
    </row>
    <row r="425" spans="4:7" x14ac:dyDescent="0.25">
      <c r="D425"/>
      <c r="E425"/>
      <c r="F425"/>
      <c r="G425"/>
    </row>
    <row r="426" spans="4:7" x14ac:dyDescent="0.25">
      <c r="D426"/>
      <c r="E426"/>
      <c r="F426"/>
      <c r="G426"/>
    </row>
    <row r="427" spans="4:7" x14ac:dyDescent="0.25">
      <c r="D427"/>
      <c r="E427"/>
      <c r="F427"/>
      <c r="G427"/>
    </row>
    <row r="428" spans="4:7" x14ac:dyDescent="0.25">
      <c r="D428"/>
      <c r="E428"/>
      <c r="F428"/>
      <c r="G428"/>
    </row>
    <row r="429" spans="4:7" x14ac:dyDescent="0.25">
      <c r="D429"/>
      <c r="E429"/>
      <c r="F429"/>
      <c r="G429"/>
    </row>
    <row r="430" spans="4:7" x14ac:dyDescent="0.25">
      <c r="D430"/>
      <c r="E430"/>
      <c r="F430"/>
      <c r="G430"/>
    </row>
    <row r="431" spans="4:7" x14ac:dyDescent="0.25">
      <c r="D431"/>
      <c r="E431"/>
      <c r="F431"/>
      <c r="G431"/>
    </row>
    <row r="432" spans="4:7" x14ac:dyDescent="0.25">
      <c r="D432"/>
      <c r="E432"/>
      <c r="F432"/>
      <c r="G432"/>
    </row>
    <row r="433" spans="4:7" x14ac:dyDescent="0.25">
      <c r="D433"/>
      <c r="E433"/>
      <c r="F433"/>
      <c r="G433"/>
    </row>
    <row r="434" spans="4:7" x14ac:dyDescent="0.25">
      <c r="D434"/>
      <c r="E434"/>
      <c r="F434"/>
      <c r="G434"/>
    </row>
    <row r="435" spans="4:7" x14ac:dyDescent="0.25">
      <c r="D435"/>
      <c r="E435"/>
      <c r="F435"/>
      <c r="G435"/>
    </row>
    <row r="436" spans="4:7" x14ac:dyDescent="0.25">
      <c r="D436"/>
      <c r="E436"/>
      <c r="F436"/>
      <c r="G436"/>
    </row>
    <row r="437" spans="4:7" x14ac:dyDescent="0.25">
      <c r="D437"/>
      <c r="E437"/>
      <c r="F437"/>
      <c r="G437"/>
    </row>
    <row r="438" spans="4:7" x14ac:dyDescent="0.25">
      <c r="D438"/>
      <c r="E438"/>
      <c r="F438"/>
      <c r="G438"/>
    </row>
    <row r="439" spans="4:7" x14ac:dyDescent="0.25">
      <c r="D439"/>
      <c r="E439"/>
      <c r="F439"/>
      <c r="G439"/>
    </row>
    <row r="440" spans="4:7" x14ac:dyDescent="0.25">
      <c r="D440"/>
      <c r="E440"/>
      <c r="F440"/>
      <c r="G440"/>
    </row>
    <row r="441" spans="4:7" x14ac:dyDescent="0.25">
      <c r="D441"/>
      <c r="E441"/>
      <c r="F441"/>
      <c r="G441"/>
    </row>
    <row r="442" spans="4:7" x14ac:dyDescent="0.25">
      <c r="D442"/>
      <c r="E442"/>
      <c r="F442"/>
      <c r="G442"/>
    </row>
    <row r="443" spans="4:7" x14ac:dyDescent="0.25">
      <c r="D443"/>
      <c r="E443"/>
      <c r="F443"/>
      <c r="G443"/>
    </row>
    <row r="444" spans="4:7" x14ac:dyDescent="0.25">
      <c r="D444"/>
      <c r="E444"/>
      <c r="F444"/>
      <c r="G444"/>
    </row>
    <row r="445" spans="4:7" x14ac:dyDescent="0.25">
      <c r="D445"/>
      <c r="E445"/>
      <c r="F445"/>
      <c r="G445"/>
    </row>
    <row r="446" spans="4:7" x14ac:dyDescent="0.25">
      <c r="D446"/>
      <c r="E446"/>
      <c r="F446"/>
      <c r="G446"/>
    </row>
    <row r="447" spans="4:7" x14ac:dyDescent="0.25">
      <c r="D447"/>
      <c r="E447"/>
      <c r="F447"/>
      <c r="G447"/>
    </row>
    <row r="448" spans="4:7" x14ac:dyDescent="0.25">
      <c r="D448"/>
      <c r="E448"/>
      <c r="F448"/>
      <c r="G448"/>
    </row>
    <row r="449" spans="4:7" x14ac:dyDescent="0.25">
      <c r="D449"/>
      <c r="E449"/>
      <c r="F449"/>
      <c r="G449"/>
    </row>
    <row r="450" spans="4:7" x14ac:dyDescent="0.25">
      <c r="D450"/>
      <c r="E450"/>
      <c r="F450"/>
      <c r="G450"/>
    </row>
    <row r="451" spans="4:7" x14ac:dyDescent="0.25">
      <c r="D451"/>
      <c r="E451"/>
      <c r="F451"/>
      <c r="G451"/>
    </row>
    <row r="452" spans="4:7" x14ac:dyDescent="0.25">
      <c r="D452"/>
      <c r="E452"/>
      <c r="F452"/>
      <c r="G452"/>
    </row>
    <row r="453" spans="4:7" x14ac:dyDescent="0.25">
      <c r="D453"/>
      <c r="E453"/>
      <c r="F453"/>
      <c r="G453"/>
    </row>
    <row r="454" spans="4:7" x14ac:dyDescent="0.25">
      <c r="D454"/>
      <c r="E454"/>
      <c r="F454"/>
      <c r="G454"/>
    </row>
    <row r="455" spans="4:7" x14ac:dyDescent="0.25">
      <c r="D455"/>
      <c r="E455"/>
      <c r="F455"/>
      <c r="G455"/>
    </row>
    <row r="456" spans="4:7" x14ac:dyDescent="0.25">
      <c r="D456"/>
      <c r="E456"/>
      <c r="F456"/>
      <c r="G456"/>
    </row>
    <row r="457" spans="4:7" x14ac:dyDescent="0.25">
      <c r="D457"/>
      <c r="E457"/>
      <c r="F457"/>
      <c r="G457"/>
    </row>
    <row r="458" spans="4:7" x14ac:dyDescent="0.25">
      <c r="D458"/>
      <c r="E458"/>
      <c r="F458"/>
      <c r="G458"/>
    </row>
    <row r="459" spans="4:7" x14ac:dyDescent="0.25">
      <c r="D459"/>
      <c r="E459"/>
      <c r="F459"/>
      <c r="G459"/>
    </row>
    <row r="460" spans="4:7" x14ac:dyDescent="0.25">
      <c r="D460"/>
      <c r="E460"/>
      <c r="F460"/>
      <c r="G460"/>
    </row>
    <row r="461" spans="4:7" x14ac:dyDescent="0.25">
      <c r="D461"/>
      <c r="E461"/>
      <c r="F461"/>
      <c r="G461"/>
    </row>
    <row r="462" spans="4:7" x14ac:dyDescent="0.25">
      <c r="D462"/>
      <c r="E462"/>
      <c r="F462"/>
      <c r="G462"/>
    </row>
    <row r="463" spans="4:7" x14ac:dyDescent="0.25">
      <c r="D463"/>
      <c r="E463"/>
      <c r="F463"/>
      <c r="G463"/>
    </row>
    <row r="464" spans="4:7" x14ac:dyDescent="0.25">
      <c r="D464"/>
      <c r="E464"/>
      <c r="F464"/>
      <c r="G464"/>
    </row>
    <row r="465" spans="4:7" x14ac:dyDescent="0.25">
      <c r="D465"/>
      <c r="E465"/>
      <c r="F465"/>
      <c r="G465"/>
    </row>
    <row r="466" spans="4:7" x14ac:dyDescent="0.25">
      <c r="D466"/>
      <c r="E466"/>
      <c r="F466"/>
      <c r="G466"/>
    </row>
    <row r="467" spans="4:7" x14ac:dyDescent="0.25">
      <c r="D467"/>
      <c r="E467"/>
      <c r="F467"/>
      <c r="G467"/>
    </row>
    <row r="468" spans="4:7" x14ac:dyDescent="0.25">
      <c r="D468"/>
      <c r="E468"/>
      <c r="F468"/>
      <c r="G468"/>
    </row>
    <row r="469" spans="4:7" x14ac:dyDescent="0.25">
      <c r="D469"/>
      <c r="E469"/>
      <c r="F469"/>
      <c r="G469"/>
    </row>
    <row r="470" spans="4:7" x14ac:dyDescent="0.25">
      <c r="D470"/>
      <c r="E470"/>
      <c r="F470"/>
      <c r="G470"/>
    </row>
    <row r="471" spans="4:7" x14ac:dyDescent="0.25">
      <c r="D471"/>
      <c r="E471"/>
      <c r="F471"/>
      <c r="G471"/>
    </row>
    <row r="472" spans="4:7" x14ac:dyDescent="0.25">
      <c r="D472"/>
      <c r="E472"/>
      <c r="F472"/>
      <c r="G472"/>
    </row>
    <row r="473" spans="4:7" x14ac:dyDescent="0.25">
      <c r="D473"/>
      <c r="E473"/>
      <c r="F473"/>
      <c r="G473"/>
    </row>
    <row r="474" spans="4:7" x14ac:dyDescent="0.25">
      <c r="D474"/>
      <c r="E474"/>
      <c r="F474"/>
      <c r="G474"/>
    </row>
    <row r="475" spans="4:7" x14ac:dyDescent="0.25">
      <c r="D475"/>
      <c r="E475"/>
      <c r="F475"/>
      <c r="G475"/>
    </row>
    <row r="476" spans="4:7" x14ac:dyDescent="0.25">
      <c r="D476"/>
      <c r="E476"/>
      <c r="F476"/>
      <c r="G476"/>
    </row>
    <row r="477" spans="4:7" x14ac:dyDescent="0.25">
      <c r="D477"/>
      <c r="E477"/>
      <c r="F477"/>
      <c r="G477"/>
    </row>
    <row r="478" spans="4:7" x14ac:dyDescent="0.25">
      <c r="D478"/>
      <c r="E478"/>
      <c r="F478"/>
      <c r="G478"/>
    </row>
    <row r="479" spans="4:7" x14ac:dyDescent="0.25">
      <c r="D479"/>
      <c r="E479"/>
      <c r="F479"/>
      <c r="G479"/>
    </row>
    <row r="480" spans="4:7" x14ac:dyDescent="0.25">
      <c r="D480"/>
      <c r="E480"/>
      <c r="F480"/>
      <c r="G480"/>
    </row>
    <row r="481" spans="4:7" x14ac:dyDescent="0.25">
      <c r="D481"/>
      <c r="E481"/>
      <c r="F481"/>
      <c r="G481"/>
    </row>
    <row r="482" spans="4:7" x14ac:dyDescent="0.25">
      <c r="D482"/>
      <c r="E482"/>
      <c r="F482"/>
      <c r="G482"/>
    </row>
    <row r="483" spans="4:7" x14ac:dyDescent="0.25">
      <c r="D483"/>
      <c r="E483"/>
      <c r="F483"/>
      <c r="G483"/>
    </row>
    <row r="484" spans="4:7" x14ac:dyDescent="0.25">
      <c r="D484"/>
      <c r="E484"/>
      <c r="F484"/>
      <c r="G484"/>
    </row>
    <row r="485" spans="4:7" x14ac:dyDescent="0.25">
      <c r="D485"/>
      <c r="E485"/>
      <c r="F485"/>
      <c r="G485"/>
    </row>
    <row r="486" spans="4:7" x14ac:dyDescent="0.25">
      <c r="D486"/>
      <c r="E486"/>
      <c r="F486"/>
      <c r="G486"/>
    </row>
    <row r="487" spans="4:7" x14ac:dyDescent="0.25">
      <c r="D487"/>
      <c r="E487"/>
      <c r="F487"/>
      <c r="G487"/>
    </row>
    <row r="488" spans="4:7" x14ac:dyDescent="0.25">
      <c r="D488"/>
      <c r="E488"/>
      <c r="F488"/>
      <c r="G488"/>
    </row>
    <row r="489" spans="4:7" x14ac:dyDescent="0.25">
      <c r="D489"/>
      <c r="E489"/>
      <c r="F489"/>
      <c r="G489"/>
    </row>
    <row r="490" spans="4:7" x14ac:dyDescent="0.25">
      <c r="D490"/>
      <c r="E490"/>
      <c r="F490"/>
      <c r="G490"/>
    </row>
    <row r="491" spans="4:7" x14ac:dyDescent="0.25">
      <c r="D491"/>
      <c r="E491"/>
      <c r="F491"/>
      <c r="G491"/>
    </row>
    <row r="492" spans="4:7" x14ac:dyDescent="0.25">
      <c r="D492"/>
      <c r="E492"/>
      <c r="F492"/>
      <c r="G492"/>
    </row>
    <row r="493" spans="4:7" x14ac:dyDescent="0.25">
      <c r="D493"/>
      <c r="E493"/>
      <c r="F493"/>
      <c r="G493"/>
    </row>
    <row r="494" spans="4:7" x14ac:dyDescent="0.25">
      <c r="D494"/>
      <c r="E494"/>
      <c r="F494"/>
      <c r="G494"/>
    </row>
    <row r="495" spans="4:7" x14ac:dyDescent="0.25">
      <c r="D495"/>
      <c r="E495"/>
      <c r="F495"/>
      <c r="G495"/>
    </row>
    <row r="496" spans="4:7" x14ac:dyDescent="0.25">
      <c r="D496"/>
      <c r="E496"/>
      <c r="F496"/>
      <c r="G496"/>
    </row>
    <row r="497" spans="4:7" x14ac:dyDescent="0.25">
      <c r="D497"/>
      <c r="E497"/>
      <c r="F497"/>
      <c r="G497"/>
    </row>
    <row r="498" spans="4:7" x14ac:dyDescent="0.25">
      <c r="D498"/>
      <c r="E498"/>
      <c r="F498"/>
      <c r="G498"/>
    </row>
    <row r="499" spans="4:7" x14ac:dyDescent="0.25">
      <c r="D499"/>
      <c r="E499"/>
      <c r="F499"/>
      <c r="G499"/>
    </row>
    <row r="500" spans="4:7" x14ac:dyDescent="0.25">
      <c r="D500"/>
      <c r="E500"/>
      <c r="F500"/>
      <c r="G500"/>
    </row>
    <row r="501" spans="4:7" x14ac:dyDescent="0.25">
      <c r="D501"/>
      <c r="E501"/>
      <c r="F501"/>
      <c r="G501"/>
    </row>
    <row r="502" spans="4:7" x14ac:dyDescent="0.25">
      <c r="D502"/>
      <c r="E502"/>
      <c r="F502"/>
      <c r="G502"/>
    </row>
    <row r="503" spans="4:7" x14ac:dyDescent="0.25">
      <c r="D503"/>
      <c r="E503"/>
      <c r="F503"/>
      <c r="G503"/>
    </row>
    <row r="504" spans="4:7" x14ac:dyDescent="0.25">
      <c r="D504"/>
      <c r="E504"/>
      <c r="F504"/>
      <c r="G504"/>
    </row>
    <row r="505" spans="4:7" x14ac:dyDescent="0.25">
      <c r="D505"/>
      <c r="E505"/>
      <c r="F505"/>
      <c r="G505"/>
    </row>
    <row r="506" spans="4:7" x14ac:dyDescent="0.25">
      <c r="D506"/>
      <c r="E506"/>
      <c r="F506"/>
      <c r="G506"/>
    </row>
    <row r="507" spans="4:7" x14ac:dyDescent="0.25">
      <c r="D507"/>
      <c r="E507"/>
      <c r="F507"/>
      <c r="G507"/>
    </row>
    <row r="508" spans="4:7" x14ac:dyDescent="0.25">
      <c r="D508"/>
      <c r="E508"/>
      <c r="F508"/>
      <c r="G508"/>
    </row>
    <row r="509" spans="4:7" x14ac:dyDescent="0.25">
      <c r="D509"/>
      <c r="E509"/>
      <c r="F509"/>
      <c r="G509"/>
    </row>
    <row r="510" spans="4:7" x14ac:dyDescent="0.25">
      <c r="D510"/>
      <c r="E510"/>
      <c r="F510"/>
      <c r="G510"/>
    </row>
    <row r="511" spans="4:7" x14ac:dyDescent="0.25">
      <c r="D511"/>
      <c r="E511"/>
      <c r="F511"/>
      <c r="G511"/>
    </row>
    <row r="512" spans="4:7" x14ac:dyDescent="0.25">
      <c r="D512"/>
      <c r="E512"/>
      <c r="F512"/>
      <c r="G512"/>
    </row>
    <row r="513" spans="4:7" x14ac:dyDescent="0.25">
      <c r="D513"/>
      <c r="E513"/>
      <c r="F513"/>
      <c r="G513"/>
    </row>
    <row r="514" spans="4:7" x14ac:dyDescent="0.25">
      <c r="D514"/>
      <c r="E514"/>
      <c r="F514"/>
      <c r="G514"/>
    </row>
    <row r="515" spans="4:7" x14ac:dyDescent="0.25">
      <c r="D515"/>
      <c r="E515"/>
      <c r="F515"/>
      <c r="G515"/>
    </row>
    <row r="516" spans="4:7" x14ac:dyDescent="0.25">
      <c r="D516"/>
      <c r="E516"/>
      <c r="F516"/>
      <c r="G516"/>
    </row>
    <row r="517" spans="4:7" x14ac:dyDescent="0.25">
      <c r="D517"/>
      <c r="E517"/>
      <c r="F517"/>
      <c r="G517"/>
    </row>
    <row r="518" spans="4:7" x14ac:dyDescent="0.25">
      <c r="D518"/>
      <c r="E518"/>
      <c r="F518"/>
      <c r="G518"/>
    </row>
    <row r="519" spans="4:7" x14ac:dyDescent="0.25">
      <c r="D519"/>
      <c r="E519"/>
      <c r="F519"/>
      <c r="G519"/>
    </row>
    <row r="520" spans="4:7" x14ac:dyDescent="0.25">
      <c r="D520"/>
      <c r="E520"/>
      <c r="F520"/>
      <c r="G520"/>
    </row>
    <row r="521" spans="4:7" x14ac:dyDescent="0.25">
      <c r="D521"/>
      <c r="E521"/>
      <c r="F521"/>
      <c r="G521"/>
    </row>
    <row r="522" spans="4:7" x14ac:dyDescent="0.25">
      <c r="D522"/>
      <c r="E522"/>
      <c r="F522"/>
      <c r="G522"/>
    </row>
    <row r="523" spans="4:7" x14ac:dyDescent="0.25">
      <c r="D523"/>
      <c r="E523"/>
      <c r="F523"/>
      <c r="G523"/>
    </row>
    <row r="524" spans="4:7" x14ac:dyDescent="0.25">
      <c r="D524"/>
      <c r="E524"/>
      <c r="F524"/>
      <c r="G524"/>
    </row>
    <row r="525" spans="4:7" x14ac:dyDescent="0.25">
      <c r="D525"/>
      <c r="E525"/>
      <c r="F525"/>
      <c r="G525"/>
    </row>
    <row r="526" spans="4:7" x14ac:dyDescent="0.25">
      <c r="D526"/>
      <c r="E526"/>
      <c r="F526"/>
      <c r="G526"/>
    </row>
    <row r="527" spans="4:7" x14ac:dyDescent="0.25">
      <c r="D527"/>
      <c r="E527"/>
      <c r="F527"/>
      <c r="G527"/>
    </row>
    <row r="528" spans="4:7" x14ac:dyDescent="0.25">
      <c r="D528"/>
      <c r="E528"/>
      <c r="F528"/>
      <c r="G528"/>
    </row>
    <row r="529" spans="4:7" x14ac:dyDescent="0.25">
      <c r="D529"/>
      <c r="E529"/>
      <c r="F529"/>
      <c r="G529"/>
    </row>
    <row r="530" spans="4:7" x14ac:dyDescent="0.25">
      <c r="D530"/>
      <c r="E530"/>
      <c r="F530"/>
      <c r="G530"/>
    </row>
    <row r="531" spans="4:7" x14ac:dyDescent="0.25">
      <c r="D531"/>
      <c r="E531"/>
      <c r="F531"/>
      <c r="G531"/>
    </row>
    <row r="532" spans="4:7" x14ac:dyDescent="0.25">
      <c r="D532"/>
      <c r="E532"/>
      <c r="F532"/>
      <c r="G532"/>
    </row>
    <row r="533" spans="4:7" x14ac:dyDescent="0.25">
      <c r="D533"/>
      <c r="E533"/>
      <c r="F533"/>
      <c r="G533"/>
    </row>
    <row r="534" spans="4:7" x14ac:dyDescent="0.25">
      <c r="D534"/>
      <c r="E534"/>
      <c r="F534"/>
      <c r="G534"/>
    </row>
    <row r="535" spans="4:7" x14ac:dyDescent="0.25">
      <c r="D535"/>
      <c r="E535"/>
      <c r="F535"/>
      <c r="G535"/>
    </row>
    <row r="536" spans="4:7" x14ac:dyDescent="0.25">
      <c r="D536"/>
      <c r="E536"/>
      <c r="F536"/>
      <c r="G536"/>
    </row>
    <row r="537" spans="4:7" x14ac:dyDescent="0.25">
      <c r="D537"/>
      <c r="E537"/>
      <c r="F537"/>
      <c r="G537"/>
    </row>
    <row r="538" spans="4:7" x14ac:dyDescent="0.25">
      <c r="D538"/>
      <c r="E538"/>
      <c r="F538"/>
      <c r="G538"/>
    </row>
    <row r="539" spans="4:7" x14ac:dyDescent="0.25">
      <c r="D539"/>
      <c r="E539"/>
      <c r="F539"/>
      <c r="G539"/>
    </row>
    <row r="540" spans="4:7" x14ac:dyDescent="0.25">
      <c r="D540"/>
      <c r="E540"/>
      <c r="F540"/>
      <c r="G540"/>
    </row>
    <row r="541" spans="4:7" x14ac:dyDescent="0.25">
      <c r="D541"/>
      <c r="E541"/>
      <c r="F541"/>
      <c r="G541"/>
    </row>
    <row r="542" spans="4:7" x14ac:dyDescent="0.25">
      <c r="D542"/>
      <c r="E542"/>
      <c r="F542"/>
      <c r="G542"/>
    </row>
    <row r="543" spans="4:7" x14ac:dyDescent="0.25">
      <c r="D543"/>
      <c r="E543"/>
      <c r="F543"/>
      <c r="G543"/>
    </row>
    <row r="544" spans="4:7" x14ac:dyDescent="0.25">
      <c r="D544"/>
      <c r="E544"/>
      <c r="F544"/>
      <c r="G544"/>
    </row>
    <row r="545" spans="4:7" x14ac:dyDescent="0.25">
      <c r="D545"/>
      <c r="E545"/>
      <c r="F545"/>
      <c r="G545"/>
    </row>
    <row r="546" spans="4:7" x14ac:dyDescent="0.25">
      <c r="D546"/>
      <c r="E546"/>
      <c r="F546"/>
      <c r="G546"/>
    </row>
    <row r="547" spans="4:7" x14ac:dyDescent="0.25">
      <c r="D547"/>
      <c r="E547"/>
      <c r="F547"/>
      <c r="G547"/>
    </row>
    <row r="548" spans="4:7" x14ac:dyDescent="0.25">
      <c r="D548"/>
      <c r="E548"/>
      <c r="F548"/>
      <c r="G548"/>
    </row>
    <row r="549" spans="4:7" x14ac:dyDescent="0.25">
      <c r="D549"/>
      <c r="E549"/>
      <c r="F549"/>
      <c r="G549"/>
    </row>
    <row r="550" spans="4:7" x14ac:dyDescent="0.25">
      <c r="D550"/>
      <c r="E550"/>
      <c r="F550"/>
      <c r="G550"/>
    </row>
    <row r="551" spans="4:7" x14ac:dyDescent="0.25">
      <c r="D551"/>
      <c r="E551"/>
      <c r="F551"/>
      <c r="G551"/>
    </row>
    <row r="552" spans="4:7" x14ac:dyDescent="0.25">
      <c r="D552"/>
      <c r="E552"/>
      <c r="F552"/>
      <c r="G552"/>
    </row>
    <row r="553" spans="4:7" x14ac:dyDescent="0.25">
      <c r="D553"/>
      <c r="E553"/>
      <c r="F553"/>
      <c r="G553"/>
    </row>
    <row r="554" spans="4:7" x14ac:dyDescent="0.25">
      <c r="D554"/>
      <c r="E554"/>
      <c r="F554"/>
      <c r="G554"/>
    </row>
    <row r="555" spans="4:7" x14ac:dyDescent="0.25">
      <c r="D555"/>
      <c r="E555"/>
      <c r="F555"/>
      <c r="G555"/>
    </row>
    <row r="556" spans="4:7" x14ac:dyDescent="0.25">
      <c r="D556"/>
      <c r="E556"/>
      <c r="F556"/>
      <c r="G556"/>
    </row>
    <row r="557" spans="4:7" x14ac:dyDescent="0.25">
      <c r="D557"/>
      <c r="E557"/>
      <c r="F557"/>
      <c r="G557"/>
    </row>
    <row r="558" spans="4:7" x14ac:dyDescent="0.25">
      <c r="D558"/>
      <c r="E558"/>
      <c r="F558"/>
      <c r="G558"/>
    </row>
    <row r="559" spans="4:7" x14ac:dyDescent="0.25">
      <c r="D559"/>
      <c r="E559"/>
      <c r="F559"/>
      <c r="G559"/>
    </row>
    <row r="560" spans="4:7" x14ac:dyDescent="0.25">
      <c r="D560"/>
      <c r="E560"/>
      <c r="F560"/>
      <c r="G560"/>
    </row>
    <row r="561" spans="4:7" x14ac:dyDescent="0.25">
      <c r="D561"/>
      <c r="E561"/>
      <c r="F561"/>
      <c r="G561"/>
    </row>
    <row r="562" spans="4:7" x14ac:dyDescent="0.25">
      <c r="D562"/>
      <c r="E562"/>
      <c r="F562"/>
      <c r="G562"/>
    </row>
    <row r="563" spans="4:7" x14ac:dyDescent="0.25">
      <c r="D563"/>
      <c r="E563"/>
      <c r="F563"/>
      <c r="G563"/>
    </row>
    <row r="564" spans="4:7" x14ac:dyDescent="0.25">
      <c r="D564"/>
      <c r="E564"/>
      <c r="F564"/>
      <c r="G564"/>
    </row>
    <row r="565" spans="4:7" x14ac:dyDescent="0.25">
      <c r="D565"/>
      <c r="E565"/>
      <c r="F565"/>
      <c r="G565"/>
    </row>
    <row r="566" spans="4:7" x14ac:dyDescent="0.25">
      <c r="D566"/>
      <c r="E566"/>
      <c r="F566"/>
      <c r="G566"/>
    </row>
    <row r="567" spans="4:7" x14ac:dyDescent="0.25">
      <c r="D567"/>
      <c r="E567"/>
      <c r="F567"/>
      <c r="G567"/>
    </row>
    <row r="568" spans="4:7" x14ac:dyDescent="0.25">
      <c r="D568"/>
      <c r="E568"/>
      <c r="F568"/>
      <c r="G568"/>
    </row>
    <row r="569" spans="4:7" x14ac:dyDescent="0.25">
      <c r="D569"/>
      <c r="E569"/>
      <c r="F569"/>
      <c r="G569"/>
    </row>
    <row r="570" spans="4:7" x14ac:dyDescent="0.25">
      <c r="D570"/>
      <c r="E570"/>
      <c r="F570"/>
      <c r="G570"/>
    </row>
    <row r="571" spans="4:7" x14ac:dyDescent="0.25">
      <c r="D571"/>
      <c r="E571"/>
      <c r="F571"/>
      <c r="G571"/>
    </row>
    <row r="572" spans="4:7" x14ac:dyDescent="0.25">
      <c r="D572"/>
      <c r="E572"/>
      <c r="F572"/>
      <c r="G572"/>
    </row>
    <row r="573" spans="4:7" x14ac:dyDescent="0.25">
      <c r="D573"/>
      <c r="E573"/>
      <c r="F573"/>
      <c r="G573"/>
    </row>
    <row r="574" spans="4:7" x14ac:dyDescent="0.25">
      <c r="D574"/>
      <c r="E574"/>
      <c r="F574"/>
      <c r="G574"/>
    </row>
    <row r="575" spans="4:7" x14ac:dyDescent="0.25">
      <c r="D575"/>
      <c r="E575"/>
      <c r="F575"/>
      <c r="G575"/>
    </row>
    <row r="576" spans="4:7" x14ac:dyDescent="0.25">
      <c r="D576"/>
      <c r="E576"/>
      <c r="F576"/>
      <c r="G576"/>
    </row>
    <row r="577" spans="4:7" x14ac:dyDescent="0.25">
      <c r="D577"/>
      <c r="E577"/>
      <c r="F577"/>
      <c r="G577"/>
    </row>
    <row r="578" spans="4:7" x14ac:dyDescent="0.25">
      <c r="D578"/>
      <c r="E578"/>
      <c r="F578"/>
      <c r="G578"/>
    </row>
    <row r="579" spans="4:7" x14ac:dyDescent="0.25">
      <c r="D579"/>
      <c r="E579"/>
      <c r="F579"/>
      <c r="G579"/>
    </row>
    <row r="580" spans="4:7" x14ac:dyDescent="0.25">
      <c r="D580"/>
      <c r="E580"/>
      <c r="F580"/>
      <c r="G580"/>
    </row>
    <row r="581" spans="4:7" x14ac:dyDescent="0.25">
      <c r="D581"/>
      <c r="E581"/>
      <c r="F581"/>
      <c r="G581"/>
    </row>
    <row r="582" spans="4:7" x14ac:dyDescent="0.25">
      <c r="D582"/>
      <c r="E582"/>
      <c r="F582"/>
      <c r="G582"/>
    </row>
    <row r="583" spans="4:7" x14ac:dyDescent="0.25">
      <c r="D583"/>
      <c r="E583"/>
      <c r="F583"/>
      <c r="G583"/>
    </row>
    <row r="584" spans="4:7" x14ac:dyDescent="0.25">
      <c r="D584"/>
      <c r="E584"/>
      <c r="F584"/>
      <c r="G584"/>
    </row>
    <row r="585" spans="4:7" x14ac:dyDescent="0.25">
      <c r="D585"/>
      <c r="E585"/>
      <c r="F585"/>
      <c r="G585"/>
    </row>
    <row r="586" spans="4:7" x14ac:dyDescent="0.25">
      <c r="D586"/>
      <c r="E586"/>
      <c r="F586"/>
      <c r="G586"/>
    </row>
    <row r="587" spans="4:7" x14ac:dyDescent="0.25">
      <c r="D587"/>
      <c r="E587"/>
      <c r="F587"/>
      <c r="G587"/>
    </row>
    <row r="588" spans="4:7" x14ac:dyDescent="0.25">
      <c r="D588"/>
      <c r="E588"/>
      <c r="F588"/>
      <c r="G588"/>
    </row>
    <row r="589" spans="4:7" x14ac:dyDescent="0.25">
      <c r="D589"/>
      <c r="E589"/>
      <c r="F589"/>
      <c r="G589"/>
    </row>
    <row r="590" spans="4:7" x14ac:dyDescent="0.25">
      <c r="D590"/>
      <c r="E590"/>
      <c r="F590"/>
      <c r="G590"/>
    </row>
    <row r="591" spans="4:7" x14ac:dyDescent="0.25">
      <c r="D591"/>
      <c r="E591"/>
      <c r="F591"/>
      <c r="G591"/>
    </row>
    <row r="592" spans="4:7" x14ac:dyDescent="0.25">
      <c r="D592"/>
      <c r="E592"/>
      <c r="F592"/>
      <c r="G592"/>
    </row>
    <row r="593" spans="4:7" x14ac:dyDescent="0.25">
      <c r="D593"/>
      <c r="E593"/>
      <c r="F593"/>
      <c r="G593"/>
    </row>
    <row r="594" spans="4:7" x14ac:dyDescent="0.25">
      <c r="D594"/>
      <c r="E594"/>
      <c r="F594"/>
      <c r="G594"/>
    </row>
    <row r="595" spans="4:7" x14ac:dyDescent="0.25">
      <c r="D595"/>
      <c r="E595"/>
      <c r="F595"/>
      <c r="G595"/>
    </row>
    <row r="596" spans="4:7" x14ac:dyDescent="0.25">
      <c r="D596"/>
      <c r="E596"/>
      <c r="F596"/>
      <c r="G596"/>
    </row>
    <row r="597" spans="4:7" x14ac:dyDescent="0.25">
      <c r="D597"/>
      <c r="E597"/>
      <c r="F597"/>
      <c r="G597"/>
    </row>
    <row r="598" spans="4:7" x14ac:dyDescent="0.25">
      <c r="D598"/>
      <c r="E598"/>
      <c r="F598"/>
      <c r="G598"/>
    </row>
    <row r="599" spans="4:7" x14ac:dyDescent="0.25">
      <c r="D599"/>
      <c r="E599"/>
      <c r="F599"/>
      <c r="G599"/>
    </row>
    <row r="600" spans="4:7" x14ac:dyDescent="0.25">
      <c r="D600"/>
      <c r="E600"/>
      <c r="F600"/>
      <c r="G600"/>
    </row>
    <row r="601" spans="4:7" x14ac:dyDescent="0.25">
      <c r="D601"/>
      <c r="E601"/>
      <c r="F601"/>
      <c r="G601"/>
    </row>
    <row r="602" spans="4:7" x14ac:dyDescent="0.25">
      <c r="D602"/>
      <c r="E602"/>
      <c r="F602"/>
      <c r="G602"/>
    </row>
    <row r="603" spans="4:7" x14ac:dyDescent="0.25">
      <c r="D603"/>
      <c r="E603"/>
      <c r="F603"/>
      <c r="G603"/>
    </row>
    <row r="604" spans="4:7" x14ac:dyDescent="0.25">
      <c r="D604"/>
      <c r="E604"/>
      <c r="F604"/>
      <c r="G604"/>
    </row>
    <row r="605" spans="4:7" x14ac:dyDescent="0.25">
      <c r="D605"/>
      <c r="E605"/>
      <c r="F605"/>
      <c r="G605"/>
    </row>
    <row r="606" spans="4:7" x14ac:dyDescent="0.25">
      <c r="D606"/>
      <c r="E606"/>
      <c r="F606"/>
      <c r="G606"/>
    </row>
    <row r="607" spans="4:7" x14ac:dyDescent="0.25">
      <c r="D607"/>
      <c r="E607"/>
      <c r="F607"/>
      <c r="G607"/>
    </row>
    <row r="608" spans="4:7" x14ac:dyDescent="0.25">
      <c r="D608"/>
      <c r="E608"/>
      <c r="F608"/>
      <c r="G608"/>
    </row>
    <row r="609" spans="4:7" x14ac:dyDescent="0.25">
      <c r="D609"/>
      <c r="E609"/>
      <c r="F609"/>
      <c r="G609"/>
    </row>
    <row r="610" spans="4:7" x14ac:dyDescent="0.25">
      <c r="D610"/>
      <c r="E610"/>
      <c r="F610"/>
      <c r="G610"/>
    </row>
    <row r="611" spans="4:7" x14ac:dyDescent="0.25">
      <c r="D611"/>
      <c r="E611"/>
      <c r="F611"/>
      <c r="G611"/>
    </row>
    <row r="612" spans="4:7" x14ac:dyDescent="0.25">
      <c r="D612"/>
      <c r="E612"/>
      <c r="F612"/>
      <c r="G612"/>
    </row>
    <row r="613" spans="4:7" x14ac:dyDescent="0.25">
      <c r="D613"/>
      <c r="E613"/>
      <c r="F613"/>
      <c r="G613"/>
    </row>
    <row r="614" spans="4:7" x14ac:dyDescent="0.25">
      <c r="D614"/>
      <c r="E614"/>
      <c r="F614"/>
      <c r="G614"/>
    </row>
    <row r="615" spans="4:7" x14ac:dyDescent="0.25">
      <c r="D615"/>
      <c r="E615"/>
      <c r="F615"/>
      <c r="G615"/>
    </row>
    <row r="616" spans="4:7" x14ac:dyDescent="0.25">
      <c r="D616"/>
      <c r="E616"/>
      <c r="F616"/>
      <c r="G616"/>
    </row>
    <row r="617" spans="4:7" x14ac:dyDescent="0.25">
      <c r="D617"/>
      <c r="E617"/>
      <c r="F617"/>
      <c r="G617"/>
    </row>
    <row r="618" spans="4:7" x14ac:dyDescent="0.25">
      <c r="D618"/>
      <c r="E618"/>
      <c r="F618"/>
      <c r="G618"/>
    </row>
    <row r="619" spans="4:7" x14ac:dyDescent="0.25">
      <c r="D619"/>
      <c r="E619"/>
      <c r="F619"/>
      <c r="G619"/>
    </row>
    <row r="620" spans="4:7" x14ac:dyDescent="0.25">
      <c r="D620"/>
      <c r="E620"/>
      <c r="F620"/>
      <c r="G620"/>
    </row>
    <row r="621" spans="4:7" x14ac:dyDescent="0.25">
      <c r="D621"/>
      <c r="E621"/>
      <c r="F621"/>
      <c r="G621"/>
    </row>
    <row r="622" spans="4:7" x14ac:dyDescent="0.25">
      <c r="D622"/>
      <c r="E622"/>
      <c r="F622"/>
      <c r="G622"/>
    </row>
    <row r="623" spans="4:7" x14ac:dyDescent="0.25">
      <c r="D623"/>
      <c r="E623"/>
      <c r="F623"/>
      <c r="G623"/>
    </row>
    <row r="624" spans="4:7" x14ac:dyDescent="0.25">
      <c r="D624"/>
      <c r="E624"/>
      <c r="F624"/>
      <c r="G624"/>
    </row>
    <row r="625" spans="4:7" x14ac:dyDescent="0.25">
      <c r="D625"/>
      <c r="E625"/>
      <c r="F625"/>
      <c r="G625"/>
    </row>
    <row r="626" spans="4:7" x14ac:dyDescent="0.25">
      <c r="D626"/>
      <c r="E626"/>
      <c r="F626"/>
      <c r="G626"/>
    </row>
    <row r="627" spans="4:7" x14ac:dyDescent="0.25">
      <c r="D627"/>
      <c r="E627"/>
      <c r="F627"/>
      <c r="G627"/>
    </row>
    <row r="628" spans="4:7" x14ac:dyDescent="0.25">
      <c r="D628"/>
      <c r="E628"/>
      <c r="F628"/>
      <c r="G628"/>
    </row>
    <row r="629" spans="4:7" x14ac:dyDescent="0.25">
      <c r="D629"/>
      <c r="E629"/>
      <c r="F629"/>
      <c r="G629"/>
    </row>
    <row r="630" spans="4:7" x14ac:dyDescent="0.25">
      <c r="D630"/>
      <c r="E630"/>
      <c r="F630"/>
      <c r="G630"/>
    </row>
    <row r="631" spans="4:7" x14ac:dyDescent="0.25">
      <c r="D631"/>
      <c r="E631"/>
      <c r="F631"/>
      <c r="G631"/>
    </row>
    <row r="632" spans="4:7" x14ac:dyDescent="0.25">
      <c r="D632"/>
      <c r="E632"/>
      <c r="F632"/>
      <c r="G632"/>
    </row>
    <row r="633" spans="4:7" x14ac:dyDescent="0.25">
      <c r="D633"/>
      <c r="E633"/>
      <c r="F633"/>
      <c r="G633"/>
    </row>
    <row r="634" spans="4:7" x14ac:dyDescent="0.25">
      <c r="D634"/>
      <c r="E634"/>
      <c r="F634"/>
      <c r="G634"/>
    </row>
    <row r="635" spans="4:7" x14ac:dyDescent="0.25">
      <c r="D635"/>
      <c r="E635"/>
      <c r="F635"/>
      <c r="G635"/>
    </row>
    <row r="636" spans="4:7" x14ac:dyDescent="0.25">
      <c r="D636"/>
      <c r="E636"/>
      <c r="F636"/>
      <c r="G636"/>
    </row>
    <row r="637" spans="4:7" x14ac:dyDescent="0.25">
      <c r="D637"/>
      <c r="E637"/>
      <c r="F637"/>
      <c r="G637"/>
    </row>
    <row r="638" spans="4:7" x14ac:dyDescent="0.25">
      <c r="D638"/>
      <c r="E638"/>
      <c r="F638"/>
      <c r="G638"/>
    </row>
    <row r="639" spans="4:7" x14ac:dyDescent="0.25">
      <c r="D639"/>
      <c r="E639"/>
      <c r="F639"/>
      <c r="G639"/>
    </row>
    <row r="640" spans="4:7" x14ac:dyDescent="0.25">
      <c r="D640"/>
      <c r="E640"/>
      <c r="F640"/>
      <c r="G640"/>
    </row>
    <row r="641" spans="4:7" x14ac:dyDescent="0.25">
      <c r="D641"/>
      <c r="E641"/>
      <c r="F641"/>
      <c r="G641"/>
    </row>
    <row r="642" spans="4:7" x14ac:dyDescent="0.25">
      <c r="D642"/>
      <c r="E642"/>
      <c r="F642"/>
      <c r="G642"/>
    </row>
    <row r="643" spans="4:7" x14ac:dyDescent="0.25">
      <c r="D643"/>
      <c r="E643"/>
      <c r="F643"/>
      <c r="G643"/>
    </row>
    <row r="644" spans="4:7" x14ac:dyDescent="0.25">
      <c r="D644"/>
      <c r="E644"/>
      <c r="F644"/>
      <c r="G644"/>
    </row>
    <row r="645" spans="4:7" x14ac:dyDescent="0.25">
      <c r="D645"/>
      <c r="E645"/>
      <c r="F645"/>
      <c r="G645"/>
    </row>
    <row r="646" spans="4:7" x14ac:dyDescent="0.25">
      <c r="D646"/>
      <c r="E646"/>
      <c r="F646"/>
      <c r="G646"/>
    </row>
    <row r="647" spans="4:7" x14ac:dyDescent="0.25">
      <c r="D647"/>
      <c r="E647"/>
      <c r="F647"/>
      <c r="G647"/>
    </row>
    <row r="648" spans="4:7" x14ac:dyDescent="0.25">
      <c r="D648"/>
      <c r="E648"/>
      <c r="F648"/>
      <c r="G648"/>
    </row>
    <row r="649" spans="4:7" x14ac:dyDescent="0.25">
      <c r="D649"/>
      <c r="E649"/>
      <c r="F649"/>
      <c r="G649"/>
    </row>
    <row r="650" spans="4:7" x14ac:dyDescent="0.25">
      <c r="D650"/>
      <c r="E650"/>
      <c r="F650"/>
      <c r="G650"/>
    </row>
    <row r="651" spans="4:7" x14ac:dyDescent="0.25">
      <c r="D651"/>
      <c r="E651"/>
      <c r="F651"/>
      <c r="G651"/>
    </row>
    <row r="652" spans="4:7" x14ac:dyDescent="0.25">
      <c r="D652"/>
      <c r="E652"/>
      <c r="F652"/>
      <c r="G652"/>
    </row>
    <row r="653" spans="4:7" x14ac:dyDescent="0.25">
      <c r="D653"/>
      <c r="E653"/>
      <c r="F653"/>
      <c r="G653"/>
    </row>
    <row r="654" spans="4:7" x14ac:dyDescent="0.25">
      <c r="D654"/>
      <c r="E654"/>
      <c r="F654"/>
      <c r="G654"/>
    </row>
    <row r="655" spans="4:7" x14ac:dyDescent="0.25">
      <c r="D655"/>
      <c r="E655"/>
      <c r="F655"/>
      <c r="G655"/>
    </row>
    <row r="656" spans="4:7" x14ac:dyDescent="0.25">
      <c r="D656"/>
      <c r="E656"/>
      <c r="F656"/>
      <c r="G656"/>
    </row>
    <row r="657" spans="4:7" x14ac:dyDescent="0.25">
      <c r="D657"/>
      <c r="E657"/>
      <c r="F657"/>
      <c r="G657"/>
    </row>
    <row r="658" spans="4:7" x14ac:dyDescent="0.25">
      <c r="D658"/>
      <c r="E658"/>
      <c r="F658"/>
      <c r="G658"/>
    </row>
    <row r="659" spans="4:7" x14ac:dyDescent="0.25">
      <c r="D659"/>
      <c r="E659"/>
      <c r="F659"/>
      <c r="G659"/>
    </row>
    <row r="660" spans="4:7" x14ac:dyDescent="0.25">
      <c r="D660"/>
      <c r="E660"/>
      <c r="F660"/>
      <c r="G660"/>
    </row>
    <row r="661" spans="4:7" x14ac:dyDescent="0.25">
      <c r="D661"/>
      <c r="E661"/>
      <c r="F661"/>
      <c r="G661"/>
    </row>
    <row r="662" spans="4:7" x14ac:dyDescent="0.25">
      <c r="D662"/>
      <c r="E662"/>
      <c r="F662"/>
      <c r="G662"/>
    </row>
    <row r="663" spans="4:7" x14ac:dyDescent="0.25">
      <c r="D663"/>
      <c r="E663"/>
      <c r="F663"/>
      <c r="G663"/>
    </row>
    <row r="664" spans="4:7" x14ac:dyDescent="0.25">
      <c r="D664"/>
      <c r="E664"/>
      <c r="F664"/>
      <c r="G664"/>
    </row>
    <row r="665" spans="4:7" x14ac:dyDescent="0.25">
      <c r="D665"/>
      <c r="E665"/>
      <c r="F665"/>
      <c r="G665"/>
    </row>
    <row r="666" spans="4:7" x14ac:dyDescent="0.25">
      <c r="D666"/>
      <c r="E666"/>
      <c r="F666"/>
      <c r="G666"/>
    </row>
    <row r="667" spans="4:7" x14ac:dyDescent="0.25">
      <c r="D667"/>
      <c r="E667"/>
      <c r="F667"/>
      <c r="G667"/>
    </row>
    <row r="668" spans="4:7" x14ac:dyDescent="0.25">
      <c r="D668"/>
      <c r="E668"/>
      <c r="F668"/>
      <c r="G668"/>
    </row>
    <row r="669" spans="4:7" x14ac:dyDescent="0.25">
      <c r="D669"/>
      <c r="E669"/>
      <c r="F669"/>
      <c r="G669"/>
    </row>
    <row r="670" spans="4:7" x14ac:dyDescent="0.25">
      <c r="D670"/>
      <c r="E670"/>
      <c r="F670"/>
      <c r="G670"/>
    </row>
    <row r="671" spans="4:7" x14ac:dyDescent="0.25">
      <c r="D671"/>
      <c r="E671"/>
      <c r="F671"/>
      <c r="G671"/>
    </row>
    <row r="672" spans="4:7" x14ac:dyDescent="0.25">
      <c r="D672"/>
      <c r="E672"/>
      <c r="F672"/>
      <c r="G672"/>
    </row>
    <row r="673" spans="4:7" x14ac:dyDescent="0.25">
      <c r="D673"/>
      <c r="E673"/>
      <c r="F673"/>
      <c r="G673"/>
    </row>
    <row r="674" spans="4:7" x14ac:dyDescent="0.25">
      <c r="D674"/>
      <c r="E674"/>
      <c r="F674"/>
      <c r="G674"/>
    </row>
    <row r="675" spans="4:7" x14ac:dyDescent="0.25">
      <c r="D675"/>
      <c r="E675"/>
      <c r="F675"/>
      <c r="G675"/>
    </row>
    <row r="676" spans="4:7" x14ac:dyDescent="0.25">
      <c r="D676"/>
      <c r="E676"/>
      <c r="F676"/>
      <c r="G676"/>
    </row>
    <row r="677" spans="4:7" x14ac:dyDescent="0.25">
      <c r="D677"/>
      <c r="E677"/>
      <c r="F677"/>
      <c r="G677"/>
    </row>
    <row r="678" spans="4:7" x14ac:dyDescent="0.25">
      <c r="D678"/>
      <c r="E678"/>
      <c r="F678"/>
      <c r="G678"/>
    </row>
    <row r="679" spans="4:7" x14ac:dyDescent="0.25">
      <c r="D679"/>
      <c r="E679"/>
      <c r="F679"/>
      <c r="G679"/>
    </row>
    <row r="680" spans="4:7" x14ac:dyDescent="0.25">
      <c r="D680"/>
      <c r="E680"/>
      <c r="F680"/>
      <c r="G680"/>
    </row>
    <row r="681" spans="4:7" x14ac:dyDescent="0.25">
      <c r="D681"/>
      <c r="E681"/>
      <c r="F681"/>
      <c r="G681"/>
    </row>
    <row r="682" spans="4:7" x14ac:dyDescent="0.25">
      <c r="D682"/>
      <c r="E682"/>
      <c r="F682"/>
      <c r="G682"/>
    </row>
    <row r="683" spans="4:7" x14ac:dyDescent="0.25">
      <c r="D683"/>
      <c r="E683"/>
      <c r="F683"/>
      <c r="G683"/>
    </row>
    <row r="684" spans="4:7" x14ac:dyDescent="0.25">
      <c r="D684"/>
      <c r="E684"/>
      <c r="F684"/>
      <c r="G684"/>
    </row>
    <row r="685" spans="4:7" x14ac:dyDescent="0.25">
      <c r="D685"/>
      <c r="E685"/>
      <c r="F685"/>
      <c r="G685"/>
    </row>
    <row r="686" spans="4:7" x14ac:dyDescent="0.25">
      <c r="D686"/>
      <c r="E686"/>
      <c r="F686"/>
      <c r="G686"/>
    </row>
    <row r="687" spans="4:7" x14ac:dyDescent="0.25">
      <c r="D687"/>
      <c r="E687"/>
      <c r="F687"/>
      <c r="G687"/>
    </row>
    <row r="688" spans="4:7" x14ac:dyDescent="0.25">
      <c r="D688"/>
      <c r="E688"/>
      <c r="F688"/>
      <c r="G688"/>
    </row>
    <row r="689" spans="4:7" x14ac:dyDescent="0.25">
      <c r="D689"/>
      <c r="E689"/>
      <c r="F689"/>
      <c r="G689"/>
    </row>
    <row r="690" spans="4:7" x14ac:dyDescent="0.25">
      <c r="D690"/>
      <c r="E690"/>
      <c r="F690"/>
      <c r="G690"/>
    </row>
    <row r="691" spans="4:7" x14ac:dyDescent="0.25">
      <c r="D691"/>
      <c r="E691"/>
      <c r="F691"/>
      <c r="G691"/>
    </row>
    <row r="692" spans="4:7" x14ac:dyDescent="0.25">
      <c r="D692"/>
      <c r="E692"/>
      <c r="F692"/>
      <c r="G692"/>
    </row>
    <row r="693" spans="4:7" x14ac:dyDescent="0.25">
      <c r="D693"/>
      <c r="E693"/>
      <c r="F693"/>
      <c r="G693"/>
    </row>
    <row r="694" spans="4:7" x14ac:dyDescent="0.25">
      <c r="D694"/>
      <c r="E694"/>
      <c r="F694"/>
      <c r="G694"/>
    </row>
    <row r="695" spans="4:7" x14ac:dyDescent="0.25">
      <c r="D695"/>
      <c r="E695"/>
      <c r="F695"/>
      <c r="G695"/>
    </row>
    <row r="696" spans="4:7" x14ac:dyDescent="0.25">
      <c r="D696"/>
      <c r="E696"/>
      <c r="F696"/>
      <c r="G696"/>
    </row>
    <row r="697" spans="4:7" x14ac:dyDescent="0.25">
      <c r="D697"/>
      <c r="E697"/>
      <c r="F697"/>
      <c r="G697"/>
    </row>
    <row r="698" spans="4:7" x14ac:dyDescent="0.25">
      <c r="D698"/>
      <c r="E698"/>
      <c r="F698"/>
      <c r="G698"/>
    </row>
    <row r="699" spans="4:7" x14ac:dyDescent="0.25">
      <c r="D699"/>
      <c r="E699"/>
      <c r="F699"/>
      <c r="G699"/>
    </row>
    <row r="700" spans="4:7" x14ac:dyDescent="0.25">
      <c r="D700"/>
      <c r="E700"/>
      <c r="F700"/>
      <c r="G700"/>
    </row>
    <row r="701" spans="4:7" x14ac:dyDescent="0.25">
      <c r="D701"/>
      <c r="E701"/>
      <c r="F701"/>
      <c r="G701"/>
    </row>
    <row r="702" spans="4:7" x14ac:dyDescent="0.25">
      <c r="D702"/>
      <c r="E702"/>
      <c r="F702"/>
      <c r="G702"/>
    </row>
    <row r="703" spans="4:7" x14ac:dyDescent="0.25">
      <c r="D703"/>
      <c r="E703"/>
      <c r="F703"/>
      <c r="G703"/>
    </row>
    <row r="704" spans="4:7" x14ac:dyDescent="0.25">
      <c r="D704"/>
      <c r="E704"/>
      <c r="F704"/>
      <c r="G704"/>
    </row>
    <row r="705" spans="4:7" x14ac:dyDescent="0.25">
      <c r="D705"/>
      <c r="E705"/>
      <c r="F705"/>
      <c r="G705"/>
    </row>
    <row r="706" spans="4:7" x14ac:dyDescent="0.25">
      <c r="D706"/>
      <c r="E706"/>
      <c r="F706"/>
      <c r="G706"/>
    </row>
    <row r="707" spans="4:7" x14ac:dyDescent="0.25">
      <c r="D707"/>
      <c r="E707"/>
      <c r="F707"/>
      <c r="G707"/>
    </row>
    <row r="708" spans="4:7" x14ac:dyDescent="0.25">
      <c r="D708"/>
      <c r="E708"/>
      <c r="F708"/>
      <c r="G708"/>
    </row>
    <row r="709" spans="4:7" x14ac:dyDescent="0.25">
      <c r="D709"/>
      <c r="E709"/>
      <c r="F709"/>
      <c r="G709"/>
    </row>
    <row r="710" spans="4:7" x14ac:dyDescent="0.25">
      <c r="D710"/>
      <c r="E710"/>
      <c r="F710"/>
      <c r="G710"/>
    </row>
    <row r="711" spans="4:7" x14ac:dyDescent="0.25">
      <c r="D711"/>
      <c r="E711"/>
      <c r="F711"/>
      <c r="G711"/>
    </row>
    <row r="712" spans="4:7" x14ac:dyDescent="0.25">
      <c r="D712"/>
      <c r="E712"/>
      <c r="F712"/>
      <c r="G712"/>
    </row>
    <row r="713" spans="4:7" x14ac:dyDescent="0.25">
      <c r="D713"/>
      <c r="E713"/>
      <c r="F713"/>
      <c r="G713"/>
    </row>
    <row r="714" spans="4:7" x14ac:dyDescent="0.25">
      <c r="D714"/>
      <c r="E714"/>
      <c r="F714"/>
      <c r="G714"/>
    </row>
    <row r="715" spans="4:7" x14ac:dyDescent="0.25">
      <c r="D715"/>
      <c r="E715"/>
      <c r="F715"/>
      <c r="G715"/>
    </row>
    <row r="716" spans="4:7" x14ac:dyDescent="0.25">
      <c r="D716"/>
      <c r="E716"/>
      <c r="F716"/>
      <c r="G716"/>
    </row>
    <row r="717" spans="4:7" x14ac:dyDescent="0.25">
      <c r="D717"/>
      <c r="E717"/>
      <c r="F717"/>
      <c r="G717"/>
    </row>
    <row r="718" spans="4:7" x14ac:dyDescent="0.25">
      <c r="D718"/>
      <c r="E718"/>
      <c r="F718"/>
      <c r="G718"/>
    </row>
    <row r="719" spans="4:7" x14ac:dyDescent="0.25">
      <c r="D719"/>
      <c r="E719"/>
      <c r="F719"/>
      <c r="G719"/>
    </row>
    <row r="720" spans="4:7" x14ac:dyDescent="0.25">
      <c r="D720"/>
      <c r="E720"/>
      <c r="F720"/>
      <c r="G720"/>
    </row>
    <row r="721" spans="4:7" x14ac:dyDescent="0.25">
      <c r="D721"/>
      <c r="E721"/>
      <c r="F721"/>
      <c r="G721"/>
    </row>
    <row r="722" spans="4:7" x14ac:dyDescent="0.25">
      <c r="D722"/>
      <c r="E722"/>
      <c r="F722"/>
      <c r="G722"/>
    </row>
    <row r="723" spans="4:7" x14ac:dyDescent="0.25">
      <c r="D723"/>
      <c r="E723"/>
      <c r="F723"/>
      <c r="G723"/>
    </row>
    <row r="724" spans="4:7" x14ac:dyDescent="0.25">
      <c r="D724"/>
      <c r="E724"/>
      <c r="F724"/>
      <c r="G724"/>
    </row>
    <row r="725" spans="4:7" x14ac:dyDescent="0.25">
      <c r="D725"/>
      <c r="E725"/>
      <c r="F725"/>
      <c r="G725"/>
    </row>
    <row r="726" spans="4:7" x14ac:dyDescent="0.25">
      <c r="D726"/>
      <c r="E726"/>
      <c r="F726"/>
      <c r="G726"/>
    </row>
    <row r="727" spans="4:7" x14ac:dyDescent="0.25">
      <c r="D727"/>
      <c r="E727"/>
      <c r="F727"/>
      <c r="G727"/>
    </row>
    <row r="728" spans="4:7" x14ac:dyDescent="0.25">
      <c r="D728"/>
      <c r="E728"/>
      <c r="F728"/>
      <c r="G728"/>
    </row>
    <row r="729" spans="4:7" x14ac:dyDescent="0.25">
      <c r="D729"/>
      <c r="E729"/>
      <c r="F729"/>
      <c r="G729"/>
    </row>
    <row r="730" spans="4:7" x14ac:dyDescent="0.25">
      <c r="D730"/>
      <c r="E730"/>
      <c r="F730"/>
      <c r="G730"/>
    </row>
    <row r="731" spans="4:7" x14ac:dyDescent="0.25">
      <c r="D731"/>
      <c r="E731"/>
      <c r="F731"/>
      <c r="G731"/>
    </row>
    <row r="732" spans="4:7" x14ac:dyDescent="0.25">
      <c r="D732"/>
      <c r="E732"/>
      <c r="F732"/>
      <c r="G732"/>
    </row>
    <row r="733" spans="4:7" x14ac:dyDescent="0.25">
      <c r="D733"/>
      <c r="E733"/>
      <c r="F733"/>
      <c r="G733"/>
    </row>
    <row r="734" spans="4:7" x14ac:dyDescent="0.25">
      <c r="D734"/>
      <c r="E734"/>
      <c r="F734"/>
      <c r="G734"/>
    </row>
    <row r="735" spans="4:7" x14ac:dyDescent="0.25">
      <c r="D735"/>
      <c r="E735"/>
      <c r="F735"/>
      <c r="G735"/>
    </row>
    <row r="736" spans="4:7" x14ac:dyDescent="0.25">
      <c r="D736"/>
      <c r="E736"/>
      <c r="F736"/>
      <c r="G736"/>
    </row>
    <row r="737" spans="4:7" x14ac:dyDescent="0.25">
      <c r="D737"/>
      <c r="E737"/>
      <c r="F737"/>
      <c r="G737"/>
    </row>
    <row r="738" spans="4:7" x14ac:dyDescent="0.25">
      <c r="D738"/>
      <c r="E738"/>
      <c r="F738"/>
      <c r="G738"/>
    </row>
    <row r="739" spans="4:7" x14ac:dyDescent="0.25">
      <c r="D739"/>
      <c r="E739"/>
      <c r="F739"/>
      <c r="G739"/>
    </row>
    <row r="740" spans="4:7" x14ac:dyDescent="0.25">
      <c r="D740"/>
      <c r="E740"/>
      <c r="F740"/>
      <c r="G740"/>
    </row>
    <row r="741" spans="4:7" x14ac:dyDescent="0.25">
      <c r="D741"/>
      <c r="E741"/>
      <c r="F741"/>
      <c r="G741"/>
    </row>
    <row r="742" spans="4:7" x14ac:dyDescent="0.25">
      <c r="D742"/>
      <c r="E742"/>
      <c r="F742"/>
      <c r="G742"/>
    </row>
    <row r="743" spans="4:7" x14ac:dyDescent="0.25">
      <c r="D743"/>
      <c r="E743"/>
      <c r="F743"/>
      <c r="G743"/>
    </row>
    <row r="744" spans="4:7" x14ac:dyDescent="0.25">
      <c r="D744"/>
      <c r="E744"/>
      <c r="F744"/>
      <c r="G744"/>
    </row>
    <row r="745" spans="4:7" x14ac:dyDescent="0.25">
      <c r="D745"/>
      <c r="E745"/>
      <c r="F745"/>
      <c r="G745"/>
    </row>
    <row r="746" spans="4:7" x14ac:dyDescent="0.25">
      <c r="D746"/>
      <c r="E746"/>
      <c r="F746"/>
      <c r="G746"/>
    </row>
    <row r="747" spans="4:7" x14ac:dyDescent="0.25">
      <c r="D747"/>
      <c r="E747"/>
      <c r="F747"/>
      <c r="G747"/>
    </row>
    <row r="748" spans="4:7" x14ac:dyDescent="0.25">
      <c r="D748"/>
      <c r="E748"/>
      <c r="F748"/>
      <c r="G748"/>
    </row>
    <row r="749" spans="4:7" x14ac:dyDescent="0.25">
      <c r="D749"/>
      <c r="E749"/>
      <c r="F749"/>
      <c r="G749"/>
    </row>
    <row r="750" spans="4:7" x14ac:dyDescent="0.25">
      <c r="D750"/>
      <c r="E750"/>
      <c r="F750"/>
      <c r="G750"/>
    </row>
    <row r="751" spans="4:7" x14ac:dyDescent="0.25">
      <c r="D751"/>
      <c r="E751"/>
      <c r="F751"/>
      <c r="G751"/>
    </row>
    <row r="752" spans="4:7" x14ac:dyDescent="0.25">
      <c r="D752"/>
      <c r="E752"/>
      <c r="F752"/>
      <c r="G752"/>
    </row>
    <row r="753" spans="4:7" x14ac:dyDescent="0.25">
      <c r="D753"/>
      <c r="E753"/>
      <c r="F753"/>
      <c r="G753"/>
    </row>
    <row r="754" spans="4:7" x14ac:dyDescent="0.25">
      <c r="D754"/>
      <c r="E754"/>
      <c r="F754"/>
      <c r="G754"/>
    </row>
    <row r="755" spans="4:7" x14ac:dyDescent="0.25">
      <c r="D755"/>
      <c r="E755"/>
      <c r="F755"/>
      <c r="G755"/>
    </row>
    <row r="756" spans="4:7" x14ac:dyDescent="0.25">
      <c r="D756"/>
      <c r="E756"/>
      <c r="F756"/>
      <c r="G756"/>
    </row>
    <row r="757" spans="4:7" x14ac:dyDescent="0.25">
      <c r="D757"/>
      <c r="E757"/>
      <c r="F757"/>
      <c r="G757"/>
    </row>
    <row r="758" spans="4:7" x14ac:dyDescent="0.25">
      <c r="D758"/>
      <c r="E758"/>
      <c r="F758"/>
      <c r="G758"/>
    </row>
    <row r="759" spans="4:7" x14ac:dyDescent="0.25">
      <c r="D759"/>
      <c r="E759"/>
      <c r="F759"/>
      <c r="G759"/>
    </row>
    <row r="760" spans="4:7" x14ac:dyDescent="0.25">
      <c r="D760"/>
      <c r="E760"/>
      <c r="F760"/>
      <c r="G760"/>
    </row>
    <row r="761" spans="4:7" x14ac:dyDescent="0.25">
      <c r="D761"/>
      <c r="E761"/>
      <c r="F761"/>
      <c r="G761"/>
    </row>
    <row r="762" spans="4:7" x14ac:dyDescent="0.25">
      <c r="D762"/>
      <c r="E762"/>
      <c r="F762"/>
      <c r="G762"/>
    </row>
    <row r="763" spans="4:7" x14ac:dyDescent="0.25">
      <c r="D763"/>
      <c r="E763"/>
      <c r="F763"/>
      <c r="G763"/>
    </row>
    <row r="764" spans="4:7" x14ac:dyDescent="0.25">
      <c r="D764"/>
      <c r="E764"/>
      <c r="F764"/>
      <c r="G764"/>
    </row>
    <row r="765" spans="4:7" x14ac:dyDescent="0.25">
      <c r="D765"/>
      <c r="E765"/>
      <c r="F765"/>
      <c r="G765"/>
    </row>
    <row r="766" spans="4:7" x14ac:dyDescent="0.25">
      <c r="D766"/>
      <c r="E766"/>
      <c r="F766"/>
      <c r="G766"/>
    </row>
    <row r="767" spans="4:7" x14ac:dyDescent="0.25">
      <c r="D767"/>
      <c r="E767"/>
      <c r="F767"/>
      <c r="G767"/>
    </row>
    <row r="768" spans="4:7" x14ac:dyDescent="0.25">
      <c r="D768"/>
      <c r="E768"/>
      <c r="F768"/>
      <c r="G768"/>
    </row>
    <row r="769" spans="4:7" x14ac:dyDescent="0.25">
      <c r="D769"/>
      <c r="E769"/>
      <c r="F769"/>
      <c r="G769"/>
    </row>
    <row r="770" spans="4:7" x14ac:dyDescent="0.25">
      <c r="D770"/>
      <c r="E770"/>
      <c r="F770"/>
      <c r="G770"/>
    </row>
    <row r="771" spans="4:7" x14ac:dyDescent="0.25">
      <c r="D771"/>
      <c r="E771"/>
      <c r="F771"/>
      <c r="G771"/>
    </row>
    <row r="772" spans="4:7" x14ac:dyDescent="0.25">
      <c r="D772"/>
      <c r="E772"/>
      <c r="F772"/>
      <c r="G772"/>
    </row>
    <row r="773" spans="4:7" x14ac:dyDescent="0.25">
      <c r="D773"/>
      <c r="E773"/>
      <c r="F773"/>
      <c r="G773"/>
    </row>
    <row r="774" spans="4:7" x14ac:dyDescent="0.25">
      <c r="D774"/>
      <c r="E774"/>
      <c r="F774"/>
      <c r="G774"/>
    </row>
    <row r="775" spans="4:7" x14ac:dyDescent="0.25">
      <c r="D775"/>
      <c r="E775"/>
      <c r="F775"/>
      <c r="G775"/>
    </row>
    <row r="776" spans="4:7" x14ac:dyDescent="0.25">
      <c r="D776"/>
      <c r="E776"/>
      <c r="F776"/>
      <c r="G776"/>
    </row>
    <row r="777" spans="4:7" x14ac:dyDescent="0.25">
      <c r="D777"/>
      <c r="E777"/>
      <c r="F777"/>
      <c r="G777"/>
    </row>
    <row r="778" spans="4:7" x14ac:dyDescent="0.25">
      <c r="D778"/>
      <c r="E778"/>
      <c r="F778"/>
      <c r="G778"/>
    </row>
    <row r="779" spans="4:7" x14ac:dyDescent="0.25">
      <c r="D779"/>
      <c r="E779"/>
      <c r="F779"/>
      <c r="G779"/>
    </row>
    <row r="780" spans="4:7" x14ac:dyDescent="0.25">
      <c r="D780"/>
      <c r="E780"/>
      <c r="F780"/>
      <c r="G780"/>
    </row>
    <row r="781" spans="4:7" x14ac:dyDescent="0.25">
      <c r="D781"/>
      <c r="E781"/>
      <c r="F781"/>
      <c r="G781"/>
    </row>
    <row r="782" spans="4:7" x14ac:dyDescent="0.25">
      <c r="D782"/>
      <c r="E782"/>
      <c r="F782"/>
      <c r="G782"/>
    </row>
    <row r="783" spans="4:7" x14ac:dyDescent="0.25">
      <c r="D783"/>
      <c r="E783"/>
      <c r="F783"/>
      <c r="G783"/>
    </row>
    <row r="784" spans="4:7" x14ac:dyDescent="0.25">
      <c r="D784"/>
      <c r="E784"/>
      <c r="F784"/>
      <c r="G784"/>
    </row>
    <row r="785" spans="4:7" x14ac:dyDescent="0.25">
      <c r="D785"/>
      <c r="E785"/>
      <c r="F785"/>
      <c r="G785"/>
    </row>
    <row r="786" spans="4:7" x14ac:dyDescent="0.25">
      <c r="D786"/>
      <c r="E786"/>
      <c r="F786"/>
      <c r="G786"/>
    </row>
    <row r="787" spans="4:7" x14ac:dyDescent="0.25">
      <c r="D787"/>
      <c r="E787"/>
      <c r="F787"/>
      <c r="G787"/>
    </row>
    <row r="788" spans="4:7" x14ac:dyDescent="0.25">
      <c r="D788"/>
      <c r="E788"/>
      <c r="F788"/>
      <c r="G788"/>
    </row>
    <row r="789" spans="4:7" x14ac:dyDescent="0.25">
      <c r="D789"/>
      <c r="E789"/>
      <c r="F789"/>
      <c r="G789"/>
    </row>
    <row r="790" spans="4:7" x14ac:dyDescent="0.25">
      <c r="D790"/>
      <c r="E790"/>
      <c r="F790"/>
      <c r="G790"/>
    </row>
    <row r="791" spans="4:7" x14ac:dyDescent="0.25">
      <c r="D791"/>
      <c r="E791"/>
      <c r="F791"/>
      <c r="G791"/>
    </row>
    <row r="792" spans="4:7" x14ac:dyDescent="0.25">
      <c r="D792"/>
      <c r="E792"/>
      <c r="F792"/>
      <c r="G792"/>
    </row>
    <row r="793" spans="4:7" x14ac:dyDescent="0.25">
      <c r="D793"/>
      <c r="E793"/>
      <c r="F793"/>
      <c r="G793"/>
    </row>
    <row r="794" spans="4:7" x14ac:dyDescent="0.25">
      <c r="D794"/>
      <c r="E794"/>
      <c r="F794"/>
      <c r="G794"/>
    </row>
    <row r="795" spans="4:7" x14ac:dyDescent="0.25">
      <c r="D795"/>
      <c r="E795"/>
      <c r="F795"/>
      <c r="G795"/>
    </row>
    <row r="796" spans="4:7" x14ac:dyDescent="0.25">
      <c r="D796"/>
      <c r="E796"/>
      <c r="F796"/>
      <c r="G796"/>
    </row>
    <row r="797" spans="4:7" x14ac:dyDescent="0.25">
      <c r="D797"/>
      <c r="E797"/>
      <c r="F797"/>
      <c r="G797"/>
    </row>
    <row r="798" spans="4:7" x14ac:dyDescent="0.25">
      <c r="D798"/>
      <c r="E798"/>
      <c r="F798"/>
      <c r="G798"/>
    </row>
    <row r="799" spans="4:7" x14ac:dyDescent="0.25">
      <c r="D799"/>
      <c r="E799"/>
      <c r="F799"/>
      <c r="G799"/>
    </row>
    <row r="800" spans="4:7" x14ac:dyDescent="0.25">
      <c r="D800"/>
      <c r="E800"/>
      <c r="F800"/>
      <c r="G800"/>
    </row>
    <row r="801" spans="4:7" x14ac:dyDescent="0.25">
      <c r="D801"/>
      <c r="E801"/>
      <c r="F801"/>
      <c r="G801"/>
    </row>
    <row r="802" spans="4:7" x14ac:dyDescent="0.25">
      <c r="D802"/>
      <c r="E802"/>
      <c r="F802"/>
      <c r="G802"/>
    </row>
    <row r="803" spans="4:7" x14ac:dyDescent="0.25">
      <c r="D803"/>
      <c r="E803"/>
      <c r="F803"/>
      <c r="G803"/>
    </row>
    <row r="804" spans="4:7" x14ac:dyDescent="0.25">
      <c r="D804"/>
      <c r="E804"/>
      <c r="F804"/>
      <c r="G804"/>
    </row>
    <row r="805" spans="4:7" x14ac:dyDescent="0.25">
      <c r="D805"/>
      <c r="E805"/>
      <c r="F805"/>
      <c r="G805"/>
    </row>
    <row r="806" spans="4:7" x14ac:dyDescent="0.25">
      <c r="D806"/>
      <c r="E806"/>
      <c r="F806"/>
      <c r="G806"/>
    </row>
    <row r="807" spans="4:7" x14ac:dyDescent="0.25">
      <c r="D807"/>
      <c r="E807"/>
      <c r="F807"/>
      <c r="G807"/>
    </row>
    <row r="808" spans="4:7" x14ac:dyDescent="0.25">
      <c r="D808"/>
      <c r="E808"/>
      <c r="F808"/>
      <c r="G808"/>
    </row>
    <row r="809" spans="4:7" x14ac:dyDescent="0.25">
      <c r="D809"/>
      <c r="E809"/>
      <c r="F809"/>
      <c r="G809"/>
    </row>
    <row r="810" spans="4:7" x14ac:dyDescent="0.25">
      <c r="D810"/>
      <c r="E810"/>
      <c r="F810"/>
      <c r="G810"/>
    </row>
    <row r="811" spans="4:7" x14ac:dyDescent="0.25">
      <c r="D811"/>
      <c r="E811"/>
      <c r="F811"/>
      <c r="G811"/>
    </row>
    <row r="812" spans="4:7" x14ac:dyDescent="0.25">
      <c r="D812"/>
      <c r="E812"/>
      <c r="F812"/>
      <c r="G812"/>
    </row>
    <row r="813" spans="4:7" x14ac:dyDescent="0.25">
      <c r="D813"/>
      <c r="E813"/>
      <c r="F813"/>
      <c r="G813"/>
    </row>
    <row r="814" spans="4:7" x14ac:dyDescent="0.25">
      <c r="D814"/>
      <c r="E814"/>
      <c r="F814"/>
      <c r="G814"/>
    </row>
    <row r="815" spans="4:7" x14ac:dyDescent="0.25">
      <c r="D815"/>
      <c r="E815"/>
      <c r="F815"/>
      <c r="G815"/>
    </row>
    <row r="816" spans="4:7" x14ac:dyDescent="0.25">
      <c r="D816"/>
      <c r="E816"/>
      <c r="F816"/>
      <c r="G816"/>
    </row>
    <row r="817" spans="4:7" x14ac:dyDescent="0.25">
      <c r="D817"/>
      <c r="E817"/>
      <c r="F817"/>
      <c r="G817"/>
    </row>
    <row r="818" spans="4:7" x14ac:dyDescent="0.25">
      <c r="D818"/>
      <c r="E818"/>
      <c r="F818"/>
      <c r="G818"/>
    </row>
    <row r="819" spans="4:7" x14ac:dyDescent="0.25">
      <c r="D819"/>
      <c r="E819"/>
      <c r="F819"/>
      <c r="G819"/>
    </row>
    <row r="820" spans="4:7" x14ac:dyDescent="0.25">
      <c r="D820"/>
      <c r="E820"/>
      <c r="F820"/>
      <c r="G820"/>
    </row>
    <row r="821" spans="4:7" x14ac:dyDescent="0.25">
      <c r="D821"/>
      <c r="E821"/>
      <c r="F821"/>
      <c r="G821"/>
    </row>
    <row r="822" spans="4:7" x14ac:dyDescent="0.25">
      <c r="D822"/>
      <c r="E822"/>
      <c r="F822"/>
      <c r="G822"/>
    </row>
    <row r="823" spans="4:7" x14ac:dyDescent="0.25">
      <c r="D823"/>
      <c r="E823"/>
      <c r="F823"/>
      <c r="G823"/>
    </row>
    <row r="824" spans="4:7" x14ac:dyDescent="0.25">
      <c r="D824"/>
      <c r="E824"/>
      <c r="F824"/>
      <c r="G824"/>
    </row>
    <row r="825" spans="4:7" x14ac:dyDescent="0.25">
      <c r="D825"/>
      <c r="E825"/>
      <c r="F825"/>
      <c r="G825"/>
    </row>
    <row r="826" spans="4:7" x14ac:dyDescent="0.25">
      <c r="D826"/>
      <c r="E826"/>
      <c r="F826"/>
      <c r="G826"/>
    </row>
    <row r="827" spans="4:7" x14ac:dyDescent="0.25">
      <c r="D827"/>
      <c r="E827"/>
      <c r="F827"/>
      <c r="G827"/>
    </row>
    <row r="828" spans="4:7" x14ac:dyDescent="0.25">
      <c r="D828"/>
      <c r="E828"/>
      <c r="F828"/>
      <c r="G828"/>
    </row>
    <row r="829" spans="4:7" x14ac:dyDescent="0.25">
      <c r="D829"/>
      <c r="E829"/>
      <c r="F829"/>
      <c r="G829"/>
    </row>
    <row r="830" spans="4:7" x14ac:dyDescent="0.25">
      <c r="D830"/>
      <c r="E830"/>
      <c r="F830"/>
      <c r="G830"/>
    </row>
    <row r="831" spans="4:7" x14ac:dyDescent="0.25">
      <c r="D831"/>
      <c r="E831"/>
      <c r="F831"/>
      <c r="G831"/>
    </row>
    <row r="832" spans="4:7" x14ac:dyDescent="0.25">
      <c r="D832"/>
      <c r="E832"/>
      <c r="F832"/>
      <c r="G832"/>
    </row>
    <row r="833" spans="4:7" x14ac:dyDescent="0.25">
      <c r="D833"/>
      <c r="E833"/>
      <c r="F833"/>
      <c r="G833"/>
    </row>
    <row r="834" spans="4:7" x14ac:dyDescent="0.25">
      <c r="D834"/>
      <c r="E834"/>
      <c r="F834"/>
      <c r="G834"/>
    </row>
    <row r="835" spans="4:7" x14ac:dyDescent="0.25">
      <c r="D835"/>
      <c r="E835"/>
      <c r="F835"/>
      <c r="G835"/>
    </row>
    <row r="836" spans="4:7" x14ac:dyDescent="0.25">
      <c r="D836"/>
      <c r="E836"/>
      <c r="F836"/>
      <c r="G836"/>
    </row>
    <row r="837" spans="4:7" x14ac:dyDescent="0.25">
      <c r="D837"/>
      <c r="E837"/>
      <c r="F837"/>
      <c r="G837"/>
    </row>
    <row r="838" spans="4:7" x14ac:dyDescent="0.25">
      <c r="D838"/>
      <c r="E838"/>
      <c r="F838"/>
      <c r="G838"/>
    </row>
    <row r="839" spans="4:7" x14ac:dyDescent="0.25">
      <c r="D839"/>
      <c r="E839"/>
      <c r="F839"/>
      <c r="G839"/>
    </row>
    <row r="840" spans="4:7" x14ac:dyDescent="0.25">
      <c r="D840"/>
      <c r="E840"/>
      <c r="F840"/>
      <c r="G840"/>
    </row>
    <row r="841" spans="4:7" x14ac:dyDescent="0.25">
      <c r="D841"/>
      <c r="E841"/>
      <c r="F841"/>
      <c r="G841"/>
    </row>
    <row r="842" spans="4:7" x14ac:dyDescent="0.25">
      <c r="D842"/>
      <c r="E842"/>
      <c r="F842"/>
      <c r="G842"/>
    </row>
    <row r="843" spans="4:7" x14ac:dyDescent="0.25">
      <c r="D843"/>
      <c r="E843"/>
      <c r="F843"/>
      <c r="G843"/>
    </row>
    <row r="844" spans="4:7" x14ac:dyDescent="0.25">
      <c r="D844"/>
      <c r="E844"/>
      <c r="F844"/>
      <c r="G844"/>
    </row>
    <row r="845" spans="4:7" x14ac:dyDescent="0.25">
      <c r="D845"/>
      <c r="E845"/>
      <c r="F845"/>
      <c r="G845"/>
    </row>
    <row r="846" spans="4:7" x14ac:dyDescent="0.25">
      <c r="D846"/>
      <c r="E846"/>
      <c r="F846"/>
      <c r="G846"/>
    </row>
    <row r="847" spans="4:7" x14ac:dyDescent="0.25">
      <c r="D847"/>
      <c r="E847"/>
      <c r="F847"/>
      <c r="G847"/>
    </row>
    <row r="848" spans="4:7" x14ac:dyDescent="0.25">
      <c r="D848"/>
      <c r="E848"/>
      <c r="F848"/>
      <c r="G848"/>
    </row>
    <row r="849" spans="4:7" x14ac:dyDescent="0.25">
      <c r="D849"/>
      <c r="E849"/>
      <c r="F849"/>
      <c r="G849"/>
    </row>
    <row r="850" spans="4:7" x14ac:dyDescent="0.25">
      <c r="D850"/>
      <c r="E850"/>
      <c r="F850"/>
      <c r="G850"/>
    </row>
    <row r="851" spans="4:7" x14ac:dyDescent="0.25">
      <c r="D851"/>
      <c r="E851"/>
      <c r="F851"/>
      <c r="G851"/>
    </row>
    <row r="852" spans="4:7" x14ac:dyDescent="0.25">
      <c r="D852"/>
      <c r="E852"/>
      <c r="F852"/>
      <c r="G852"/>
    </row>
    <row r="853" spans="4:7" x14ac:dyDescent="0.25">
      <c r="D853"/>
      <c r="E853"/>
      <c r="F853"/>
      <c r="G853"/>
    </row>
    <row r="854" spans="4:7" x14ac:dyDescent="0.25">
      <c r="D854"/>
      <c r="E854"/>
      <c r="F854"/>
      <c r="G854"/>
    </row>
    <row r="855" spans="4:7" x14ac:dyDescent="0.25">
      <c r="D855"/>
      <c r="E855"/>
      <c r="F855"/>
      <c r="G855"/>
    </row>
    <row r="856" spans="4:7" x14ac:dyDescent="0.25">
      <c r="D856"/>
      <c r="E856"/>
      <c r="F856"/>
      <c r="G856"/>
    </row>
    <row r="857" spans="4:7" x14ac:dyDescent="0.25">
      <c r="D857"/>
      <c r="E857"/>
      <c r="F857"/>
      <c r="G857"/>
    </row>
    <row r="858" spans="4:7" x14ac:dyDescent="0.25">
      <c r="D858"/>
      <c r="E858"/>
      <c r="F858"/>
      <c r="G858"/>
    </row>
    <row r="859" spans="4:7" x14ac:dyDescent="0.25">
      <c r="D859"/>
      <c r="E859"/>
      <c r="F859"/>
      <c r="G859"/>
    </row>
    <row r="860" spans="4:7" x14ac:dyDescent="0.25">
      <c r="D860"/>
      <c r="E860"/>
      <c r="F860"/>
      <c r="G860"/>
    </row>
    <row r="861" spans="4:7" x14ac:dyDescent="0.25">
      <c r="D861"/>
      <c r="E861"/>
      <c r="F861"/>
      <c r="G861"/>
    </row>
    <row r="862" spans="4:7" x14ac:dyDescent="0.25">
      <c r="D862"/>
      <c r="E862"/>
      <c r="F862"/>
      <c r="G862"/>
    </row>
    <row r="863" spans="4:7" x14ac:dyDescent="0.25">
      <c r="D863"/>
      <c r="E863"/>
      <c r="F863"/>
      <c r="G863"/>
    </row>
    <row r="864" spans="4:7" x14ac:dyDescent="0.25">
      <c r="D864"/>
      <c r="E864"/>
      <c r="F864"/>
      <c r="G864"/>
    </row>
    <row r="865" spans="4:7" x14ac:dyDescent="0.25">
      <c r="D865"/>
      <c r="E865"/>
      <c r="F865"/>
      <c r="G865"/>
    </row>
    <row r="866" spans="4:7" x14ac:dyDescent="0.25">
      <c r="D866"/>
      <c r="E866"/>
      <c r="F866"/>
      <c r="G866"/>
    </row>
    <row r="867" spans="4:7" x14ac:dyDescent="0.25">
      <c r="D867"/>
      <c r="E867"/>
      <c r="F867"/>
      <c r="G867"/>
    </row>
    <row r="868" spans="4:7" x14ac:dyDescent="0.25">
      <c r="D868"/>
      <c r="E868"/>
      <c r="F868"/>
      <c r="G868"/>
    </row>
    <row r="869" spans="4:7" x14ac:dyDescent="0.25">
      <c r="D869"/>
      <c r="E869"/>
      <c r="F869"/>
      <c r="G869"/>
    </row>
    <row r="870" spans="4:7" x14ac:dyDescent="0.25">
      <c r="D870"/>
      <c r="E870"/>
      <c r="F870"/>
      <c r="G870"/>
    </row>
    <row r="871" spans="4:7" x14ac:dyDescent="0.25">
      <c r="D871"/>
      <c r="E871"/>
      <c r="F871"/>
      <c r="G871"/>
    </row>
    <row r="872" spans="4:7" x14ac:dyDescent="0.25">
      <c r="D872"/>
      <c r="E872"/>
      <c r="F872"/>
      <c r="G872"/>
    </row>
    <row r="873" spans="4:7" x14ac:dyDescent="0.25">
      <c r="D873"/>
      <c r="E873"/>
      <c r="F873"/>
      <c r="G873"/>
    </row>
    <row r="874" spans="4:7" x14ac:dyDescent="0.25">
      <c r="D874"/>
      <c r="E874"/>
      <c r="F874"/>
      <c r="G874"/>
    </row>
    <row r="875" spans="4:7" x14ac:dyDescent="0.25">
      <c r="D875"/>
      <c r="E875"/>
      <c r="F875"/>
      <c r="G875"/>
    </row>
    <row r="876" spans="4:7" x14ac:dyDescent="0.25">
      <c r="D876"/>
      <c r="E876"/>
      <c r="F876"/>
      <c r="G876"/>
    </row>
    <row r="877" spans="4:7" x14ac:dyDescent="0.25">
      <c r="D877"/>
      <c r="E877"/>
      <c r="F877"/>
      <c r="G877"/>
    </row>
    <row r="878" spans="4:7" x14ac:dyDescent="0.25">
      <c r="D878"/>
      <c r="E878"/>
      <c r="F878"/>
      <c r="G878"/>
    </row>
    <row r="879" spans="4:7" x14ac:dyDescent="0.25">
      <c r="D879"/>
      <c r="E879"/>
      <c r="F879"/>
      <c r="G879"/>
    </row>
    <row r="880" spans="4:7" x14ac:dyDescent="0.25">
      <c r="D880"/>
      <c r="E880"/>
      <c r="F880"/>
      <c r="G880"/>
    </row>
    <row r="881" spans="4:7" x14ac:dyDescent="0.25">
      <c r="D881"/>
      <c r="E881"/>
      <c r="F881"/>
      <c r="G881"/>
    </row>
    <row r="882" spans="4:7" x14ac:dyDescent="0.25">
      <c r="D882"/>
      <c r="E882"/>
      <c r="F882"/>
      <c r="G882"/>
    </row>
    <row r="883" spans="4:7" x14ac:dyDescent="0.25">
      <c r="D883"/>
      <c r="E883"/>
      <c r="F883"/>
      <c r="G883"/>
    </row>
    <row r="884" spans="4:7" x14ac:dyDescent="0.25">
      <c r="D884"/>
      <c r="E884"/>
      <c r="F884"/>
      <c r="G884"/>
    </row>
    <row r="885" spans="4:7" x14ac:dyDescent="0.25">
      <c r="D885"/>
      <c r="E885"/>
      <c r="F885"/>
      <c r="G885"/>
    </row>
    <row r="886" spans="4:7" x14ac:dyDescent="0.25">
      <c r="D886"/>
      <c r="E886"/>
      <c r="F886"/>
      <c r="G886"/>
    </row>
    <row r="887" spans="4:7" x14ac:dyDescent="0.25">
      <c r="D887"/>
      <c r="E887"/>
      <c r="F887"/>
      <c r="G887"/>
    </row>
    <row r="888" spans="4:7" x14ac:dyDescent="0.25">
      <c r="D888"/>
      <c r="E888"/>
      <c r="F888"/>
      <c r="G888"/>
    </row>
    <row r="889" spans="4:7" x14ac:dyDescent="0.25">
      <c r="D889"/>
      <c r="E889"/>
      <c r="F889"/>
      <c r="G889"/>
    </row>
    <row r="890" spans="4:7" x14ac:dyDescent="0.25">
      <c r="D890"/>
      <c r="E890"/>
      <c r="F890"/>
      <c r="G890"/>
    </row>
    <row r="891" spans="4:7" x14ac:dyDescent="0.25">
      <c r="D891"/>
      <c r="E891"/>
      <c r="F891"/>
      <c r="G891"/>
    </row>
    <row r="892" spans="4:7" x14ac:dyDescent="0.25">
      <c r="D892"/>
      <c r="E892"/>
      <c r="F892"/>
      <c r="G892"/>
    </row>
    <row r="893" spans="4:7" x14ac:dyDescent="0.25">
      <c r="D893"/>
      <c r="E893"/>
      <c r="F893"/>
      <c r="G893"/>
    </row>
    <row r="894" spans="4:7" x14ac:dyDescent="0.25">
      <c r="D894"/>
      <c r="E894"/>
      <c r="F894"/>
      <c r="G894"/>
    </row>
    <row r="895" spans="4:7" x14ac:dyDescent="0.25">
      <c r="D895"/>
      <c r="E895"/>
      <c r="F895"/>
      <c r="G895"/>
    </row>
    <row r="896" spans="4:7" x14ac:dyDescent="0.25">
      <c r="D896"/>
      <c r="E896"/>
      <c r="F896"/>
      <c r="G896"/>
    </row>
    <row r="897" spans="4:7" x14ac:dyDescent="0.25">
      <c r="D897"/>
      <c r="E897"/>
      <c r="F897"/>
      <c r="G897"/>
    </row>
    <row r="898" spans="4:7" x14ac:dyDescent="0.25">
      <c r="D898"/>
      <c r="E898"/>
      <c r="F898"/>
      <c r="G898"/>
    </row>
    <row r="899" spans="4:7" x14ac:dyDescent="0.25">
      <c r="D899"/>
      <c r="E899"/>
      <c r="F899"/>
      <c r="G899"/>
    </row>
    <row r="900" spans="4:7" x14ac:dyDescent="0.25">
      <c r="D900"/>
      <c r="E900"/>
      <c r="F900"/>
      <c r="G900"/>
    </row>
    <row r="901" spans="4:7" x14ac:dyDescent="0.25">
      <c r="D901"/>
      <c r="E901"/>
      <c r="F901"/>
      <c r="G901"/>
    </row>
    <row r="902" spans="4:7" x14ac:dyDescent="0.25">
      <c r="D902"/>
      <c r="E902"/>
      <c r="F902"/>
      <c r="G902"/>
    </row>
    <row r="903" spans="4:7" x14ac:dyDescent="0.25">
      <c r="D903"/>
      <c r="E903"/>
      <c r="F903"/>
      <c r="G903"/>
    </row>
    <row r="904" spans="4:7" x14ac:dyDescent="0.25">
      <c r="D904"/>
      <c r="E904"/>
      <c r="F904"/>
      <c r="G904"/>
    </row>
    <row r="905" spans="4:7" x14ac:dyDescent="0.25">
      <c r="D905"/>
      <c r="E905"/>
      <c r="F905"/>
      <c r="G905"/>
    </row>
    <row r="906" spans="4:7" x14ac:dyDescent="0.25">
      <c r="D906"/>
      <c r="E906"/>
      <c r="F906"/>
      <c r="G906"/>
    </row>
    <row r="907" spans="4:7" x14ac:dyDescent="0.25">
      <c r="D907"/>
      <c r="E907"/>
      <c r="F907"/>
      <c r="G907"/>
    </row>
    <row r="908" spans="4:7" x14ac:dyDescent="0.25">
      <c r="D908"/>
      <c r="E908"/>
      <c r="F908"/>
      <c r="G908"/>
    </row>
    <row r="909" spans="4:7" x14ac:dyDescent="0.25">
      <c r="D909"/>
      <c r="E909"/>
      <c r="F909"/>
      <c r="G909"/>
    </row>
    <row r="910" spans="4:7" x14ac:dyDescent="0.25">
      <c r="D910"/>
      <c r="E910"/>
      <c r="F910"/>
      <c r="G910"/>
    </row>
    <row r="911" spans="4:7" x14ac:dyDescent="0.25">
      <c r="D911"/>
      <c r="E911"/>
      <c r="F911"/>
      <c r="G911"/>
    </row>
    <row r="912" spans="4:7" x14ac:dyDescent="0.25">
      <c r="D912"/>
      <c r="E912"/>
      <c r="F912"/>
      <c r="G912"/>
    </row>
    <row r="913" spans="4:7" x14ac:dyDescent="0.25">
      <c r="D913"/>
      <c r="E913"/>
      <c r="F913"/>
      <c r="G913"/>
    </row>
    <row r="914" spans="4:7" x14ac:dyDescent="0.25">
      <c r="D914"/>
      <c r="E914"/>
      <c r="F914"/>
      <c r="G914"/>
    </row>
    <row r="915" spans="4:7" x14ac:dyDescent="0.25">
      <c r="D915"/>
      <c r="E915"/>
      <c r="F915"/>
      <c r="G915"/>
    </row>
    <row r="916" spans="4:7" x14ac:dyDescent="0.25">
      <c r="D916"/>
      <c r="E916"/>
      <c r="F916"/>
      <c r="G916"/>
    </row>
    <row r="917" spans="4:7" x14ac:dyDescent="0.25">
      <c r="D917"/>
      <c r="E917"/>
      <c r="F917"/>
      <c r="G917"/>
    </row>
    <row r="918" spans="4:7" x14ac:dyDescent="0.25">
      <c r="D918"/>
      <c r="E918"/>
      <c r="F918"/>
      <c r="G918"/>
    </row>
    <row r="919" spans="4:7" x14ac:dyDescent="0.25">
      <c r="D919"/>
      <c r="E919"/>
      <c r="F919"/>
      <c r="G919"/>
    </row>
    <row r="920" spans="4:7" x14ac:dyDescent="0.25">
      <c r="D920"/>
      <c r="E920"/>
      <c r="F920"/>
      <c r="G920"/>
    </row>
    <row r="921" spans="4:7" x14ac:dyDescent="0.25">
      <c r="D921"/>
      <c r="E921"/>
      <c r="F921"/>
      <c r="G921"/>
    </row>
    <row r="922" spans="4:7" x14ac:dyDescent="0.25">
      <c r="D922"/>
      <c r="E922"/>
      <c r="F922"/>
      <c r="G922"/>
    </row>
    <row r="923" spans="4:7" x14ac:dyDescent="0.25">
      <c r="D923"/>
      <c r="E923"/>
      <c r="F923"/>
      <c r="G923"/>
    </row>
    <row r="924" spans="4:7" x14ac:dyDescent="0.25">
      <c r="D924"/>
      <c r="E924"/>
      <c r="F924"/>
      <c r="G924"/>
    </row>
    <row r="925" spans="4:7" x14ac:dyDescent="0.25">
      <c r="D925"/>
      <c r="E925"/>
      <c r="F925"/>
      <c r="G925"/>
    </row>
    <row r="926" spans="4:7" x14ac:dyDescent="0.25">
      <c r="D926"/>
      <c r="E926"/>
      <c r="F926"/>
      <c r="G926"/>
    </row>
    <row r="927" spans="4:7" x14ac:dyDescent="0.25">
      <c r="D927"/>
      <c r="E927"/>
      <c r="F927"/>
      <c r="G927"/>
    </row>
    <row r="928" spans="4:7" x14ac:dyDescent="0.25">
      <c r="D928"/>
      <c r="E928"/>
      <c r="F928"/>
      <c r="G928"/>
    </row>
    <row r="929" spans="4:7" x14ac:dyDescent="0.25">
      <c r="D929"/>
      <c r="E929"/>
      <c r="F929"/>
      <c r="G929"/>
    </row>
    <row r="930" spans="4:7" x14ac:dyDescent="0.25">
      <c r="D930"/>
      <c r="E930"/>
      <c r="F930"/>
      <c r="G930"/>
    </row>
    <row r="931" spans="4:7" x14ac:dyDescent="0.25">
      <c r="D931"/>
      <c r="E931"/>
      <c r="F931"/>
      <c r="G931"/>
    </row>
    <row r="932" spans="4:7" x14ac:dyDescent="0.25">
      <c r="D932"/>
      <c r="E932"/>
      <c r="F932"/>
      <c r="G932"/>
    </row>
    <row r="933" spans="4:7" x14ac:dyDescent="0.25">
      <c r="D933"/>
      <c r="E933"/>
      <c r="F933"/>
      <c r="G933"/>
    </row>
    <row r="934" spans="4:7" x14ac:dyDescent="0.25">
      <c r="D934"/>
      <c r="E934"/>
      <c r="F934"/>
      <c r="G934"/>
    </row>
    <row r="935" spans="4:7" x14ac:dyDescent="0.25">
      <c r="D935"/>
      <c r="E935"/>
      <c r="F935"/>
      <c r="G935"/>
    </row>
    <row r="936" spans="4:7" x14ac:dyDescent="0.25">
      <c r="D936"/>
      <c r="E936"/>
      <c r="F936"/>
      <c r="G936"/>
    </row>
    <row r="937" spans="4:7" x14ac:dyDescent="0.25">
      <c r="D937"/>
      <c r="E937"/>
      <c r="F937"/>
      <c r="G937"/>
    </row>
    <row r="938" spans="4:7" x14ac:dyDescent="0.25">
      <c r="D938"/>
      <c r="E938"/>
      <c r="F938"/>
      <c r="G938"/>
    </row>
    <row r="939" spans="4:7" x14ac:dyDescent="0.25">
      <c r="D939"/>
      <c r="E939"/>
      <c r="F939"/>
      <c r="G939"/>
    </row>
    <row r="940" spans="4:7" x14ac:dyDescent="0.25">
      <c r="D940"/>
      <c r="E940"/>
      <c r="F940"/>
      <c r="G940"/>
    </row>
    <row r="941" spans="4:7" x14ac:dyDescent="0.25">
      <c r="D941"/>
      <c r="E941"/>
      <c r="F941"/>
      <c r="G941"/>
    </row>
    <row r="942" spans="4:7" x14ac:dyDescent="0.25">
      <c r="D942"/>
      <c r="E942"/>
      <c r="F942"/>
      <c r="G942"/>
    </row>
    <row r="943" spans="4:7" x14ac:dyDescent="0.25">
      <c r="D943"/>
      <c r="E943"/>
      <c r="F943"/>
      <c r="G943"/>
    </row>
    <row r="944" spans="4:7" x14ac:dyDescent="0.25">
      <c r="D944"/>
      <c r="E944"/>
      <c r="F944"/>
      <c r="G944"/>
    </row>
    <row r="945" spans="4:7" x14ac:dyDescent="0.25">
      <c r="D945"/>
      <c r="E945"/>
      <c r="F945"/>
      <c r="G945"/>
    </row>
    <row r="946" spans="4:7" x14ac:dyDescent="0.25">
      <c r="D946"/>
      <c r="E946"/>
      <c r="F946"/>
      <c r="G946"/>
    </row>
    <row r="947" spans="4:7" x14ac:dyDescent="0.25">
      <c r="D947"/>
      <c r="E947"/>
      <c r="F947"/>
      <c r="G947"/>
    </row>
    <row r="948" spans="4:7" x14ac:dyDescent="0.25">
      <c r="D948"/>
      <c r="E948"/>
      <c r="F948"/>
      <c r="G948"/>
    </row>
    <row r="949" spans="4:7" x14ac:dyDescent="0.25">
      <c r="D949"/>
      <c r="E949"/>
      <c r="F949"/>
      <c r="G949"/>
    </row>
    <row r="950" spans="4:7" x14ac:dyDescent="0.25">
      <c r="D950"/>
      <c r="E950"/>
      <c r="F950"/>
      <c r="G950"/>
    </row>
    <row r="951" spans="4:7" x14ac:dyDescent="0.25">
      <c r="D951"/>
      <c r="E951"/>
      <c r="F951"/>
      <c r="G951"/>
    </row>
    <row r="952" spans="4:7" x14ac:dyDescent="0.25">
      <c r="D952"/>
      <c r="E952"/>
      <c r="F952"/>
      <c r="G952"/>
    </row>
    <row r="953" spans="4:7" x14ac:dyDescent="0.25">
      <c r="D953"/>
      <c r="E953"/>
      <c r="F953"/>
      <c r="G953"/>
    </row>
    <row r="954" spans="4:7" x14ac:dyDescent="0.25">
      <c r="D954"/>
      <c r="E954"/>
      <c r="F954"/>
      <c r="G954"/>
    </row>
    <row r="955" spans="4:7" x14ac:dyDescent="0.25">
      <c r="D955"/>
      <c r="E955"/>
      <c r="F955"/>
      <c r="G955"/>
    </row>
    <row r="956" spans="4:7" x14ac:dyDescent="0.25">
      <c r="D956"/>
      <c r="E956"/>
      <c r="F956"/>
      <c r="G956"/>
    </row>
    <row r="957" spans="4:7" x14ac:dyDescent="0.25">
      <c r="D957"/>
      <c r="E957"/>
      <c r="F957"/>
      <c r="G957"/>
    </row>
    <row r="958" spans="4:7" x14ac:dyDescent="0.25">
      <c r="D958"/>
      <c r="E958"/>
      <c r="F958"/>
      <c r="G958"/>
    </row>
    <row r="959" spans="4:7" x14ac:dyDescent="0.25">
      <c r="D959"/>
      <c r="E959"/>
      <c r="F959"/>
      <c r="G959"/>
    </row>
    <row r="960" spans="4:7" x14ac:dyDescent="0.25">
      <c r="D960"/>
      <c r="E960"/>
      <c r="F960"/>
      <c r="G960"/>
    </row>
    <row r="961" spans="4:7" x14ac:dyDescent="0.25">
      <c r="D961"/>
      <c r="E961"/>
      <c r="F961"/>
      <c r="G961"/>
    </row>
    <row r="962" spans="4:7" x14ac:dyDescent="0.25">
      <c r="D962"/>
      <c r="E962"/>
      <c r="F962"/>
      <c r="G962"/>
    </row>
    <row r="963" spans="4:7" x14ac:dyDescent="0.25">
      <c r="D963"/>
      <c r="E963"/>
      <c r="F963"/>
      <c r="G963"/>
    </row>
    <row r="964" spans="4:7" x14ac:dyDescent="0.25">
      <c r="D964"/>
      <c r="E964"/>
      <c r="F964"/>
      <c r="G964"/>
    </row>
    <row r="965" spans="4:7" x14ac:dyDescent="0.25">
      <c r="D965"/>
      <c r="E965"/>
      <c r="F965"/>
      <c r="G965"/>
    </row>
    <row r="966" spans="4:7" x14ac:dyDescent="0.25">
      <c r="D966"/>
      <c r="E966"/>
      <c r="F966"/>
      <c r="G966"/>
    </row>
    <row r="967" spans="4:7" x14ac:dyDescent="0.25">
      <c r="D967"/>
      <c r="E967"/>
      <c r="F967"/>
      <c r="G967"/>
    </row>
    <row r="968" spans="4:7" x14ac:dyDescent="0.25">
      <c r="D968"/>
      <c r="E968"/>
      <c r="F968"/>
      <c r="G968"/>
    </row>
    <row r="969" spans="4:7" x14ac:dyDescent="0.25">
      <c r="D969"/>
      <c r="E969"/>
      <c r="F969"/>
      <c r="G969"/>
    </row>
    <row r="970" spans="4:7" x14ac:dyDescent="0.25">
      <c r="D970"/>
      <c r="E970"/>
      <c r="F970"/>
      <c r="G970"/>
    </row>
    <row r="971" spans="4:7" x14ac:dyDescent="0.25">
      <c r="D971"/>
      <c r="E971"/>
      <c r="F971"/>
      <c r="G971"/>
    </row>
    <row r="972" spans="4:7" x14ac:dyDescent="0.25">
      <c r="D972"/>
      <c r="E972"/>
      <c r="F972"/>
      <c r="G972"/>
    </row>
    <row r="973" spans="4:7" x14ac:dyDescent="0.25">
      <c r="D973"/>
      <c r="E973"/>
      <c r="F973"/>
      <c r="G973"/>
    </row>
    <row r="974" spans="4:7" x14ac:dyDescent="0.25">
      <c r="D974"/>
      <c r="E974"/>
      <c r="F974"/>
      <c r="G974"/>
    </row>
    <row r="975" spans="4:7" x14ac:dyDescent="0.25">
      <c r="D975"/>
      <c r="E975"/>
      <c r="F975"/>
      <c r="G975"/>
    </row>
    <row r="976" spans="4:7" x14ac:dyDescent="0.25">
      <c r="D976"/>
      <c r="E976"/>
      <c r="F976"/>
      <c r="G976"/>
    </row>
    <row r="977" spans="4:7" x14ac:dyDescent="0.25">
      <c r="D977"/>
      <c r="E977"/>
      <c r="F977"/>
      <c r="G977"/>
    </row>
    <row r="978" spans="4:7" x14ac:dyDescent="0.25">
      <c r="D978"/>
      <c r="E978"/>
      <c r="F978"/>
      <c r="G978"/>
    </row>
    <row r="979" spans="4:7" x14ac:dyDescent="0.25">
      <c r="D979"/>
      <c r="E979"/>
      <c r="F979"/>
      <c r="G979"/>
    </row>
    <row r="980" spans="4:7" x14ac:dyDescent="0.25">
      <c r="D980"/>
      <c r="E980"/>
      <c r="F980"/>
      <c r="G980"/>
    </row>
    <row r="981" spans="4:7" x14ac:dyDescent="0.25">
      <c r="D981"/>
      <c r="E981"/>
      <c r="F981"/>
      <c r="G981"/>
    </row>
    <row r="982" spans="4:7" x14ac:dyDescent="0.25">
      <c r="D982"/>
      <c r="E982"/>
      <c r="F982"/>
      <c r="G982"/>
    </row>
    <row r="983" spans="4:7" x14ac:dyDescent="0.25">
      <c r="D983"/>
      <c r="E983"/>
      <c r="F983"/>
      <c r="G983"/>
    </row>
    <row r="984" spans="4:7" x14ac:dyDescent="0.25">
      <c r="D984"/>
      <c r="E984"/>
      <c r="F984"/>
      <c r="G984"/>
    </row>
    <row r="985" spans="4:7" x14ac:dyDescent="0.25">
      <c r="D985"/>
      <c r="E985"/>
      <c r="F985"/>
      <c r="G985"/>
    </row>
    <row r="986" spans="4:7" x14ac:dyDescent="0.25">
      <c r="D986"/>
      <c r="E986"/>
      <c r="F986"/>
      <c r="G986"/>
    </row>
    <row r="987" spans="4:7" x14ac:dyDescent="0.25">
      <c r="D987"/>
      <c r="E987"/>
      <c r="F987"/>
      <c r="G987"/>
    </row>
    <row r="988" spans="4:7" x14ac:dyDescent="0.25">
      <c r="D988"/>
      <c r="E988"/>
      <c r="F988"/>
      <c r="G988"/>
    </row>
    <row r="989" spans="4:7" x14ac:dyDescent="0.25">
      <c r="D989"/>
      <c r="E989"/>
      <c r="F989"/>
      <c r="G989"/>
    </row>
    <row r="990" spans="4:7" x14ac:dyDescent="0.25">
      <c r="D990"/>
      <c r="E990"/>
      <c r="F990"/>
      <c r="G990"/>
    </row>
    <row r="991" spans="4:7" x14ac:dyDescent="0.25">
      <c r="D991"/>
      <c r="E991"/>
      <c r="F991"/>
      <c r="G991"/>
    </row>
    <row r="992" spans="4:7" x14ac:dyDescent="0.25">
      <c r="D992"/>
      <c r="E992"/>
      <c r="F992"/>
      <c r="G992"/>
    </row>
    <row r="993" spans="4:7" x14ac:dyDescent="0.25">
      <c r="D993"/>
      <c r="E993"/>
      <c r="F993"/>
      <c r="G993"/>
    </row>
    <row r="994" spans="4:7" x14ac:dyDescent="0.25">
      <c r="D994"/>
      <c r="E994"/>
      <c r="F994"/>
      <c r="G994"/>
    </row>
    <row r="995" spans="4:7" x14ac:dyDescent="0.25">
      <c r="D995"/>
      <c r="E995"/>
      <c r="F995"/>
      <c r="G995"/>
    </row>
    <row r="996" spans="4:7" x14ac:dyDescent="0.25">
      <c r="D996"/>
      <c r="E996"/>
      <c r="F996"/>
      <c r="G996"/>
    </row>
    <row r="997" spans="4:7" x14ac:dyDescent="0.25">
      <c r="D997"/>
      <c r="E997"/>
      <c r="F997"/>
      <c r="G997"/>
    </row>
    <row r="998" spans="4:7" x14ac:dyDescent="0.25">
      <c r="D998"/>
      <c r="E998"/>
      <c r="F998"/>
      <c r="G998"/>
    </row>
    <row r="999" spans="4:7" x14ac:dyDescent="0.25">
      <c r="D999"/>
      <c r="E999"/>
      <c r="F999"/>
      <c r="G999"/>
    </row>
    <row r="1000" spans="4:7" x14ac:dyDescent="0.25">
      <c r="D1000"/>
      <c r="E1000"/>
      <c r="F1000"/>
      <c r="G1000"/>
    </row>
    <row r="1001" spans="4:7" x14ac:dyDescent="0.25">
      <c r="D1001"/>
      <c r="E1001"/>
      <c r="F1001"/>
      <c r="G1001"/>
    </row>
    <row r="1002" spans="4:7" x14ac:dyDescent="0.25">
      <c r="D1002"/>
      <c r="E1002"/>
      <c r="F1002"/>
      <c r="G1002"/>
    </row>
    <row r="1003" spans="4:7" x14ac:dyDescent="0.25">
      <c r="D1003"/>
      <c r="E1003"/>
      <c r="F1003"/>
      <c r="G1003"/>
    </row>
    <row r="1004" spans="4:7" x14ac:dyDescent="0.25">
      <c r="D1004"/>
      <c r="E1004"/>
      <c r="F1004"/>
      <c r="G1004"/>
    </row>
    <row r="1005" spans="4:7" x14ac:dyDescent="0.25">
      <c r="D1005"/>
      <c r="E1005"/>
      <c r="F1005"/>
      <c r="G1005"/>
    </row>
    <row r="1006" spans="4:7" x14ac:dyDescent="0.25">
      <c r="D1006"/>
      <c r="E1006"/>
      <c r="F1006"/>
      <c r="G1006"/>
    </row>
    <row r="1007" spans="4:7" x14ac:dyDescent="0.25">
      <c r="D1007"/>
      <c r="E1007"/>
      <c r="F1007"/>
      <c r="G1007"/>
    </row>
    <row r="1008" spans="4:7" x14ac:dyDescent="0.25">
      <c r="D1008"/>
      <c r="E1008"/>
      <c r="F1008"/>
      <c r="G1008"/>
    </row>
    <row r="1009" spans="4:7" x14ac:dyDescent="0.25">
      <c r="D1009"/>
      <c r="E1009"/>
      <c r="F1009"/>
      <c r="G1009"/>
    </row>
    <row r="1010" spans="4:7" x14ac:dyDescent="0.25">
      <c r="D1010"/>
      <c r="E1010"/>
      <c r="F1010"/>
      <c r="G1010"/>
    </row>
    <row r="1011" spans="4:7" x14ac:dyDescent="0.25">
      <c r="D1011"/>
      <c r="E1011"/>
      <c r="F1011"/>
      <c r="G1011"/>
    </row>
    <row r="1012" spans="4:7" x14ac:dyDescent="0.25">
      <c r="D1012"/>
      <c r="E1012"/>
      <c r="F1012"/>
      <c r="G1012"/>
    </row>
    <row r="1013" spans="4:7" x14ac:dyDescent="0.25">
      <c r="D1013"/>
      <c r="E1013"/>
      <c r="F1013"/>
      <c r="G1013"/>
    </row>
    <row r="1014" spans="4:7" x14ac:dyDescent="0.25">
      <c r="D1014"/>
      <c r="E1014"/>
      <c r="F1014"/>
      <c r="G1014"/>
    </row>
    <row r="1015" spans="4:7" x14ac:dyDescent="0.25">
      <c r="D1015"/>
      <c r="E1015"/>
      <c r="F1015"/>
      <c r="G1015"/>
    </row>
    <row r="1016" spans="4:7" x14ac:dyDescent="0.25">
      <c r="D1016"/>
      <c r="E1016"/>
      <c r="F1016"/>
      <c r="G1016"/>
    </row>
    <row r="1017" spans="4:7" x14ac:dyDescent="0.25">
      <c r="D1017"/>
      <c r="E1017"/>
      <c r="F1017"/>
      <c r="G1017"/>
    </row>
    <row r="1018" spans="4:7" x14ac:dyDescent="0.25">
      <c r="D1018"/>
      <c r="E1018"/>
      <c r="F1018"/>
      <c r="G1018"/>
    </row>
    <row r="1019" spans="4:7" x14ac:dyDescent="0.25">
      <c r="D1019"/>
      <c r="E1019"/>
      <c r="F1019"/>
      <c r="G1019"/>
    </row>
    <row r="1020" spans="4:7" x14ac:dyDescent="0.25">
      <c r="D1020"/>
      <c r="E1020"/>
      <c r="F1020"/>
      <c r="G1020"/>
    </row>
    <row r="1021" spans="4:7" x14ac:dyDescent="0.25">
      <c r="D1021"/>
      <c r="E1021"/>
      <c r="F1021"/>
      <c r="G1021"/>
    </row>
    <row r="1022" spans="4:7" x14ac:dyDescent="0.25">
      <c r="D1022"/>
      <c r="E1022"/>
      <c r="F1022"/>
      <c r="G1022"/>
    </row>
    <row r="1023" spans="4:7" x14ac:dyDescent="0.25">
      <c r="D1023"/>
      <c r="E1023"/>
      <c r="F1023"/>
      <c r="G1023"/>
    </row>
    <row r="1024" spans="4:7" x14ac:dyDescent="0.25">
      <c r="D1024"/>
      <c r="E1024"/>
      <c r="F1024"/>
      <c r="G1024"/>
    </row>
    <row r="1025" spans="4:7" x14ac:dyDescent="0.25">
      <c r="D1025"/>
      <c r="E1025"/>
      <c r="F1025"/>
      <c r="G1025"/>
    </row>
    <row r="1026" spans="4:7" x14ac:dyDescent="0.25">
      <c r="D1026"/>
      <c r="E1026"/>
      <c r="F1026"/>
      <c r="G1026"/>
    </row>
    <row r="1027" spans="4:7" x14ac:dyDescent="0.25">
      <c r="D1027"/>
      <c r="E1027"/>
      <c r="F1027"/>
      <c r="G1027"/>
    </row>
    <row r="1028" spans="4:7" x14ac:dyDescent="0.25">
      <c r="D1028"/>
      <c r="E1028"/>
      <c r="F1028"/>
      <c r="G1028"/>
    </row>
    <row r="1029" spans="4:7" x14ac:dyDescent="0.25">
      <c r="D1029"/>
      <c r="E1029"/>
      <c r="F1029"/>
      <c r="G1029"/>
    </row>
    <row r="1030" spans="4:7" x14ac:dyDescent="0.25">
      <c r="D1030"/>
      <c r="E1030"/>
      <c r="F1030"/>
      <c r="G1030"/>
    </row>
    <row r="1031" spans="4:7" x14ac:dyDescent="0.25">
      <c r="D1031"/>
      <c r="E1031"/>
      <c r="F1031"/>
      <c r="G1031"/>
    </row>
    <row r="1032" spans="4:7" x14ac:dyDescent="0.25">
      <c r="D1032"/>
      <c r="E1032"/>
      <c r="F1032"/>
      <c r="G1032"/>
    </row>
    <row r="1033" spans="4:7" x14ac:dyDescent="0.25">
      <c r="D1033"/>
      <c r="E1033"/>
      <c r="F1033"/>
      <c r="G1033"/>
    </row>
    <row r="1034" spans="4:7" x14ac:dyDescent="0.25">
      <c r="D1034"/>
      <c r="E1034"/>
      <c r="F1034"/>
      <c r="G1034"/>
    </row>
    <row r="1035" spans="4:7" x14ac:dyDescent="0.25">
      <c r="D1035"/>
      <c r="E1035"/>
      <c r="F1035"/>
      <c r="G1035"/>
    </row>
    <row r="1036" spans="4:7" x14ac:dyDescent="0.25">
      <c r="D1036"/>
      <c r="E1036"/>
      <c r="F1036"/>
      <c r="G1036"/>
    </row>
    <row r="1037" spans="4:7" x14ac:dyDescent="0.25">
      <c r="D1037"/>
      <c r="E1037"/>
      <c r="F1037"/>
      <c r="G1037"/>
    </row>
    <row r="1038" spans="4:7" x14ac:dyDescent="0.25">
      <c r="D1038"/>
      <c r="E1038"/>
      <c r="F1038"/>
      <c r="G1038"/>
    </row>
    <row r="1039" spans="4:7" x14ac:dyDescent="0.25">
      <c r="D1039"/>
      <c r="E1039"/>
      <c r="F1039"/>
      <c r="G1039"/>
    </row>
    <row r="1040" spans="4:7" x14ac:dyDescent="0.25">
      <c r="D1040"/>
      <c r="E1040"/>
      <c r="F1040"/>
      <c r="G1040"/>
    </row>
    <row r="1041" spans="4:7" x14ac:dyDescent="0.25">
      <c r="D1041"/>
      <c r="E1041"/>
      <c r="F1041"/>
      <c r="G1041"/>
    </row>
    <row r="1042" spans="4:7" x14ac:dyDescent="0.25">
      <c r="D1042"/>
      <c r="E1042"/>
      <c r="F1042"/>
      <c r="G1042"/>
    </row>
    <row r="1043" spans="4:7" x14ac:dyDescent="0.25">
      <c r="D1043"/>
      <c r="E1043"/>
      <c r="F1043"/>
      <c r="G1043"/>
    </row>
    <row r="1044" spans="4:7" x14ac:dyDescent="0.25">
      <c r="D1044"/>
      <c r="E1044"/>
      <c r="F1044"/>
      <c r="G1044"/>
    </row>
    <row r="1045" spans="4:7" x14ac:dyDescent="0.25">
      <c r="D1045"/>
      <c r="E1045"/>
      <c r="F1045"/>
      <c r="G1045"/>
    </row>
    <row r="1046" spans="4:7" x14ac:dyDescent="0.25">
      <c r="D1046"/>
      <c r="E1046"/>
      <c r="F1046"/>
      <c r="G1046"/>
    </row>
    <row r="1047" spans="4:7" x14ac:dyDescent="0.25">
      <c r="D1047"/>
      <c r="E1047"/>
      <c r="F1047"/>
      <c r="G1047"/>
    </row>
    <row r="1048" spans="4:7" x14ac:dyDescent="0.25">
      <c r="D1048"/>
      <c r="E1048"/>
      <c r="F1048"/>
      <c r="G1048"/>
    </row>
    <row r="1049" spans="4:7" x14ac:dyDescent="0.25">
      <c r="D1049"/>
      <c r="E1049"/>
      <c r="F1049"/>
      <c r="G1049"/>
    </row>
    <row r="1050" spans="4:7" x14ac:dyDescent="0.25">
      <c r="D1050"/>
      <c r="E1050"/>
      <c r="F1050"/>
      <c r="G1050"/>
    </row>
    <row r="1051" spans="4:7" x14ac:dyDescent="0.25">
      <c r="D1051"/>
      <c r="E1051"/>
      <c r="F1051"/>
      <c r="G1051"/>
    </row>
    <row r="1052" spans="4:7" x14ac:dyDescent="0.25">
      <c r="D1052"/>
      <c r="E1052"/>
      <c r="F1052"/>
      <c r="G1052"/>
    </row>
    <row r="1053" spans="4:7" x14ac:dyDescent="0.25">
      <c r="D1053"/>
      <c r="E1053"/>
      <c r="F1053"/>
      <c r="G1053"/>
    </row>
    <row r="1054" spans="4:7" x14ac:dyDescent="0.25">
      <c r="D1054"/>
      <c r="E1054"/>
      <c r="F1054"/>
      <c r="G1054"/>
    </row>
    <row r="1055" spans="4:7" x14ac:dyDescent="0.25">
      <c r="D1055"/>
      <c r="E1055"/>
      <c r="F1055"/>
      <c r="G1055"/>
    </row>
    <row r="1056" spans="4:7" x14ac:dyDescent="0.25">
      <c r="D1056"/>
      <c r="E1056"/>
      <c r="F1056"/>
      <c r="G1056"/>
    </row>
    <row r="1057" spans="4:7" x14ac:dyDescent="0.25">
      <c r="D1057"/>
      <c r="E1057"/>
      <c r="F1057"/>
      <c r="G1057"/>
    </row>
    <row r="1058" spans="4:7" x14ac:dyDescent="0.25">
      <c r="D1058"/>
      <c r="E1058"/>
      <c r="F1058"/>
      <c r="G1058"/>
    </row>
    <row r="1059" spans="4:7" x14ac:dyDescent="0.25">
      <c r="D1059"/>
      <c r="E1059"/>
      <c r="F1059"/>
      <c r="G1059"/>
    </row>
    <row r="1060" spans="4:7" x14ac:dyDescent="0.25">
      <c r="D1060"/>
      <c r="E1060"/>
      <c r="F1060"/>
      <c r="G1060"/>
    </row>
    <row r="1061" spans="4:7" x14ac:dyDescent="0.25">
      <c r="D1061"/>
      <c r="E1061"/>
      <c r="F1061"/>
      <c r="G1061"/>
    </row>
    <row r="1062" spans="4:7" x14ac:dyDescent="0.25">
      <c r="D1062"/>
      <c r="E1062"/>
      <c r="F1062"/>
      <c r="G1062"/>
    </row>
    <row r="1063" spans="4:7" x14ac:dyDescent="0.25">
      <c r="D1063"/>
      <c r="E1063"/>
      <c r="F1063"/>
      <c r="G1063"/>
    </row>
    <row r="1064" spans="4:7" x14ac:dyDescent="0.25">
      <c r="D1064"/>
      <c r="E1064"/>
      <c r="F1064"/>
      <c r="G1064"/>
    </row>
    <row r="1065" spans="4:7" x14ac:dyDescent="0.25">
      <c r="D1065"/>
      <c r="E1065"/>
      <c r="F1065"/>
      <c r="G1065"/>
    </row>
    <row r="1066" spans="4:7" x14ac:dyDescent="0.25">
      <c r="D1066"/>
      <c r="E1066"/>
      <c r="F1066"/>
      <c r="G1066"/>
    </row>
    <row r="1067" spans="4:7" x14ac:dyDescent="0.25">
      <c r="D1067"/>
      <c r="E1067"/>
      <c r="F1067"/>
      <c r="G1067"/>
    </row>
    <row r="1068" spans="4:7" x14ac:dyDescent="0.25">
      <c r="D1068"/>
      <c r="E1068"/>
      <c r="F1068"/>
      <c r="G1068"/>
    </row>
    <row r="1069" spans="4:7" x14ac:dyDescent="0.25">
      <c r="D1069"/>
      <c r="E1069"/>
      <c r="F1069"/>
      <c r="G1069"/>
    </row>
    <row r="1070" spans="4:7" x14ac:dyDescent="0.25">
      <c r="D1070"/>
      <c r="E1070"/>
      <c r="F1070"/>
      <c r="G1070"/>
    </row>
    <row r="1071" spans="4:7" x14ac:dyDescent="0.25">
      <c r="D1071"/>
      <c r="E1071"/>
      <c r="F1071"/>
      <c r="G1071"/>
    </row>
    <row r="1072" spans="4:7" x14ac:dyDescent="0.25">
      <c r="D1072"/>
      <c r="E1072"/>
      <c r="F1072"/>
      <c r="G1072"/>
    </row>
    <row r="1073" spans="4:7" x14ac:dyDescent="0.25">
      <c r="D1073"/>
      <c r="E1073"/>
      <c r="F1073"/>
      <c r="G1073"/>
    </row>
    <row r="1074" spans="4:7" x14ac:dyDescent="0.25">
      <c r="D1074"/>
      <c r="E1074"/>
      <c r="F1074"/>
      <c r="G1074"/>
    </row>
    <row r="1075" spans="4:7" x14ac:dyDescent="0.25">
      <c r="D1075"/>
      <c r="E1075"/>
      <c r="F1075"/>
      <c r="G1075"/>
    </row>
    <row r="1076" spans="4:7" x14ac:dyDescent="0.25">
      <c r="D1076"/>
      <c r="E1076"/>
      <c r="F1076"/>
      <c r="G1076"/>
    </row>
    <row r="1077" spans="4:7" x14ac:dyDescent="0.25">
      <c r="D1077"/>
      <c r="E1077"/>
      <c r="F1077"/>
      <c r="G1077"/>
    </row>
    <row r="1078" spans="4:7" x14ac:dyDescent="0.25">
      <c r="D1078"/>
      <c r="E1078"/>
      <c r="F1078"/>
      <c r="G1078"/>
    </row>
    <row r="1079" spans="4:7" x14ac:dyDescent="0.25">
      <c r="D1079"/>
      <c r="E1079"/>
      <c r="F1079"/>
      <c r="G1079"/>
    </row>
    <row r="1080" spans="4:7" x14ac:dyDescent="0.25">
      <c r="D1080"/>
      <c r="E1080"/>
      <c r="F1080"/>
      <c r="G1080"/>
    </row>
    <row r="1081" spans="4:7" x14ac:dyDescent="0.25">
      <c r="D1081"/>
      <c r="E1081"/>
      <c r="F1081"/>
      <c r="G1081"/>
    </row>
    <row r="1082" spans="4:7" x14ac:dyDescent="0.25">
      <c r="D1082"/>
      <c r="E1082"/>
      <c r="F1082"/>
      <c r="G1082"/>
    </row>
    <row r="1083" spans="4:7" x14ac:dyDescent="0.25">
      <c r="D1083"/>
      <c r="E1083"/>
      <c r="F1083"/>
      <c r="G1083"/>
    </row>
    <row r="1084" spans="4:7" x14ac:dyDescent="0.25">
      <c r="D1084"/>
      <c r="E1084"/>
      <c r="F1084"/>
      <c r="G1084"/>
    </row>
    <row r="1085" spans="4:7" x14ac:dyDescent="0.25">
      <c r="D1085"/>
      <c r="E1085"/>
      <c r="F1085"/>
      <c r="G1085"/>
    </row>
    <row r="1086" spans="4:7" x14ac:dyDescent="0.25">
      <c r="D1086"/>
      <c r="E1086"/>
      <c r="F1086"/>
      <c r="G1086"/>
    </row>
    <row r="1087" spans="4:7" x14ac:dyDescent="0.25">
      <c r="D1087"/>
      <c r="E1087"/>
      <c r="F1087"/>
      <c r="G1087"/>
    </row>
    <row r="1088" spans="4:7" x14ac:dyDescent="0.25">
      <c r="D1088"/>
      <c r="E1088"/>
      <c r="F1088"/>
      <c r="G1088"/>
    </row>
    <row r="1089" spans="4:7" x14ac:dyDescent="0.25">
      <c r="D1089"/>
      <c r="E1089"/>
      <c r="F1089"/>
      <c r="G1089"/>
    </row>
    <row r="1090" spans="4:7" x14ac:dyDescent="0.25">
      <c r="D1090"/>
      <c r="E1090"/>
      <c r="F1090"/>
      <c r="G1090"/>
    </row>
    <row r="1091" spans="4:7" x14ac:dyDescent="0.25">
      <c r="D1091"/>
      <c r="E1091"/>
      <c r="F1091"/>
      <c r="G1091"/>
    </row>
    <row r="1092" spans="4:7" x14ac:dyDescent="0.25">
      <c r="D1092"/>
      <c r="E1092"/>
      <c r="F1092"/>
      <c r="G1092"/>
    </row>
    <row r="1093" spans="4:7" x14ac:dyDescent="0.25">
      <c r="D1093"/>
      <c r="E1093"/>
      <c r="F1093"/>
      <c r="G1093"/>
    </row>
    <row r="1094" spans="4:7" x14ac:dyDescent="0.25">
      <c r="D1094"/>
      <c r="E1094"/>
      <c r="F1094"/>
      <c r="G1094"/>
    </row>
    <row r="1095" spans="4:7" x14ac:dyDescent="0.25">
      <c r="D1095"/>
      <c r="E1095"/>
      <c r="F1095"/>
      <c r="G1095"/>
    </row>
    <row r="1096" spans="4:7" x14ac:dyDescent="0.25">
      <c r="D1096"/>
      <c r="E1096"/>
      <c r="F1096"/>
      <c r="G1096"/>
    </row>
    <row r="1097" spans="4:7" x14ac:dyDescent="0.25">
      <c r="D1097"/>
      <c r="E1097"/>
      <c r="F1097"/>
      <c r="G1097"/>
    </row>
    <row r="1098" spans="4:7" x14ac:dyDescent="0.25">
      <c r="D1098"/>
      <c r="E1098"/>
      <c r="F1098"/>
      <c r="G1098"/>
    </row>
    <row r="1099" spans="4:7" x14ac:dyDescent="0.25">
      <c r="D1099"/>
      <c r="E1099"/>
      <c r="F1099"/>
      <c r="G1099"/>
    </row>
    <row r="1100" spans="4:7" x14ac:dyDescent="0.25">
      <c r="D1100"/>
      <c r="E1100"/>
      <c r="F1100"/>
      <c r="G1100"/>
    </row>
    <row r="1101" spans="4:7" x14ac:dyDescent="0.25">
      <c r="D1101"/>
      <c r="E1101"/>
      <c r="F1101"/>
      <c r="G1101"/>
    </row>
    <row r="1102" spans="4:7" x14ac:dyDescent="0.25">
      <c r="D1102"/>
      <c r="E1102"/>
      <c r="F1102"/>
      <c r="G1102"/>
    </row>
    <row r="1103" spans="4:7" x14ac:dyDescent="0.25">
      <c r="D1103"/>
      <c r="E1103"/>
      <c r="F1103"/>
      <c r="G1103"/>
    </row>
    <row r="1104" spans="4:7" x14ac:dyDescent="0.25">
      <c r="D1104"/>
      <c r="E1104"/>
      <c r="F1104"/>
      <c r="G1104"/>
    </row>
    <row r="1105" spans="4:7" x14ac:dyDescent="0.25">
      <c r="D1105"/>
      <c r="E1105"/>
      <c r="F1105"/>
      <c r="G1105"/>
    </row>
    <row r="1106" spans="4:7" x14ac:dyDescent="0.25">
      <c r="D1106"/>
      <c r="E1106"/>
      <c r="F1106"/>
      <c r="G1106"/>
    </row>
    <row r="1107" spans="4:7" x14ac:dyDescent="0.25">
      <c r="D1107"/>
      <c r="E1107"/>
      <c r="F1107"/>
      <c r="G1107"/>
    </row>
    <row r="1108" spans="4:7" x14ac:dyDescent="0.25">
      <c r="D1108"/>
      <c r="E1108"/>
      <c r="F1108"/>
      <c r="G1108"/>
    </row>
    <row r="1109" spans="4:7" x14ac:dyDescent="0.25">
      <c r="D1109"/>
      <c r="E1109"/>
      <c r="F1109"/>
      <c r="G1109"/>
    </row>
    <row r="1110" spans="4:7" x14ac:dyDescent="0.25">
      <c r="D1110"/>
      <c r="E1110"/>
      <c r="F1110"/>
      <c r="G1110"/>
    </row>
    <row r="1111" spans="4:7" x14ac:dyDescent="0.25">
      <c r="D1111"/>
      <c r="E1111"/>
      <c r="F1111"/>
      <c r="G1111"/>
    </row>
    <row r="1112" spans="4:7" x14ac:dyDescent="0.25">
      <c r="D1112"/>
      <c r="E1112"/>
      <c r="F1112"/>
      <c r="G1112"/>
    </row>
    <row r="1113" spans="4:7" x14ac:dyDescent="0.25">
      <c r="D1113"/>
      <c r="E1113"/>
      <c r="F1113"/>
      <c r="G1113"/>
    </row>
    <row r="1114" spans="4:7" x14ac:dyDescent="0.25">
      <c r="D1114"/>
      <c r="E1114"/>
      <c r="F1114"/>
      <c r="G1114"/>
    </row>
    <row r="1115" spans="4:7" x14ac:dyDescent="0.25">
      <c r="D1115"/>
      <c r="E1115"/>
      <c r="F1115"/>
      <c r="G1115"/>
    </row>
    <row r="1116" spans="4:7" x14ac:dyDescent="0.25">
      <c r="D1116"/>
      <c r="E1116"/>
      <c r="F1116"/>
      <c r="G1116"/>
    </row>
    <row r="1117" spans="4:7" x14ac:dyDescent="0.25">
      <c r="D1117"/>
      <c r="E1117"/>
      <c r="F1117"/>
      <c r="G1117"/>
    </row>
    <row r="1118" spans="4:7" x14ac:dyDescent="0.25">
      <c r="D1118"/>
      <c r="E1118"/>
      <c r="F1118"/>
      <c r="G1118"/>
    </row>
    <row r="1119" spans="4:7" x14ac:dyDescent="0.25">
      <c r="D1119"/>
      <c r="E1119"/>
      <c r="F1119"/>
      <c r="G1119"/>
    </row>
    <row r="1120" spans="4:7" x14ac:dyDescent="0.25">
      <c r="D1120"/>
      <c r="E1120"/>
      <c r="F1120"/>
      <c r="G1120"/>
    </row>
    <row r="1121" spans="4:7" x14ac:dyDescent="0.25">
      <c r="D1121"/>
      <c r="E1121"/>
      <c r="F1121"/>
      <c r="G1121"/>
    </row>
    <row r="1122" spans="4:7" x14ac:dyDescent="0.25">
      <c r="D1122"/>
      <c r="E1122"/>
      <c r="F1122"/>
      <c r="G1122"/>
    </row>
    <row r="1123" spans="4:7" x14ac:dyDescent="0.25">
      <c r="D1123"/>
      <c r="E1123"/>
      <c r="F1123"/>
      <c r="G1123"/>
    </row>
    <row r="1124" spans="4:7" x14ac:dyDescent="0.25">
      <c r="D1124"/>
      <c r="E1124"/>
      <c r="F1124"/>
      <c r="G1124"/>
    </row>
    <row r="1125" spans="4:7" x14ac:dyDescent="0.25">
      <c r="D1125"/>
      <c r="E1125"/>
      <c r="F1125"/>
      <c r="G1125"/>
    </row>
    <row r="1126" spans="4:7" x14ac:dyDescent="0.25">
      <c r="D1126"/>
      <c r="E1126"/>
      <c r="F1126"/>
      <c r="G1126"/>
    </row>
    <row r="1127" spans="4:7" x14ac:dyDescent="0.25">
      <c r="D1127"/>
      <c r="E1127"/>
      <c r="F1127"/>
      <c r="G1127"/>
    </row>
    <row r="1128" spans="4:7" x14ac:dyDescent="0.25">
      <c r="D1128"/>
      <c r="E1128"/>
      <c r="F1128"/>
      <c r="G1128"/>
    </row>
    <row r="1129" spans="4:7" x14ac:dyDescent="0.25">
      <c r="D1129"/>
      <c r="E1129"/>
      <c r="F1129"/>
      <c r="G1129"/>
    </row>
    <row r="1130" spans="4:7" x14ac:dyDescent="0.25">
      <c r="D1130"/>
      <c r="E1130"/>
      <c r="F1130"/>
      <c r="G1130"/>
    </row>
    <row r="1131" spans="4:7" x14ac:dyDescent="0.25">
      <c r="D1131"/>
      <c r="E1131"/>
      <c r="F1131"/>
      <c r="G1131"/>
    </row>
    <row r="1132" spans="4:7" x14ac:dyDescent="0.25">
      <c r="D1132"/>
      <c r="E1132"/>
      <c r="F1132"/>
      <c r="G1132"/>
    </row>
    <row r="1133" spans="4:7" x14ac:dyDescent="0.25">
      <c r="D1133"/>
      <c r="E1133"/>
      <c r="F1133"/>
      <c r="G1133"/>
    </row>
    <row r="1134" spans="4:7" x14ac:dyDescent="0.25">
      <c r="D1134"/>
      <c r="E1134"/>
      <c r="F1134"/>
      <c r="G1134"/>
    </row>
    <row r="1135" spans="4:7" x14ac:dyDescent="0.25">
      <c r="D1135"/>
      <c r="E1135"/>
      <c r="F1135"/>
      <c r="G1135"/>
    </row>
    <row r="1136" spans="4:7" x14ac:dyDescent="0.25">
      <c r="D1136"/>
      <c r="E1136"/>
      <c r="F1136"/>
      <c r="G1136"/>
    </row>
    <row r="1137" spans="4:7" x14ac:dyDescent="0.25">
      <c r="D1137"/>
      <c r="E1137"/>
      <c r="F1137"/>
      <c r="G1137"/>
    </row>
    <row r="1138" spans="4:7" x14ac:dyDescent="0.25">
      <c r="D1138"/>
      <c r="E1138"/>
      <c r="F1138"/>
      <c r="G1138"/>
    </row>
    <row r="1139" spans="4:7" x14ac:dyDescent="0.25">
      <c r="D1139"/>
      <c r="E1139"/>
      <c r="F1139"/>
      <c r="G1139"/>
    </row>
    <row r="1140" spans="4:7" x14ac:dyDescent="0.25">
      <c r="D1140"/>
      <c r="E1140"/>
      <c r="F1140"/>
      <c r="G1140"/>
    </row>
    <row r="1141" spans="4:7" x14ac:dyDescent="0.25">
      <c r="D1141"/>
      <c r="E1141"/>
      <c r="F1141"/>
      <c r="G1141"/>
    </row>
    <row r="1142" spans="4:7" x14ac:dyDescent="0.25">
      <c r="D1142"/>
      <c r="E1142"/>
      <c r="F1142"/>
      <c r="G1142"/>
    </row>
    <row r="1143" spans="4:7" x14ac:dyDescent="0.25">
      <c r="D1143"/>
      <c r="E1143"/>
      <c r="F1143"/>
      <c r="G1143"/>
    </row>
    <row r="1144" spans="4:7" x14ac:dyDescent="0.25">
      <c r="D1144"/>
      <c r="E1144"/>
      <c r="F1144"/>
      <c r="G1144"/>
    </row>
    <row r="1145" spans="4:7" x14ac:dyDescent="0.25">
      <c r="D1145"/>
      <c r="E1145"/>
      <c r="F1145"/>
      <c r="G1145"/>
    </row>
    <row r="1146" spans="4:7" x14ac:dyDescent="0.25">
      <c r="D1146"/>
      <c r="E1146"/>
      <c r="F1146"/>
      <c r="G1146"/>
    </row>
    <row r="1147" spans="4:7" x14ac:dyDescent="0.25">
      <c r="D1147"/>
      <c r="E1147"/>
      <c r="F1147"/>
      <c r="G1147"/>
    </row>
    <row r="1148" spans="4:7" x14ac:dyDescent="0.25">
      <c r="D1148"/>
      <c r="E1148"/>
      <c r="F1148"/>
      <c r="G1148"/>
    </row>
    <row r="1149" spans="4:7" x14ac:dyDescent="0.25">
      <c r="D1149"/>
      <c r="E1149"/>
      <c r="F1149"/>
      <c r="G1149"/>
    </row>
    <row r="1150" spans="4:7" x14ac:dyDescent="0.25">
      <c r="D1150"/>
      <c r="E1150"/>
      <c r="F1150"/>
      <c r="G1150"/>
    </row>
    <row r="1151" spans="4:7" x14ac:dyDescent="0.25">
      <c r="D1151"/>
      <c r="E1151"/>
      <c r="F1151"/>
      <c r="G1151"/>
    </row>
    <row r="1152" spans="4:7" x14ac:dyDescent="0.25">
      <c r="D1152"/>
      <c r="E1152"/>
      <c r="F1152"/>
      <c r="G1152"/>
    </row>
    <row r="1153" spans="4:7" x14ac:dyDescent="0.25">
      <c r="D1153"/>
      <c r="E1153"/>
      <c r="F1153"/>
      <c r="G1153"/>
    </row>
    <row r="1154" spans="4:7" x14ac:dyDescent="0.25">
      <c r="D1154"/>
      <c r="E1154"/>
      <c r="F1154"/>
      <c r="G1154"/>
    </row>
    <row r="1155" spans="4:7" x14ac:dyDescent="0.25">
      <c r="D1155"/>
      <c r="E1155"/>
      <c r="F1155"/>
      <c r="G1155"/>
    </row>
    <row r="1156" spans="4:7" x14ac:dyDescent="0.25">
      <c r="D1156"/>
      <c r="E1156"/>
      <c r="F1156"/>
      <c r="G1156"/>
    </row>
    <row r="1157" spans="4:7" x14ac:dyDescent="0.25">
      <c r="D1157"/>
      <c r="E1157"/>
      <c r="F1157"/>
      <c r="G1157"/>
    </row>
    <row r="1158" spans="4:7" x14ac:dyDescent="0.25">
      <c r="D1158"/>
      <c r="E1158"/>
      <c r="F1158"/>
      <c r="G1158"/>
    </row>
    <row r="1159" spans="4:7" x14ac:dyDescent="0.25">
      <c r="D1159"/>
      <c r="E1159"/>
      <c r="F1159"/>
      <c r="G1159"/>
    </row>
    <row r="1160" spans="4:7" x14ac:dyDescent="0.25">
      <c r="D1160"/>
      <c r="E1160"/>
      <c r="F1160"/>
      <c r="G1160"/>
    </row>
    <row r="1161" spans="4:7" x14ac:dyDescent="0.25">
      <c r="D1161"/>
      <c r="E1161"/>
      <c r="F1161"/>
      <c r="G1161"/>
    </row>
    <row r="1162" spans="4:7" x14ac:dyDescent="0.25">
      <c r="D1162"/>
      <c r="E1162"/>
      <c r="F1162"/>
      <c r="G1162"/>
    </row>
    <row r="1163" spans="4:7" x14ac:dyDescent="0.25">
      <c r="D1163"/>
      <c r="E1163"/>
      <c r="F1163"/>
      <c r="G1163"/>
    </row>
    <row r="1164" spans="4:7" x14ac:dyDescent="0.25">
      <c r="D1164"/>
      <c r="E1164"/>
      <c r="F1164"/>
      <c r="G1164"/>
    </row>
    <row r="1165" spans="4:7" x14ac:dyDescent="0.25">
      <c r="D1165"/>
      <c r="E1165"/>
      <c r="F1165"/>
      <c r="G1165"/>
    </row>
    <row r="1166" spans="4:7" x14ac:dyDescent="0.25">
      <c r="D1166"/>
      <c r="E1166"/>
      <c r="F1166"/>
      <c r="G1166"/>
    </row>
    <row r="1167" spans="4:7" x14ac:dyDescent="0.25">
      <c r="D1167"/>
      <c r="E1167"/>
      <c r="F1167"/>
      <c r="G1167"/>
    </row>
    <row r="1168" spans="4:7" x14ac:dyDescent="0.25">
      <c r="D1168"/>
      <c r="E1168"/>
      <c r="F1168"/>
      <c r="G1168"/>
    </row>
    <row r="1169" spans="4:7" x14ac:dyDescent="0.25">
      <c r="D1169"/>
      <c r="E1169"/>
      <c r="F1169"/>
      <c r="G1169"/>
    </row>
    <row r="1170" spans="4:7" x14ac:dyDescent="0.25">
      <c r="D1170"/>
      <c r="E1170"/>
      <c r="F1170"/>
      <c r="G1170"/>
    </row>
    <row r="1171" spans="4:7" x14ac:dyDescent="0.25">
      <c r="D1171"/>
      <c r="E1171"/>
      <c r="F1171"/>
      <c r="G1171"/>
    </row>
    <row r="1172" spans="4:7" x14ac:dyDescent="0.25">
      <c r="D1172"/>
      <c r="E1172"/>
      <c r="F1172"/>
      <c r="G1172"/>
    </row>
    <row r="1173" spans="4:7" x14ac:dyDescent="0.25">
      <c r="D1173"/>
      <c r="E1173"/>
      <c r="F1173"/>
      <c r="G1173"/>
    </row>
    <row r="1174" spans="4:7" x14ac:dyDescent="0.25">
      <c r="D1174"/>
      <c r="E1174"/>
      <c r="F1174"/>
      <c r="G1174"/>
    </row>
    <row r="1175" spans="4:7" x14ac:dyDescent="0.25">
      <c r="D1175"/>
      <c r="E1175"/>
      <c r="F1175"/>
      <c r="G1175"/>
    </row>
    <row r="1176" spans="4:7" x14ac:dyDescent="0.25">
      <c r="D1176"/>
      <c r="E1176"/>
      <c r="F1176"/>
      <c r="G1176"/>
    </row>
    <row r="1177" spans="4:7" x14ac:dyDescent="0.25">
      <c r="D1177"/>
      <c r="E1177"/>
      <c r="F1177"/>
      <c r="G1177"/>
    </row>
    <row r="1178" spans="4:7" x14ac:dyDescent="0.25">
      <c r="D1178"/>
      <c r="E1178"/>
      <c r="F1178"/>
      <c r="G1178"/>
    </row>
    <row r="1179" spans="4:7" x14ac:dyDescent="0.25">
      <c r="D1179"/>
      <c r="E1179"/>
      <c r="F1179"/>
      <c r="G1179"/>
    </row>
    <row r="1180" spans="4:7" x14ac:dyDescent="0.25">
      <c r="D1180"/>
      <c r="E1180"/>
      <c r="F1180"/>
      <c r="G1180"/>
    </row>
    <row r="1181" spans="4:7" x14ac:dyDescent="0.25">
      <c r="D1181"/>
      <c r="E1181"/>
      <c r="F1181"/>
      <c r="G1181"/>
    </row>
    <row r="1182" spans="4:7" x14ac:dyDescent="0.25">
      <c r="D1182"/>
      <c r="E1182"/>
      <c r="F1182"/>
      <c r="G1182"/>
    </row>
    <row r="1183" spans="4:7" x14ac:dyDescent="0.25">
      <c r="D1183"/>
      <c r="E1183"/>
      <c r="F1183"/>
      <c r="G1183"/>
    </row>
    <row r="1184" spans="4:7" x14ac:dyDescent="0.25">
      <c r="D1184"/>
      <c r="E1184"/>
      <c r="F1184"/>
      <c r="G1184"/>
    </row>
    <row r="1185" spans="4:7" x14ac:dyDescent="0.25">
      <c r="D1185"/>
      <c r="E1185"/>
      <c r="F1185"/>
      <c r="G1185"/>
    </row>
    <row r="1186" spans="4:7" x14ac:dyDescent="0.25">
      <c r="D1186"/>
      <c r="E1186"/>
      <c r="F1186"/>
      <c r="G1186"/>
    </row>
    <row r="1187" spans="4:7" x14ac:dyDescent="0.25">
      <c r="D1187"/>
      <c r="E1187"/>
      <c r="F1187"/>
      <c r="G1187"/>
    </row>
    <row r="1188" spans="4:7" x14ac:dyDescent="0.25">
      <c r="D1188"/>
      <c r="E1188"/>
      <c r="F1188"/>
      <c r="G1188"/>
    </row>
    <row r="1189" spans="4:7" x14ac:dyDescent="0.25">
      <c r="D1189"/>
      <c r="E1189"/>
      <c r="F1189"/>
      <c r="G1189"/>
    </row>
    <row r="1190" spans="4:7" x14ac:dyDescent="0.25">
      <c r="D1190"/>
      <c r="E1190"/>
      <c r="F1190"/>
      <c r="G1190"/>
    </row>
    <row r="1191" spans="4:7" x14ac:dyDescent="0.25">
      <c r="D1191"/>
      <c r="E1191"/>
      <c r="F1191"/>
      <c r="G1191"/>
    </row>
    <row r="1192" spans="4:7" x14ac:dyDescent="0.25">
      <c r="D1192"/>
      <c r="E1192"/>
      <c r="F1192"/>
      <c r="G1192"/>
    </row>
    <row r="1193" spans="4:7" x14ac:dyDescent="0.25">
      <c r="D1193"/>
      <c r="E1193"/>
      <c r="F1193"/>
      <c r="G1193"/>
    </row>
    <row r="1194" spans="4:7" x14ac:dyDescent="0.25">
      <c r="D1194"/>
      <c r="E1194"/>
      <c r="F1194"/>
      <c r="G1194"/>
    </row>
    <row r="1195" spans="4:7" x14ac:dyDescent="0.25">
      <c r="D1195"/>
      <c r="E1195"/>
      <c r="F1195"/>
      <c r="G1195"/>
    </row>
    <row r="1196" spans="4:7" x14ac:dyDescent="0.25">
      <c r="D1196"/>
      <c r="E1196"/>
      <c r="F1196"/>
      <c r="G1196"/>
    </row>
    <row r="1197" spans="4:7" x14ac:dyDescent="0.25">
      <c r="D1197"/>
      <c r="E1197"/>
      <c r="F1197"/>
      <c r="G1197"/>
    </row>
    <row r="1198" spans="4:7" x14ac:dyDescent="0.25">
      <c r="D1198"/>
      <c r="E1198"/>
      <c r="F1198"/>
      <c r="G1198"/>
    </row>
    <row r="1199" spans="4:7" x14ac:dyDescent="0.25">
      <c r="D1199"/>
      <c r="E1199"/>
      <c r="F1199"/>
      <c r="G1199"/>
    </row>
    <row r="1200" spans="4:7" x14ac:dyDescent="0.25">
      <c r="D1200"/>
      <c r="E1200"/>
      <c r="F1200"/>
      <c r="G1200"/>
    </row>
    <row r="1201" spans="4:7" x14ac:dyDescent="0.25">
      <c r="D1201"/>
      <c r="E1201"/>
      <c r="F1201"/>
      <c r="G1201"/>
    </row>
    <row r="1202" spans="4:7" x14ac:dyDescent="0.25">
      <c r="D1202"/>
      <c r="E1202"/>
      <c r="F1202"/>
      <c r="G1202"/>
    </row>
    <row r="1203" spans="4:7" x14ac:dyDescent="0.25">
      <c r="D1203"/>
      <c r="E1203"/>
      <c r="F1203"/>
      <c r="G1203"/>
    </row>
    <row r="1204" spans="4:7" x14ac:dyDescent="0.25">
      <c r="D1204"/>
      <c r="E1204"/>
      <c r="F1204"/>
      <c r="G1204"/>
    </row>
    <row r="1205" spans="4:7" x14ac:dyDescent="0.25">
      <c r="D1205"/>
      <c r="E1205"/>
      <c r="F1205"/>
      <c r="G1205"/>
    </row>
    <row r="1206" spans="4:7" x14ac:dyDescent="0.25">
      <c r="D1206"/>
      <c r="E1206"/>
      <c r="F1206"/>
      <c r="G1206"/>
    </row>
    <row r="1207" spans="4:7" x14ac:dyDescent="0.25">
      <c r="D1207"/>
      <c r="E1207"/>
      <c r="F1207"/>
      <c r="G1207"/>
    </row>
    <row r="1208" spans="4:7" x14ac:dyDescent="0.25">
      <c r="D1208"/>
      <c r="E1208"/>
      <c r="F1208"/>
      <c r="G1208"/>
    </row>
    <row r="1209" spans="4:7" x14ac:dyDescent="0.25">
      <c r="D1209"/>
      <c r="E1209"/>
      <c r="F1209"/>
      <c r="G1209"/>
    </row>
    <row r="1210" spans="4:7" x14ac:dyDescent="0.25">
      <c r="D1210"/>
      <c r="E1210"/>
      <c r="F1210"/>
      <c r="G1210"/>
    </row>
    <row r="1211" spans="4:7" x14ac:dyDescent="0.25">
      <c r="D1211"/>
      <c r="E1211"/>
      <c r="F1211"/>
      <c r="G1211"/>
    </row>
    <row r="1212" spans="4:7" x14ac:dyDescent="0.25">
      <c r="D1212"/>
      <c r="E1212"/>
      <c r="F1212"/>
      <c r="G1212"/>
    </row>
    <row r="1213" spans="4:7" x14ac:dyDescent="0.25">
      <c r="D1213"/>
      <c r="E1213"/>
      <c r="F1213"/>
      <c r="G1213"/>
    </row>
    <row r="1214" spans="4:7" x14ac:dyDescent="0.25">
      <c r="D1214"/>
      <c r="E1214"/>
      <c r="F1214"/>
      <c r="G1214"/>
    </row>
    <row r="1215" spans="4:7" x14ac:dyDescent="0.25">
      <c r="D1215"/>
      <c r="E1215"/>
      <c r="F1215"/>
      <c r="G1215"/>
    </row>
    <row r="1216" spans="4:7" x14ac:dyDescent="0.25">
      <c r="D1216"/>
      <c r="E1216"/>
      <c r="F1216"/>
      <c r="G1216"/>
    </row>
    <row r="1217" spans="4:7" x14ac:dyDescent="0.25">
      <c r="D1217"/>
      <c r="E1217"/>
      <c r="F1217"/>
      <c r="G1217"/>
    </row>
    <row r="1218" spans="4:7" x14ac:dyDescent="0.25">
      <c r="D1218"/>
      <c r="E1218"/>
      <c r="F1218"/>
      <c r="G1218"/>
    </row>
    <row r="1219" spans="4:7" x14ac:dyDescent="0.25">
      <c r="D1219"/>
      <c r="E1219"/>
      <c r="F1219"/>
      <c r="G1219"/>
    </row>
    <row r="1220" spans="4:7" x14ac:dyDescent="0.25">
      <c r="D1220"/>
      <c r="E1220"/>
      <c r="F1220"/>
      <c r="G1220"/>
    </row>
    <row r="1221" spans="4:7" x14ac:dyDescent="0.25">
      <c r="D1221"/>
      <c r="E1221"/>
      <c r="F1221"/>
      <c r="G1221"/>
    </row>
    <row r="1222" spans="4:7" x14ac:dyDescent="0.25">
      <c r="D1222"/>
      <c r="E1222"/>
      <c r="F1222"/>
      <c r="G1222"/>
    </row>
    <row r="1223" spans="4:7" x14ac:dyDescent="0.25">
      <c r="D1223"/>
      <c r="E1223"/>
      <c r="F1223"/>
      <c r="G1223"/>
    </row>
    <row r="1224" spans="4:7" x14ac:dyDescent="0.25">
      <c r="D1224"/>
      <c r="E1224"/>
      <c r="F1224"/>
      <c r="G1224"/>
    </row>
    <row r="1225" spans="4:7" x14ac:dyDescent="0.25">
      <c r="D1225"/>
      <c r="E1225"/>
      <c r="F1225"/>
      <c r="G1225"/>
    </row>
    <row r="1226" spans="4:7" x14ac:dyDescent="0.25">
      <c r="D1226"/>
      <c r="E1226"/>
      <c r="F1226"/>
      <c r="G1226"/>
    </row>
    <row r="1227" spans="4:7" x14ac:dyDescent="0.25">
      <c r="D1227"/>
      <c r="E1227"/>
      <c r="F1227"/>
      <c r="G1227"/>
    </row>
    <row r="1228" spans="4:7" x14ac:dyDescent="0.25">
      <c r="D1228"/>
      <c r="E1228"/>
      <c r="F1228"/>
      <c r="G1228"/>
    </row>
    <row r="1229" spans="4:7" x14ac:dyDescent="0.25">
      <c r="D1229"/>
      <c r="E1229"/>
      <c r="F1229"/>
      <c r="G1229"/>
    </row>
    <row r="1230" spans="4:7" x14ac:dyDescent="0.25">
      <c r="D1230"/>
      <c r="E1230"/>
      <c r="F1230"/>
      <c r="G1230"/>
    </row>
    <row r="1231" spans="4:7" x14ac:dyDescent="0.25">
      <c r="D1231"/>
      <c r="E1231"/>
      <c r="F1231"/>
      <c r="G1231"/>
    </row>
    <row r="1232" spans="4:7" x14ac:dyDescent="0.25">
      <c r="D1232"/>
      <c r="E1232"/>
      <c r="F1232"/>
      <c r="G1232"/>
    </row>
    <row r="1233" spans="4:7" x14ac:dyDescent="0.25">
      <c r="D1233"/>
      <c r="E1233"/>
      <c r="F1233"/>
      <c r="G1233"/>
    </row>
    <row r="1234" spans="4:7" x14ac:dyDescent="0.25">
      <c r="D1234"/>
      <c r="E1234"/>
      <c r="F1234"/>
      <c r="G1234"/>
    </row>
    <row r="1235" spans="4:7" x14ac:dyDescent="0.25">
      <c r="D1235"/>
      <c r="E1235"/>
      <c r="F1235"/>
      <c r="G1235"/>
    </row>
    <row r="1236" spans="4:7" x14ac:dyDescent="0.25">
      <c r="D1236"/>
      <c r="E1236"/>
      <c r="F1236"/>
      <c r="G1236"/>
    </row>
    <row r="1237" spans="4:7" x14ac:dyDescent="0.25">
      <c r="D1237"/>
      <c r="E1237"/>
      <c r="F1237"/>
      <c r="G1237"/>
    </row>
    <row r="1238" spans="4:7" x14ac:dyDescent="0.25">
      <c r="D1238"/>
      <c r="E1238"/>
      <c r="F1238"/>
      <c r="G1238"/>
    </row>
    <row r="1239" spans="4:7" x14ac:dyDescent="0.25">
      <c r="D1239"/>
      <c r="E1239"/>
      <c r="F1239"/>
      <c r="G1239"/>
    </row>
    <row r="1240" spans="4:7" x14ac:dyDescent="0.25">
      <c r="D1240"/>
      <c r="E1240"/>
      <c r="F1240"/>
      <c r="G1240"/>
    </row>
    <row r="1241" spans="4:7" x14ac:dyDescent="0.25">
      <c r="D1241"/>
      <c r="E1241"/>
      <c r="F1241"/>
      <c r="G1241"/>
    </row>
    <row r="1242" spans="4:7" x14ac:dyDescent="0.25">
      <c r="D1242"/>
      <c r="E1242"/>
      <c r="F1242"/>
      <c r="G1242"/>
    </row>
    <row r="1243" spans="4:7" x14ac:dyDescent="0.25">
      <c r="D1243"/>
      <c r="E1243"/>
      <c r="F1243"/>
      <c r="G1243"/>
    </row>
    <row r="1244" spans="4:7" x14ac:dyDescent="0.25">
      <c r="D1244"/>
      <c r="E1244"/>
      <c r="F1244"/>
      <c r="G1244"/>
    </row>
    <row r="1245" spans="4:7" x14ac:dyDescent="0.25">
      <c r="D1245"/>
      <c r="E1245"/>
      <c r="F1245"/>
      <c r="G1245"/>
    </row>
    <row r="1246" spans="4:7" x14ac:dyDescent="0.25">
      <c r="D1246"/>
      <c r="E1246"/>
      <c r="F1246"/>
      <c r="G1246"/>
    </row>
    <row r="1247" spans="4:7" x14ac:dyDescent="0.25">
      <c r="D1247"/>
      <c r="E1247"/>
      <c r="F1247"/>
      <c r="G1247"/>
    </row>
    <row r="1248" spans="4:7" x14ac:dyDescent="0.25">
      <c r="D1248"/>
      <c r="E1248"/>
      <c r="F1248"/>
      <c r="G1248"/>
    </row>
    <row r="1249" spans="4:7" x14ac:dyDescent="0.25">
      <c r="D1249"/>
      <c r="E1249"/>
      <c r="F1249"/>
      <c r="G1249"/>
    </row>
    <row r="1250" spans="4:7" x14ac:dyDescent="0.25">
      <c r="D1250"/>
      <c r="E1250"/>
      <c r="F1250"/>
      <c r="G1250"/>
    </row>
    <row r="1251" spans="4:7" x14ac:dyDescent="0.25">
      <c r="D1251"/>
      <c r="E1251"/>
      <c r="F1251"/>
      <c r="G1251"/>
    </row>
    <row r="1252" spans="4:7" x14ac:dyDescent="0.25">
      <c r="D1252"/>
      <c r="E1252"/>
      <c r="F1252"/>
      <c r="G1252"/>
    </row>
    <row r="1253" spans="4:7" x14ac:dyDescent="0.25">
      <c r="D1253"/>
      <c r="E1253"/>
      <c r="F1253"/>
      <c r="G1253"/>
    </row>
    <row r="1254" spans="4:7" x14ac:dyDescent="0.25">
      <c r="D1254"/>
      <c r="E1254"/>
      <c r="F1254"/>
      <c r="G1254"/>
    </row>
    <row r="1255" spans="4:7" x14ac:dyDescent="0.25">
      <c r="D1255"/>
      <c r="E1255"/>
      <c r="F1255"/>
      <c r="G1255"/>
    </row>
    <row r="1256" spans="4:7" x14ac:dyDescent="0.25">
      <c r="D1256"/>
      <c r="E1256"/>
      <c r="F1256"/>
      <c r="G1256"/>
    </row>
    <row r="1257" spans="4:7" x14ac:dyDescent="0.25">
      <c r="D1257"/>
      <c r="E1257"/>
      <c r="F1257"/>
      <c r="G1257"/>
    </row>
    <row r="1258" spans="4:7" x14ac:dyDescent="0.25">
      <c r="D1258"/>
      <c r="E1258"/>
      <c r="F1258"/>
      <c r="G1258"/>
    </row>
    <row r="1259" spans="4:7" x14ac:dyDescent="0.25">
      <c r="D1259"/>
      <c r="E1259"/>
      <c r="F1259"/>
      <c r="G1259"/>
    </row>
    <row r="1260" spans="4:7" x14ac:dyDescent="0.25">
      <c r="D1260"/>
      <c r="E1260"/>
      <c r="F1260"/>
      <c r="G1260"/>
    </row>
    <row r="1261" spans="4:7" x14ac:dyDescent="0.25">
      <c r="D1261"/>
      <c r="E1261"/>
      <c r="F1261"/>
      <c r="G1261"/>
    </row>
    <row r="1262" spans="4:7" x14ac:dyDescent="0.25">
      <c r="D1262"/>
      <c r="E1262"/>
      <c r="F1262"/>
      <c r="G1262"/>
    </row>
    <row r="1263" spans="4:7" x14ac:dyDescent="0.25">
      <c r="D1263"/>
      <c r="E1263"/>
      <c r="F1263"/>
      <c r="G1263"/>
    </row>
    <row r="1264" spans="4:7" x14ac:dyDescent="0.25">
      <c r="D1264"/>
      <c r="E1264"/>
      <c r="F1264"/>
      <c r="G1264"/>
    </row>
    <row r="1265" spans="4:7" x14ac:dyDescent="0.25">
      <c r="D1265"/>
      <c r="E1265"/>
      <c r="F1265"/>
      <c r="G1265"/>
    </row>
    <row r="1266" spans="4:7" x14ac:dyDescent="0.25">
      <c r="D1266"/>
      <c r="E1266"/>
      <c r="F1266"/>
      <c r="G1266"/>
    </row>
    <row r="1267" spans="4:7" x14ac:dyDescent="0.25">
      <c r="D1267"/>
      <c r="E1267"/>
      <c r="F1267"/>
      <c r="G1267"/>
    </row>
    <row r="1268" spans="4:7" x14ac:dyDescent="0.25">
      <c r="D1268"/>
      <c r="E1268"/>
      <c r="F1268"/>
      <c r="G1268"/>
    </row>
    <row r="1269" spans="4:7" x14ac:dyDescent="0.25">
      <c r="D1269"/>
      <c r="E1269"/>
      <c r="F1269"/>
      <c r="G1269"/>
    </row>
    <row r="1270" spans="4:7" x14ac:dyDescent="0.25">
      <c r="D1270"/>
      <c r="E1270"/>
      <c r="F1270"/>
      <c r="G1270"/>
    </row>
    <row r="1271" spans="4:7" x14ac:dyDescent="0.25">
      <c r="D1271"/>
      <c r="E1271"/>
      <c r="F1271"/>
      <c r="G1271"/>
    </row>
    <row r="1272" spans="4:7" x14ac:dyDescent="0.25">
      <c r="D1272"/>
      <c r="E1272"/>
      <c r="F1272"/>
      <c r="G1272"/>
    </row>
    <row r="1273" spans="4:7" x14ac:dyDescent="0.25">
      <c r="D1273"/>
      <c r="E1273"/>
      <c r="F1273"/>
      <c r="G1273"/>
    </row>
    <row r="1274" spans="4:7" x14ac:dyDescent="0.25">
      <c r="D1274"/>
      <c r="E1274"/>
      <c r="F1274"/>
      <c r="G1274"/>
    </row>
    <row r="1275" spans="4:7" x14ac:dyDescent="0.25">
      <c r="D1275"/>
      <c r="E1275"/>
      <c r="F1275"/>
      <c r="G1275"/>
    </row>
    <row r="1276" spans="4:7" x14ac:dyDescent="0.25">
      <c r="D1276"/>
      <c r="E1276"/>
      <c r="F1276"/>
      <c r="G1276"/>
    </row>
    <row r="1277" spans="4:7" x14ac:dyDescent="0.25">
      <c r="D1277"/>
      <c r="E1277"/>
      <c r="F1277"/>
      <c r="G1277"/>
    </row>
    <row r="1278" spans="4:7" x14ac:dyDescent="0.25">
      <c r="D1278"/>
      <c r="E1278"/>
      <c r="F1278"/>
      <c r="G1278"/>
    </row>
    <row r="1279" spans="4:7" x14ac:dyDescent="0.25">
      <c r="D1279"/>
      <c r="E1279"/>
      <c r="F1279"/>
      <c r="G1279"/>
    </row>
    <row r="1280" spans="4:7" x14ac:dyDescent="0.25">
      <c r="D1280"/>
      <c r="E1280"/>
      <c r="F1280"/>
      <c r="G1280"/>
    </row>
    <row r="1281" spans="4:7" x14ac:dyDescent="0.25">
      <c r="D1281"/>
      <c r="E1281"/>
      <c r="F1281"/>
      <c r="G1281"/>
    </row>
    <row r="1282" spans="4:7" x14ac:dyDescent="0.25">
      <c r="D1282"/>
      <c r="E1282"/>
      <c r="F1282"/>
      <c r="G1282"/>
    </row>
    <row r="1283" spans="4:7" x14ac:dyDescent="0.25">
      <c r="D1283"/>
      <c r="E1283"/>
      <c r="F1283"/>
      <c r="G1283"/>
    </row>
    <row r="1284" spans="4:7" x14ac:dyDescent="0.25">
      <c r="D1284"/>
      <c r="E1284"/>
      <c r="F1284"/>
      <c r="G1284"/>
    </row>
    <row r="1285" spans="4:7" x14ac:dyDescent="0.25">
      <c r="D1285"/>
      <c r="E1285"/>
      <c r="F1285"/>
      <c r="G1285"/>
    </row>
    <row r="1286" spans="4:7" x14ac:dyDescent="0.25">
      <c r="D1286"/>
      <c r="E1286"/>
      <c r="F1286"/>
      <c r="G1286"/>
    </row>
    <row r="1287" spans="4:7" x14ac:dyDescent="0.25">
      <c r="D1287"/>
      <c r="E1287"/>
      <c r="F1287"/>
      <c r="G1287"/>
    </row>
    <row r="1288" spans="4:7" x14ac:dyDescent="0.25">
      <c r="D1288"/>
      <c r="E1288"/>
      <c r="F1288"/>
      <c r="G1288"/>
    </row>
    <row r="1289" spans="4:7" x14ac:dyDescent="0.25">
      <c r="D1289"/>
      <c r="E1289"/>
      <c r="F1289"/>
      <c r="G1289"/>
    </row>
    <row r="1290" spans="4:7" x14ac:dyDescent="0.25">
      <c r="D1290"/>
      <c r="E1290"/>
      <c r="F1290"/>
      <c r="G1290"/>
    </row>
    <row r="1291" spans="4:7" x14ac:dyDescent="0.25">
      <c r="D1291"/>
      <c r="E1291"/>
      <c r="F1291"/>
      <c r="G1291"/>
    </row>
    <row r="1292" spans="4:7" x14ac:dyDescent="0.25">
      <c r="D1292"/>
      <c r="E1292"/>
      <c r="F1292"/>
      <c r="G1292"/>
    </row>
    <row r="1293" spans="4:7" x14ac:dyDescent="0.25">
      <c r="D1293"/>
      <c r="E1293"/>
      <c r="F1293"/>
      <c r="G1293"/>
    </row>
    <row r="1294" spans="4:7" x14ac:dyDescent="0.25">
      <c r="D1294"/>
      <c r="E1294"/>
      <c r="F1294"/>
      <c r="G1294"/>
    </row>
    <row r="1295" spans="4:7" x14ac:dyDescent="0.25">
      <c r="D1295"/>
      <c r="E1295"/>
      <c r="F1295"/>
      <c r="G1295"/>
    </row>
    <row r="1296" spans="4:7" x14ac:dyDescent="0.25">
      <c r="D1296"/>
      <c r="E1296"/>
      <c r="F1296"/>
      <c r="G1296"/>
    </row>
    <row r="1297" spans="4:7" x14ac:dyDescent="0.25">
      <c r="D1297"/>
      <c r="E1297"/>
      <c r="F1297"/>
      <c r="G1297"/>
    </row>
    <row r="1298" spans="4:7" x14ac:dyDescent="0.25">
      <c r="D1298"/>
      <c r="E1298"/>
      <c r="F1298"/>
      <c r="G1298"/>
    </row>
    <row r="1299" spans="4:7" x14ac:dyDescent="0.25">
      <c r="D1299"/>
      <c r="E1299"/>
      <c r="F1299"/>
      <c r="G1299"/>
    </row>
    <row r="1300" spans="4:7" x14ac:dyDescent="0.25">
      <c r="D1300"/>
      <c r="E1300"/>
      <c r="F1300"/>
      <c r="G1300"/>
    </row>
    <row r="1301" spans="4:7" x14ac:dyDescent="0.25">
      <c r="D1301"/>
      <c r="E1301"/>
      <c r="F1301"/>
      <c r="G1301"/>
    </row>
    <row r="1302" spans="4:7" x14ac:dyDescent="0.25">
      <c r="D1302"/>
      <c r="E1302"/>
      <c r="F1302"/>
      <c r="G1302"/>
    </row>
    <row r="1303" spans="4:7" x14ac:dyDescent="0.25">
      <c r="D1303"/>
      <c r="E1303"/>
      <c r="F1303"/>
      <c r="G1303"/>
    </row>
    <row r="1304" spans="4:7" x14ac:dyDescent="0.25">
      <c r="D1304"/>
      <c r="E1304"/>
      <c r="F1304"/>
      <c r="G1304"/>
    </row>
    <row r="1305" spans="4:7" x14ac:dyDescent="0.25">
      <c r="D1305"/>
      <c r="E1305"/>
      <c r="F1305"/>
      <c r="G1305"/>
    </row>
    <row r="1306" spans="4:7" x14ac:dyDescent="0.25">
      <c r="D1306"/>
      <c r="E1306"/>
      <c r="F1306"/>
      <c r="G1306"/>
    </row>
    <row r="1307" spans="4:7" x14ac:dyDescent="0.25">
      <c r="D1307"/>
      <c r="E1307"/>
      <c r="F1307"/>
      <c r="G1307"/>
    </row>
    <row r="1308" spans="4:7" x14ac:dyDescent="0.25">
      <c r="D1308"/>
      <c r="E1308"/>
      <c r="F1308"/>
      <c r="G1308"/>
    </row>
    <row r="1309" spans="4:7" x14ac:dyDescent="0.25">
      <c r="D1309"/>
      <c r="E1309"/>
      <c r="F1309"/>
      <c r="G1309"/>
    </row>
    <row r="1310" spans="4:7" x14ac:dyDescent="0.25">
      <c r="D1310"/>
      <c r="E1310"/>
      <c r="F1310"/>
      <c r="G1310"/>
    </row>
    <row r="1311" spans="4:7" x14ac:dyDescent="0.25">
      <c r="D1311"/>
      <c r="E1311"/>
      <c r="F1311"/>
      <c r="G1311"/>
    </row>
    <row r="1312" spans="4:7" x14ac:dyDescent="0.25">
      <c r="D1312"/>
      <c r="E1312"/>
      <c r="F1312"/>
      <c r="G1312"/>
    </row>
    <row r="1313" spans="4:7" x14ac:dyDescent="0.25">
      <c r="D1313"/>
      <c r="E1313"/>
      <c r="F1313"/>
      <c r="G1313"/>
    </row>
    <row r="1314" spans="4:7" x14ac:dyDescent="0.25">
      <c r="D1314"/>
      <c r="E1314"/>
      <c r="F1314"/>
      <c r="G1314"/>
    </row>
    <row r="1315" spans="4:7" x14ac:dyDescent="0.25">
      <c r="D1315"/>
      <c r="E1315"/>
      <c r="F1315"/>
      <c r="G1315"/>
    </row>
    <row r="1316" spans="4:7" x14ac:dyDescent="0.25">
      <c r="D1316"/>
      <c r="E1316"/>
      <c r="F1316"/>
      <c r="G1316"/>
    </row>
    <row r="1317" spans="4:7" x14ac:dyDescent="0.25">
      <c r="D1317"/>
      <c r="E1317"/>
      <c r="F1317"/>
      <c r="G1317"/>
    </row>
    <row r="1318" spans="4:7" x14ac:dyDescent="0.25">
      <c r="D1318"/>
      <c r="E1318"/>
      <c r="F1318"/>
      <c r="G1318"/>
    </row>
    <row r="1319" spans="4:7" x14ac:dyDescent="0.25">
      <c r="D1319"/>
      <c r="E1319"/>
      <c r="F1319"/>
      <c r="G1319"/>
    </row>
    <row r="1320" spans="4:7" x14ac:dyDescent="0.25">
      <c r="D1320"/>
      <c r="E1320"/>
      <c r="F1320"/>
      <c r="G1320"/>
    </row>
    <row r="1321" spans="4:7" x14ac:dyDescent="0.25">
      <c r="D1321"/>
      <c r="E1321"/>
      <c r="F1321"/>
      <c r="G1321"/>
    </row>
    <row r="1322" spans="4:7" x14ac:dyDescent="0.25">
      <c r="D1322"/>
      <c r="E1322"/>
      <c r="F1322"/>
      <c r="G1322"/>
    </row>
    <row r="1323" spans="4:7" x14ac:dyDescent="0.25">
      <c r="D1323"/>
      <c r="E1323"/>
      <c r="F1323"/>
      <c r="G1323"/>
    </row>
    <row r="1324" spans="4:7" x14ac:dyDescent="0.25">
      <c r="D1324"/>
      <c r="E1324"/>
      <c r="F1324"/>
      <c r="G1324"/>
    </row>
    <row r="1325" spans="4:7" x14ac:dyDescent="0.25">
      <c r="D1325"/>
      <c r="E1325"/>
      <c r="F1325"/>
      <c r="G1325"/>
    </row>
    <row r="1326" spans="4:7" x14ac:dyDescent="0.25">
      <c r="D1326"/>
      <c r="E1326"/>
      <c r="F1326"/>
      <c r="G1326"/>
    </row>
    <row r="1327" spans="4:7" x14ac:dyDescent="0.25">
      <c r="D1327"/>
      <c r="E1327"/>
      <c r="F1327"/>
      <c r="G1327"/>
    </row>
    <row r="1328" spans="4:7" x14ac:dyDescent="0.25">
      <c r="D1328"/>
      <c r="E1328"/>
      <c r="F1328"/>
      <c r="G1328"/>
    </row>
    <row r="1329" spans="4:7" x14ac:dyDescent="0.25">
      <c r="D1329"/>
      <c r="E1329"/>
      <c r="F1329"/>
      <c r="G1329"/>
    </row>
    <row r="1330" spans="4:7" x14ac:dyDescent="0.25">
      <c r="D1330"/>
      <c r="E1330"/>
      <c r="F1330"/>
      <c r="G1330"/>
    </row>
    <row r="1331" spans="4:7" x14ac:dyDescent="0.25">
      <c r="D1331"/>
      <c r="E1331"/>
      <c r="F1331"/>
      <c r="G1331"/>
    </row>
    <row r="1332" spans="4:7" x14ac:dyDescent="0.25">
      <c r="D1332"/>
      <c r="E1332"/>
      <c r="F1332"/>
      <c r="G1332"/>
    </row>
    <row r="1333" spans="4:7" x14ac:dyDescent="0.25">
      <c r="D1333"/>
      <c r="E1333"/>
      <c r="F1333"/>
      <c r="G1333"/>
    </row>
    <row r="1334" spans="4:7" x14ac:dyDescent="0.25">
      <c r="D1334"/>
      <c r="E1334"/>
      <c r="F1334"/>
      <c r="G1334"/>
    </row>
    <row r="1335" spans="4:7" x14ac:dyDescent="0.25">
      <c r="D1335"/>
      <c r="E1335"/>
      <c r="F1335"/>
      <c r="G1335"/>
    </row>
    <row r="1336" spans="4:7" x14ac:dyDescent="0.25">
      <c r="D1336"/>
      <c r="E1336"/>
      <c r="F1336"/>
      <c r="G1336"/>
    </row>
    <row r="1337" spans="4:7" x14ac:dyDescent="0.25">
      <c r="D1337"/>
      <c r="E1337"/>
      <c r="F1337"/>
      <c r="G1337"/>
    </row>
    <row r="1338" spans="4:7" x14ac:dyDescent="0.25">
      <c r="D1338"/>
      <c r="E1338"/>
      <c r="F1338"/>
      <c r="G1338"/>
    </row>
    <row r="1339" spans="4:7" x14ac:dyDescent="0.25">
      <c r="D1339"/>
      <c r="E1339"/>
      <c r="F1339"/>
      <c r="G1339"/>
    </row>
    <row r="1340" spans="4:7" x14ac:dyDescent="0.25">
      <c r="D1340"/>
      <c r="E1340"/>
      <c r="F1340"/>
      <c r="G1340"/>
    </row>
    <row r="1341" spans="4:7" x14ac:dyDescent="0.25">
      <c r="D1341"/>
      <c r="E1341"/>
      <c r="F1341"/>
      <c r="G1341"/>
    </row>
    <row r="1342" spans="4:7" x14ac:dyDescent="0.25">
      <c r="D1342"/>
      <c r="E1342"/>
      <c r="F1342"/>
      <c r="G1342"/>
    </row>
    <row r="1343" spans="4:7" x14ac:dyDescent="0.25">
      <c r="D1343"/>
      <c r="E1343"/>
      <c r="F1343"/>
      <c r="G1343"/>
    </row>
    <row r="1344" spans="4:7" x14ac:dyDescent="0.25">
      <c r="D1344"/>
      <c r="E1344"/>
      <c r="F1344"/>
      <c r="G1344"/>
    </row>
    <row r="1345" spans="4:7" x14ac:dyDescent="0.25">
      <c r="D1345"/>
      <c r="E1345"/>
      <c r="F1345"/>
      <c r="G1345"/>
    </row>
    <row r="1346" spans="4:7" x14ac:dyDescent="0.25">
      <c r="D1346"/>
      <c r="E1346"/>
      <c r="F1346"/>
      <c r="G1346"/>
    </row>
    <row r="1347" spans="4:7" x14ac:dyDescent="0.25">
      <c r="D1347"/>
      <c r="E1347"/>
      <c r="F1347"/>
      <c r="G1347"/>
    </row>
    <row r="1348" spans="4:7" x14ac:dyDescent="0.25">
      <c r="D1348"/>
      <c r="E1348"/>
      <c r="F1348"/>
      <c r="G1348"/>
    </row>
    <row r="1349" spans="4:7" x14ac:dyDescent="0.25">
      <c r="D1349"/>
      <c r="E1349"/>
      <c r="F1349"/>
      <c r="G1349"/>
    </row>
    <row r="1350" spans="4:7" x14ac:dyDescent="0.25">
      <c r="D1350"/>
      <c r="E1350"/>
      <c r="F1350"/>
      <c r="G1350"/>
    </row>
    <row r="1351" spans="4:7" x14ac:dyDescent="0.25">
      <c r="D1351"/>
      <c r="E1351"/>
      <c r="F1351"/>
      <c r="G1351"/>
    </row>
    <row r="1352" spans="4:7" x14ac:dyDescent="0.25">
      <c r="D1352"/>
      <c r="E1352"/>
      <c r="F1352"/>
      <c r="G1352"/>
    </row>
    <row r="1353" spans="4:7" x14ac:dyDescent="0.25">
      <c r="D1353"/>
      <c r="E1353"/>
      <c r="F1353"/>
      <c r="G1353"/>
    </row>
    <row r="1354" spans="4:7" x14ac:dyDescent="0.25">
      <c r="D1354"/>
      <c r="E1354"/>
      <c r="F1354"/>
      <c r="G1354"/>
    </row>
    <row r="1355" spans="4:7" x14ac:dyDescent="0.25">
      <c r="D1355"/>
      <c r="E1355"/>
      <c r="F1355"/>
      <c r="G1355"/>
    </row>
    <row r="1356" spans="4:7" x14ac:dyDescent="0.25">
      <c r="D1356"/>
      <c r="E1356"/>
      <c r="F1356"/>
      <c r="G1356"/>
    </row>
    <row r="1357" spans="4:7" x14ac:dyDescent="0.25">
      <c r="D1357"/>
      <c r="E1357"/>
      <c r="F1357"/>
      <c r="G1357"/>
    </row>
    <row r="1358" spans="4:7" x14ac:dyDescent="0.25">
      <c r="D1358"/>
      <c r="E1358"/>
      <c r="F1358"/>
      <c r="G1358"/>
    </row>
    <row r="1359" spans="4:7" x14ac:dyDescent="0.25">
      <c r="D1359"/>
      <c r="E1359"/>
      <c r="F1359"/>
      <c r="G1359"/>
    </row>
    <row r="1360" spans="4:7" x14ac:dyDescent="0.25">
      <c r="D1360"/>
      <c r="E1360"/>
      <c r="F1360"/>
      <c r="G1360"/>
    </row>
    <row r="1361" spans="4:7" x14ac:dyDescent="0.25">
      <c r="D1361"/>
      <c r="E1361"/>
      <c r="F1361"/>
      <c r="G1361"/>
    </row>
    <row r="1362" spans="4:7" x14ac:dyDescent="0.25">
      <c r="D1362"/>
      <c r="E1362"/>
      <c r="F1362"/>
      <c r="G1362"/>
    </row>
    <row r="1363" spans="4:7" x14ac:dyDescent="0.25">
      <c r="D1363"/>
      <c r="E1363"/>
      <c r="F1363"/>
      <c r="G1363"/>
    </row>
    <row r="1364" spans="4:7" x14ac:dyDescent="0.25">
      <c r="D1364"/>
      <c r="E1364"/>
      <c r="F1364"/>
      <c r="G1364"/>
    </row>
    <row r="1365" spans="4:7" x14ac:dyDescent="0.25">
      <c r="D1365"/>
      <c r="E1365"/>
      <c r="F1365"/>
      <c r="G1365"/>
    </row>
    <row r="1366" spans="4:7" x14ac:dyDescent="0.25">
      <c r="D1366"/>
      <c r="E1366"/>
      <c r="F1366"/>
      <c r="G1366"/>
    </row>
    <row r="1367" spans="4:7" x14ac:dyDescent="0.25">
      <c r="D1367"/>
      <c r="E1367"/>
      <c r="F1367"/>
      <c r="G1367"/>
    </row>
    <row r="1368" spans="4:7" x14ac:dyDescent="0.25">
      <c r="D1368"/>
      <c r="E1368"/>
      <c r="F1368"/>
      <c r="G1368"/>
    </row>
    <row r="1369" spans="4:7" x14ac:dyDescent="0.25">
      <c r="D1369"/>
      <c r="E1369"/>
      <c r="F1369"/>
      <c r="G1369"/>
    </row>
    <row r="1370" spans="4:7" x14ac:dyDescent="0.25">
      <c r="D1370"/>
      <c r="E1370"/>
      <c r="F1370"/>
      <c r="G1370"/>
    </row>
    <row r="1371" spans="4:7" x14ac:dyDescent="0.25">
      <c r="D1371"/>
      <c r="E1371"/>
      <c r="F1371"/>
      <c r="G1371"/>
    </row>
    <row r="1372" spans="4:7" x14ac:dyDescent="0.25">
      <c r="D1372"/>
      <c r="E1372"/>
      <c r="F1372"/>
      <c r="G1372"/>
    </row>
    <row r="1373" spans="4:7" x14ac:dyDescent="0.25">
      <c r="D1373"/>
      <c r="E1373"/>
      <c r="F1373"/>
      <c r="G1373"/>
    </row>
    <row r="1374" spans="4:7" x14ac:dyDescent="0.25">
      <c r="D1374"/>
      <c r="E1374"/>
      <c r="F1374"/>
      <c r="G1374"/>
    </row>
    <row r="1375" spans="4:7" x14ac:dyDescent="0.25">
      <c r="D1375"/>
      <c r="E1375"/>
      <c r="F1375"/>
      <c r="G1375"/>
    </row>
    <row r="1376" spans="4:7" x14ac:dyDescent="0.25">
      <c r="D1376"/>
      <c r="E1376"/>
      <c r="F1376"/>
      <c r="G1376"/>
    </row>
    <row r="1377" spans="4:7" x14ac:dyDescent="0.25">
      <c r="D1377"/>
      <c r="E1377"/>
      <c r="F1377"/>
      <c r="G1377"/>
    </row>
    <row r="1378" spans="4:7" x14ac:dyDescent="0.25">
      <c r="D1378"/>
      <c r="E1378"/>
      <c r="F1378"/>
      <c r="G1378"/>
    </row>
    <row r="1379" spans="4:7" x14ac:dyDescent="0.25">
      <c r="D1379"/>
      <c r="E1379"/>
      <c r="F1379"/>
      <c r="G1379"/>
    </row>
    <row r="1380" spans="4:7" x14ac:dyDescent="0.25">
      <c r="D1380"/>
      <c r="E1380"/>
      <c r="F1380"/>
      <c r="G1380"/>
    </row>
    <row r="1381" spans="4:7" x14ac:dyDescent="0.25">
      <c r="D1381"/>
      <c r="E1381"/>
      <c r="F1381"/>
      <c r="G1381"/>
    </row>
    <row r="1382" spans="4:7" x14ac:dyDescent="0.25">
      <c r="D1382"/>
      <c r="E1382"/>
      <c r="F1382"/>
      <c r="G1382"/>
    </row>
    <row r="1383" spans="4:7" x14ac:dyDescent="0.25">
      <c r="D1383"/>
      <c r="E1383"/>
      <c r="F1383"/>
      <c r="G1383"/>
    </row>
    <row r="1384" spans="4:7" x14ac:dyDescent="0.25">
      <c r="D1384"/>
      <c r="E1384"/>
      <c r="F1384"/>
      <c r="G1384"/>
    </row>
    <row r="1385" spans="4:7" x14ac:dyDescent="0.25">
      <c r="D1385"/>
      <c r="E1385"/>
      <c r="F1385"/>
      <c r="G1385"/>
    </row>
    <row r="1386" spans="4:7" x14ac:dyDescent="0.25">
      <c r="D1386"/>
      <c r="E1386"/>
      <c r="F1386"/>
      <c r="G1386"/>
    </row>
    <row r="1387" spans="4:7" x14ac:dyDescent="0.25">
      <c r="D1387"/>
      <c r="E1387"/>
      <c r="F1387"/>
      <c r="G1387"/>
    </row>
    <row r="1388" spans="4:7" x14ac:dyDescent="0.25">
      <c r="D1388"/>
      <c r="E1388"/>
      <c r="F1388"/>
      <c r="G1388"/>
    </row>
    <row r="1389" spans="4:7" x14ac:dyDescent="0.25">
      <c r="D1389"/>
      <c r="E1389"/>
      <c r="F1389"/>
      <c r="G1389"/>
    </row>
    <row r="1390" spans="4:7" x14ac:dyDescent="0.25">
      <c r="D1390"/>
      <c r="E1390"/>
      <c r="F1390"/>
      <c r="G1390"/>
    </row>
    <row r="1391" spans="4:7" x14ac:dyDescent="0.25">
      <c r="D1391"/>
      <c r="E1391"/>
      <c r="F1391"/>
      <c r="G1391"/>
    </row>
    <row r="1392" spans="4:7" x14ac:dyDescent="0.25">
      <c r="D1392"/>
      <c r="E1392"/>
      <c r="F1392"/>
      <c r="G1392"/>
    </row>
    <row r="1393" spans="4:7" x14ac:dyDescent="0.25">
      <c r="D1393"/>
      <c r="E1393"/>
      <c r="F1393"/>
      <c r="G1393"/>
    </row>
    <row r="1394" spans="4:7" x14ac:dyDescent="0.25">
      <c r="D1394"/>
      <c r="E1394"/>
      <c r="F1394"/>
      <c r="G1394"/>
    </row>
    <row r="1395" spans="4:7" x14ac:dyDescent="0.25">
      <c r="D1395"/>
      <c r="E1395"/>
      <c r="F1395"/>
      <c r="G1395"/>
    </row>
    <row r="1396" spans="4:7" x14ac:dyDescent="0.25">
      <c r="D1396"/>
      <c r="E1396"/>
      <c r="F1396"/>
      <c r="G1396"/>
    </row>
    <row r="1397" spans="4:7" x14ac:dyDescent="0.25">
      <c r="D1397"/>
      <c r="E1397"/>
      <c r="F1397"/>
      <c r="G1397"/>
    </row>
    <row r="1398" spans="4:7" x14ac:dyDescent="0.25">
      <c r="D1398"/>
      <c r="E1398"/>
      <c r="F1398"/>
      <c r="G1398"/>
    </row>
    <row r="1399" spans="4:7" x14ac:dyDescent="0.25">
      <c r="D1399"/>
      <c r="E1399"/>
      <c r="F1399"/>
      <c r="G1399"/>
    </row>
    <row r="1400" spans="4:7" x14ac:dyDescent="0.25">
      <c r="D1400"/>
      <c r="E1400"/>
      <c r="F1400"/>
      <c r="G1400"/>
    </row>
    <row r="1401" spans="4:7" x14ac:dyDescent="0.25">
      <c r="D1401"/>
      <c r="E1401"/>
      <c r="F1401"/>
      <c r="G1401"/>
    </row>
    <row r="1402" spans="4:7" x14ac:dyDescent="0.25">
      <c r="D1402"/>
      <c r="E1402"/>
      <c r="F1402"/>
      <c r="G1402"/>
    </row>
    <row r="1403" spans="4:7" x14ac:dyDescent="0.25">
      <c r="D1403"/>
      <c r="E1403"/>
      <c r="F1403"/>
      <c r="G1403"/>
    </row>
    <row r="1404" spans="4:7" x14ac:dyDescent="0.25">
      <c r="D1404"/>
      <c r="E1404"/>
      <c r="F1404"/>
      <c r="G1404"/>
    </row>
    <row r="1405" spans="4:7" x14ac:dyDescent="0.25">
      <c r="D1405"/>
      <c r="E1405"/>
      <c r="F1405"/>
      <c r="G1405"/>
    </row>
    <row r="1406" spans="4:7" x14ac:dyDescent="0.25">
      <c r="D1406"/>
      <c r="E1406"/>
      <c r="F1406"/>
      <c r="G1406"/>
    </row>
    <row r="1407" spans="4:7" x14ac:dyDescent="0.25">
      <c r="D1407"/>
      <c r="E1407"/>
      <c r="F1407"/>
      <c r="G1407"/>
    </row>
    <row r="1408" spans="4:7" x14ac:dyDescent="0.25">
      <c r="D1408"/>
      <c r="E1408"/>
      <c r="F1408"/>
      <c r="G1408"/>
    </row>
    <row r="1409" spans="4:7" x14ac:dyDescent="0.25">
      <c r="D1409"/>
      <c r="E1409"/>
      <c r="F1409"/>
      <c r="G1409"/>
    </row>
    <row r="1410" spans="4:7" x14ac:dyDescent="0.25">
      <c r="D1410"/>
      <c r="E1410"/>
      <c r="F1410"/>
      <c r="G1410"/>
    </row>
    <row r="1411" spans="4:7" x14ac:dyDescent="0.25">
      <c r="D1411"/>
      <c r="E1411"/>
      <c r="F1411"/>
      <c r="G1411"/>
    </row>
    <row r="1412" spans="4:7" x14ac:dyDescent="0.25">
      <c r="D1412"/>
      <c r="E1412"/>
      <c r="F1412"/>
      <c r="G1412"/>
    </row>
    <row r="1413" spans="4:7" x14ac:dyDescent="0.25">
      <c r="D1413"/>
      <c r="E1413"/>
      <c r="F1413"/>
      <c r="G1413"/>
    </row>
    <row r="1414" spans="4:7" x14ac:dyDescent="0.25">
      <c r="D1414"/>
      <c r="E1414"/>
      <c r="F1414"/>
      <c r="G1414"/>
    </row>
    <row r="1415" spans="4:7" x14ac:dyDescent="0.25">
      <c r="D1415"/>
      <c r="E1415"/>
      <c r="F1415"/>
      <c r="G1415"/>
    </row>
    <row r="1416" spans="4:7" x14ac:dyDescent="0.25">
      <c r="D1416"/>
      <c r="E1416"/>
      <c r="F1416"/>
      <c r="G1416"/>
    </row>
    <row r="1417" spans="4:7" x14ac:dyDescent="0.25">
      <c r="D1417"/>
      <c r="E1417"/>
      <c r="F1417"/>
      <c r="G1417"/>
    </row>
    <row r="1418" spans="4:7" x14ac:dyDescent="0.25">
      <c r="D1418"/>
      <c r="E1418"/>
      <c r="F1418"/>
      <c r="G1418"/>
    </row>
    <row r="1419" spans="4:7" x14ac:dyDescent="0.25">
      <c r="D1419"/>
      <c r="E1419"/>
      <c r="F1419"/>
      <c r="G1419"/>
    </row>
    <row r="1420" spans="4:7" x14ac:dyDescent="0.25">
      <c r="D1420"/>
      <c r="E1420"/>
      <c r="F1420"/>
      <c r="G1420"/>
    </row>
    <row r="1421" spans="4:7" x14ac:dyDescent="0.25">
      <c r="D1421"/>
      <c r="E1421"/>
      <c r="F1421"/>
      <c r="G1421"/>
    </row>
    <row r="1422" spans="4:7" x14ac:dyDescent="0.25">
      <c r="D1422"/>
      <c r="E1422"/>
      <c r="F1422"/>
      <c r="G1422"/>
    </row>
    <row r="1423" spans="4:7" x14ac:dyDescent="0.25">
      <c r="D1423"/>
      <c r="E1423"/>
      <c r="F1423"/>
      <c r="G1423"/>
    </row>
    <row r="1424" spans="4:7" x14ac:dyDescent="0.25">
      <c r="D1424"/>
      <c r="E1424"/>
      <c r="F1424"/>
      <c r="G1424"/>
    </row>
    <row r="1425" spans="4:7" x14ac:dyDescent="0.25">
      <c r="D1425"/>
      <c r="E1425"/>
      <c r="F1425"/>
      <c r="G1425"/>
    </row>
    <row r="1426" spans="4:7" x14ac:dyDescent="0.25">
      <c r="D1426"/>
      <c r="E1426"/>
      <c r="F1426"/>
      <c r="G1426"/>
    </row>
    <row r="1427" spans="4:7" x14ac:dyDescent="0.25">
      <c r="D1427"/>
      <c r="E1427"/>
      <c r="F1427"/>
      <c r="G1427"/>
    </row>
    <row r="1428" spans="4:7" x14ac:dyDescent="0.25">
      <c r="D1428"/>
      <c r="E1428"/>
      <c r="F1428"/>
      <c r="G1428"/>
    </row>
    <row r="1429" spans="4:7" x14ac:dyDescent="0.25">
      <c r="D1429"/>
      <c r="E1429"/>
      <c r="F1429"/>
      <c r="G1429"/>
    </row>
    <row r="1430" spans="4:7" x14ac:dyDescent="0.25">
      <c r="D1430"/>
      <c r="E1430"/>
      <c r="F1430"/>
      <c r="G1430"/>
    </row>
    <row r="1431" spans="4:7" x14ac:dyDescent="0.25">
      <c r="D1431"/>
      <c r="E1431"/>
      <c r="F1431"/>
      <c r="G1431"/>
    </row>
    <row r="1432" spans="4:7" x14ac:dyDescent="0.25">
      <c r="D1432"/>
      <c r="E1432"/>
      <c r="F1432"/>
      <c r="G1432"/>
    </row>
    <row r="1433" spans="4:7" x14ac:dyDescent="0.25">
      <c r="D1433"/>
      <c r="E1433"/>
      <c r="F1433"/>
      <c r="G1433"/>
    </row>
    <row r="1434" spans="4:7" x14ac:dyDescent="0.25">
      <c r="D1434"/>
      <c r="E1434"/>
      <c r="F1434"/>
      <c r="G1434"/>
    </row>
    <row r="1435" spans="4:7" x14ac:dyDescent="0.25">
      <c r="D1435"/>
      <c r="E1435"/>
      <c r="F1435"/>
      <c r="G1435"/>
    </row>
    <row r="1436" spans="4:7" x14ac:dyDescent="0.25">
      <c r="D1436"/>
      <c r="E1436"/>
      <c r="F1436"/>
      <c r="G1436"/>
    </row>
    <row r="1437" spans="4:7" x14ac:dyDescent="0.25">
      <c r="D1437"/>
      <c r="E1437"/>
      <c r="F1437"/>
      <c r="G1437"/>
    </row>
    <row r="1438" spans="4:7" x14ac:dyDescent="0.25">
      <c r="D1438"/>
      <c r="E1438"/>
      <c r="F1438"/>
      <c r="G1438"/>
    </row>
    <row r="1439" spans="4:7" x14ac:dyDescent="0.25">
      <c r="D1439"/>
      <c r="E1439"/>
      <c r="F1439"/>
      <c r="G1439"/>
    </row>
    <row r="1440" spans="4:7" x14ac:dyDescent="0.25">
      <c r="D1440"/>
      <c r="E1440"/>
      <c r="F1440"/>
      <c r="G1440"/>
    </row>
    <row r="1441" spans="4:7" x14ac:dyDescent="0.25">
      <c r="D1441"/>
      <c r="E1441"/>
      <c r="F1441"/>
      <c r="G1441"/>
    </row>
    <row r="1442" spans="4:7" x14ac:dyDescent="0.25">
      <c r="D1442"/>
      <c r="E1442"/>
      <c r="F1442"/>
      <c r="G1442"/>
    </row>
    <row r="1443" spans="4:7" x14ac:dyDescent="0.25">
      <c r="D1443"/>
      <c r="E1443"/>
      <c r="F1443"/>
      <c r="G1443"/>
    </row>
    <row r="1444" spans="4:7" x14ac:dyDescent="0.25">
      <c r="D1444"/>
      <c r="E1444"/>
      <c r="F1444"/>
      <c r="G1444"/>
    </row>
    <row r="1445" spans="4:7" x14ac:dyDescent="0.25">
      <c r="D1445"/>
      <c r="E1445"/>
      <c r="F1445"/>
      <c r="G1445"/>
    </row>
    <row r="1446" spans="4:7" x14ac:dyDescent="0.25">
      <c r="D1446"/>
      <c r="E1446"/>
      <c r="F1446"/>
      <c r="G1446"/>
    </row>
    <row r="1447" spans="4:7" x14ac:dyDescent="0.25">
      <c r="D1447"/>
      <c r="E1447"/>
      <c r="F1447"/>
      <c r="G1447"/>
    </row>
    <row r="1448" spans="4:7" x14ac:dyDescent="0.25">
      <c r="D1448"/>
      <c r="E1448"/>
      <c r="F1448"/>
      <c r="G1448"/>
    </row>
    <row r="1449" spans="4:7" x14ac:dyDescent="0.25">
      <c r="D1449"/>
      <c r="E1449"/>
      <c r="F1449"/>
      <c r="G1449"/>
    </row>
    <row r="1450" spans="4:7" x14ac:dyDescent="0.25">
      <c r="D1450"/>
      <c r="E1450"/>
      <c r="F1450"/>
      <c r="G1450"/>
    </row>
    <row r="1451" spans="4:7" x14ac:dyDescent="0.25">
      <c r="D1451"/>
      <c r="E1451"/>
      <c r="F1451"/>
      <c r="G1451"/>
    </row>
    <row r="1452" spans="4:7" x14ac:dyDescent="0.25">
      <c r="D1452"/>
      <c r="E1452"/>
      <c r="F1452"/>
      <c r="G1452"/>
    </row>
    <row r="1453" spans="4:7" x14ac:dyDescent="0.25">
      <c r="D1453"/>
      <c r="E1453"/>
      <c r="F1453"/>
      <c r="G1453"/>
    </row>
    <row r="1454" spans="4:7" x14ac:dyDescent="0.25">
      <c r="D1454"/>
      <c r="E1454"/>
      <c r="F1454"/>
      <c r="G1454"/>
    </row>
    <row r="1455" spans="4:7" x14ac:dyDescent="0.25">
      <c r="D1455"/>
      <c r="E1455"/>
      <c r="F1455"/>
      <c r="G1455"/>
    </row>
    <row r="1456" spans="4:7" x14ac:dyDescent="0.25">
      <c r="D1456"/>
      <c r="E1456"/>
      <c r="F1456"/>
      <c r="G1456"/>
    </row>
    <row r="1457" spans="4:7" x14ac:dyDescent="0.25">
      <c r="D1457"/>
      <c r="E1457"/>
      <c r="F1457"/>
      <c r="G1457"/>
    </row>
    <row r="1458" spans="4:7" x14ac:dyDescent="0.25">
      <c r="D1458"/>
      <c r="E1458"/>
      <c r="F1458"/>
      <c r="G1458"/>
    </row>
    <row r="1459" spans="4:7" x14ac:dyDescent="0.25">
      <c r="D1459"/>
      <c r="E1459"/>
      <c r="F1459"/>
      <c r="G1459"/>
    </row>
    <row r="1460" spans="4:7" x14ac:dyDescent="0.25">
      <c r="D1460"/>
      <c r="E1460"/>
      <c r="F1460"/>
      <c r="G1460"/>
    </row>
    <row r="1461" spans="4:7" x14ac:dyDescent="0.25">
      <c r="D1461"/>
      <c r="E1461"/>
      <c r="F1461"/>
      <c r="G1461"/>
    </row>
    <row r="1462" spans="4:7" x14ac:dyDescent="0.25">
      <c r="D1462"/>
      <c r="E1462"/>
      <c r="F1462"/>
      <c r="G1462"/>
    </row>
    <row r="1463" spans="4:7" x14ac:dyDescent="0.25">
      <c r="D1463"/>
      <c r="E1463"/>
      <c r="F1463"/>
      <c r="G1463"/>
    </row>
    <row r="1464" spans="4:7" x14ac:dyDescent="0.25">
      <c r="D1464"/>
      <c r="E1464"/>
      <c r="F1464"/>
      <c r="G1464"/>
    </row>
    <row r="1465" spans="4:7" x14ac:dyDescent="0.25">
      <c r="D1465"/>
      <c r="E1465"/>
      <c r="F1465"/>
      <c r="G1465"/>
    </row>
    <row r="1466" spans="4:7" x14ac:dyDescent="0.25">
      <c r="D1466"/>
      <c r="E1466"/>
      <c r="F1466"/>
      <c r="G1466"/>
    </row>
    <row r="1467" spans="4:7" x14ac:dyDescent="0.25">
      <c r="D1467"/>
      <c r="E1467"/>
      <c r="F1467"/>
      <c r="G1467"/>
    </row>
    <row r="1468" spans="4:7" x14ac:dyDescent="0.25">
      <c r="D1468"/>
      <c r="E1468"/>
      <c r="F1468"/>
      <c r="G1468"/>
    </row>
    <row r="1469" spans="4:7" x14ac:dyDescent="0.25">
      <c r="D1469"/>
      <c r="E1469"/>
      <c r="F1469"/>
      <c r="G1469"/>
    </row>
    <row r="1470" spans="4:7" x14ac:dyDescent="0.25">
      <c r="D1470"/>
      <c r="E1470"/>
      <c r="F1470"/>
      <c r="G1470"/>
    </row>
    <row r="1471" spans="4:7" x14ac:dyDescent="0.25">
      <c r="D1471"/>
      <c r="E1471"/>
      <c r="F1471"/>
      <c r="G1471"/>
    </row>
    <row r="1472" spans="4:7" x14ac:dyDescent="0.25">
      <c r="D1472"/>
      <c r="E1472"/>
      <c r="F1472"/>
      <c r="G1472"/>
    </row>
    <row r="1473" spans="4:7" x14ac:dyDescent="0.25">
      <c r="D1473"/>
      <c r="E1473"/>
      <c r="F1473"/>
      <c r="G1473"/>
    </row>
    <row r="1474" spans="4:7" x14ac:dyDescent="0.25">
      <c r="D1474"/>
      <c r="E1474"/>
      <c r="F1474"/>
      <c r="G1474"/>
    </row>
    <row r="1475" spans="4:7" x14ac:dyDescent="0.25">
      <c r="D1475"/>
      <c r="E1475"/>
      <c r="F1475"/>
      <c r="G1475"/>
    </row>
    <row r="1476" spans="4:7" x14ac:dyDescent="0.25">
      <c r="D1476"/>
      <c r="E1476"/>
      <c r="F1476"/>
      <c r="G1476"/>
    </row>
    <row r="1477" spans="4:7" x14ac:dyDescent="0.25">
      <c r="D1477"/>
      <c r="E1477"/>
      <c r="F1477"/>
      <c r="G1477"/>
    </row>
    <row r="1478" spans="4:7" x14ac:dyDescent="0.25">
      <c r="D1478"/>
      <c r="E1478"/>
      <c r="F1478"/>
      <c r="G1478"/>
    </row>
    <row r="1479" spans="4:7" x14ac:dyDescent="0.25">
      <c r="D1479"/>
      <c r="E1479"/>
      <c r="F1479"/>
      <c r="G1479"/>
    </row>
    <row r="1480" spans="4:7" x14ac:dyDescent="0.25">
      <c r="D1480"/>
      <c r="E1480"/>
      <c r="F1480"/>
      <c r="G1480"/>
    </row>
    <row r="1481" spans="4:7" x14ac:dyDescent="0.25">
      <c r="D1481"/>
      <c r="E1481"/>
      <c r="F1481"/>
      <c r="G1481"/>
    </row>
    <row r="1482" spans="4:7" x14ac:dyDescent="0.25">
      <c r="D1482"/>
      <c r="E1482"/>
      <c r="F1482"/>
      <c r="G1482"/>
    </row>
    <row r="1483" spans="4:7" x14ac:dyDescent="0.25">
      <c r="D1483"/>
      <c r="E1483"/>
      <c r="F1483"/>
      <c r="G1483"/>
    </row>
    <row r="1484" spans="4:7" x14ac:dyDescent="0.25">
      <c r="D1484"/>
      <c r="E1484"/>
      <c r="F1484"/>
      <c r="G1484"/>
    </row>
    <row r="1485" spans="4:7" x14ac:dyDescent="0.25">
      <c r="D1485"/>
      <c r="E1485"/>
      <c r="F1485"/>
      <c r="G1485"/>
    </row>
    <row r="1486" spans="4:7" x14ac:dyDescent="0.25">
      <c r="D1486"/>
      <c r="E1486"/>
      <c r="F1486"/>
      <c r="G1486"/>
    </row>
    <row r="1487" spans="4:7" x14ac:dyDescent="0.25">
      <c r="D1487"/>
      <c r="E1487"/>
      <c r="F1487"/>
      <c r="G1487"/>
    </row>
    <row r="1488" spans="4:7" x14ac:dyDescent="0.25">
      <c r="D1488"/>
      <c r="E1488"/>
      <c r="F1488"/>
      <c r="G1488"/>
    </row>
    <row r="1489" spans="4:7" x14ac:dyDescent="0.25">
      <c r="D1489"/>
      <c r="E1489"/>
      <c r="F1489"/>
      <c r="G1489"/>
    </row>
    <row r="1490" spans="4:7" x14ac:dyDescent="0.25">
      <c r="D1490"/>
      <c r="E1490"/>
      <c r="F1490"/>
      <c r="G1490"/>
    </row>
    <row r="1491" spans="4:7" x14ac:dyDescent="0.25">
      <c r="D1491"/>
      <c r="E1491"/>
      <c r="F1491"/>
      <c r="G1491"/>
    </row>
    <row r="1492" spans="4:7" x14ac:dyDescent="0.25">
      <c r="D1492"/>
      <c r="E1492"/>
      <c r="F1492"/>
      <c r="G1492"/>
    </row>
    <row r="1493" spans="4:7" x14ac:dyDescent="0.25">
      <c r="D1493"/>
      <c r="E1493"/>
      <c r="F1493"/>
      <c r="G1493"/>
    </row>
    <row r="1494" spans="4:7" x14ac:dyDescent="0.25">
      <c r="D1494"/>
      <c r="E1494"/>
      <c r="F1494"/>
      <c r="G1494"/>
    </row>
    <row r="1495" spans="4:7" x14ac:dyDescent="0.25">
      <c r="D1495"/>
      <c r="E1495"/>
      <c r="F1495"/>
      <c r="G1495"/>
    </row>
    <row r="1496" spans="4:7" x14ac:dyDescent="0.25">
      <c r="D1496"/>
      <c r="E1496"/>
      <c r="F1496"/>
      <c r="G1496"/>
    </row>
    <row r="1497" spans="4:7" x14ac:dyDescent="0.25">
      <c r="D1497"/>
      <c r="E1497"/>
      <c r="F1497"/>
      <c r="G1497"/>
    </row>
    <row r="1498" spans="4:7" x14ac:dyDescent="0.25">
      <c r="D1498"/>
      <c r="E1498"/>
      <c r="F1498"/>
      <c r="G1498"/>
    </row>
    <row r="1499" spans="4:7" x14ac:dyDescent="0.25">
      <c r="D1499"/>
      <c r="E1499"/>
      <c r="F1499"/>
      <c r="G1499"/>
    </row>
    <row r="1500" spans="4:7" x14ac:dyDescent="0.25">
      <c r="D1500"/>
      <c r="E1500"/>
      <c r="F1500"/>
      <c r="G1500"/>
    </row>
    <row r="1501" spans="4:7" x14ac:dyDescent="0.25">
      <c r="D1501"/>
      <c r="E1501"/>
      <c r="F1501"/>
      <c r="G1501"/>
    </row>
    <row r="1502" spans="4:7" x14ac:dyDescent="0.25">
      <c r="D1502"/>
      <c r="E1502"/>
      <c r="F1502"/>
      <c r="G1502"/>
    </row>
    <row r="1503" spans="4:7" x14ac:dyDescent="0.25">
      <c r="D1503"/>
      <c r="E1503"/>
      <c r="F1503"/>
      <c r="G1503"/>
    </row>
    <row r="1504" spans="4:7" x14ac:dyDescent="0.25">
      <c r="D1504"/>
      <c r="E1504"/>
      <c r="F1504"/>
      <c r="G1504"/>
    </row>
    <row r="1505" spans="4:7" x14ac:dyDescent="0.25">
      <c r="D1505"/>
      <c r="E1505"/>
      <c r="F1505"/>
      <c r="G1505"/>
    </row>
    <row r="1506" spans="4:7" x14ac:dyDescent="0.25">
      <c r="D1506"/>
      <c r="E1506"/>
      <c r="F1506"/>
      <c r="G1506"/>
    </row>
    <row r="1507" spans="4:7" x14ac:dyDescent="0.25">
      <c r="D1507"/>
      <c r="E1507"/>
      <c r="F1507"/>
      <c r="G1507"/>
    </row>
    <row r="1508" spans="4:7" x14ac:dyDescent="0.25">
      <c r="D1508"/>
      <c r="E1508"/>
      <c r="F1508"/>
      <c r="G1508"/>
    </row>
    <row r="1509" spans="4:7" x14ac:dyDescent="0.25">
      <c r="D1509"/>
      <c r="E1509"/>
      <c r="F1509"/>
      <c r="G1509"/>
    </row>
    <row r="1510" spans="4:7" x14ac:dyDescent="0.25">
      <c r="D1510"/>
      <c r="E1510"/>
      <c r="F1510"/>
      <c r="G1510"/>
    </row>
    <row r="1511" spans="4:7" x14ac:dyDescent="0.25">
      <c r="D1511"/>
      <c r="E1511"/>
      <c r="F1511"/>
      <c r="G1511"/>
    </row>
    <row r="1512" spans="4:7" x14ac:dyDescent="0.25">
      <c r="D1512"/>
      <c r="E1512"/>
      <c r="F1512"/>
      <c r="G1512"/>
    </row>
    <row r="1513" spans="4:7" x14ac:dyDescent="0.25">
      <c r="D1513"/>
      <c r="E1513"/>
      <c r="F1513"/>
      <c r="G1513"/>
    </row>
    <row r="1514" spans="4:7" x14ac:dyDescent="0.25">
      <c r="D1514"/>
      <c r="E1514"/>
      <c r="F1514"/>
      <c r="G1514"/>
    </row>
    <row r="1515" spans="4:7" x14ac:dyDescent="0.25">
      <c r="D1515"/>
      <c r="E1515"/>
      <c r="F1515"/>
      <c r="G1515"/>
    </row>
    <row r="1516" spans="4:7" x14ac:dyDescent="0.25">
      <c r="D1516"/>
      <c r="E1516"/>
      <c r="F1516"/>
      <c r="G1516"/>
    </row>
    <row r="1517" spans="4:7" x14ac:dyDescent="0.25">
      <c r="D1517"/>
      <c r="E1517"/>
      <c r="F1517"/>
      <c r="G1517"/>
    </row>
    <row r="1518" spans="4:7" x14ac:dyDescent="0.25">
      <c r="D1518"/>
      <c r="E1518"/>
      <c r="F1518"/>
      <c r="G1518"/>
    </row>
    <row r="1519" spans="4:7" x14ac:dyDescent="0.25">
      <c r="D1519"/>
      <c r="E1519"/>
      <c r="F1519"/>
      <c r="G1519"/>
    </row>
    <row r="1520" spans="4:7" x14ac:dyDescent="0.25">
      <c r="D1520"/>
      <c r="E1520"/>
      <c r="F1520"/>
      <c r="G1520"/>
    </row>
    <row r="1521" spans="4:7" x14ac:dyDescent="0.25">
      <c r="D1521"/>
      <c r="E1521"/>
      <c r="F1521"/>
      <c r="G1521"/>
    </row>
    <row r="1522" spans="4:7" x14ac:dyDescent="0.25">
      <c r="D1522"/>
      <c r="E1522"/>
      <c r="F1522"/>
      <c r="G1522"/>
    </row>
    <row r="1523" spans="4:7" x14ac:dyDescent="0.25">
      <c r="D1523"/>
      <c r="E1523"/>
      <c r="F1523"/>
      <c r="G1523"/>
    </row>
    <row r="1524" spans="4:7" x14ac:dyDescent="0.25">
      <c r="D1524"/>
      <c r="E1524"/>
      <c r="F1524"/>
      <c r="G1524"/>
    </row>
    <row r="1525" spans="4:7" x14ac:dyDescent="0.25">
      <c r="D1525"/>
      <c r="E1525"/>
      <c r="F1525"/>
      <c r="G1525"/>
    </row>
    <row r="1526" spans="4:7" x14ac:dyDescent="0.25">
      <c r="D1526"/>
      <c r="E1526"/>
      <c r="F1526"/>
      <c r="G1526"/>
    </row>
    <row r="1527" spans="4:7" x14ac:dyDescent="0.25">
      <c r="D1527"/>
      <c r="E1527"/>
      <c r="F1527"/>
      <c r="G1527"/>
    </row>
    <row r="1528" spans="4:7" x14ac:dyDescent="0.25">
      <c r="D1528"/>
      <c r="E1528"/>
      <c r="F1528"/>
      <c r="G1528"/>
    </row>
    <row r="1529" spans="4:7" x14ac:dyDescent="0.25">
      <c r="D1529"/>
      <c r="E1529"/>
      <c r="F1529"/>
      <c r="G1529"/>
    </row>
    <row r="1530" spans="4:7" x14ac:dyDescent="0.25">
      <c r="D1530"/>
      <c r="E1530"/>
      <c r="F1530"/>
      <c r="G1530"/>
    </row>
    <row r="1531" spans="4:7" x14ac:dyDescent="0.25">
      <c r="D1531"/>
      <c r="E1531"/>
      <c r="F1531"/>
      <c r="G1531"/>
    </row>
    <row r="1532" spans="4:7" x14ac:dyDescent="0.25">
      <c r="D1532"/>
      <c r="E1532"/>
      <c r="F1532"/>
      <c r="G1532"/>
    </row>
    <row r="1533" spans="4:7" x14ac:dyDescent="0.25">
      <c r="D1533"/>
      <c r="E1533"/>
      <c r="F1533"/>
      <c r="G1533"/>
    </row>
    <row r="1534" spans="4:7" x14ac:dyDescent="0.25">
      <c r="D1534"/>
      <c r="E1534"/>
      <c r="F1534"/>
      <c r="G1534"/>
    </row>
    <row r="1535" spans="4:7" x14ac:dyDescent="0.25">
      <c r="D1535"/>
      <c r="E1535"/>
      <c r="F1535"/>
      <c r="G1535"/>
    </row>
    <row r="1536" spans="4:7" x14ac:dyDescent="0.25">
      <c r="D1536"/>
      <c r="E1536"/>
      <c r="F1536"/>
      <c r="G1536"/>
    </row>
    <row r="1537" spans="4:7" x14ac:dyDescent="0.25">
      <c r="D1537"/>
      <c r="E1537"/>
      <c r="F1537"/>
      <c r="G1537"/>
    </row>
    <row r="1538" spans="4:7" x14ac:dyDescent="0.25">
      <c r="D1538"/>
      <c r="E1538"/>
      <c r="F1538"/>
      <c r="G1538"/>
    </row>
    <row r="1539" spans="4:7" x14ac:dyDescent="0.25">
      <c r="D1539"/>
      <c r="E1539"/>
      <c r="F1539"/>
      <c r="G1539"/>
    </row>
    <row r="1540" spans="4:7" x14ac:dyDescent="0.25">
      <c r="D1540"/>
      <c r="E1540"/>
      <c r="F1540"/>
      <c r="G1540"/>
    </row>
    <row r="1541" spans="4:7" x14ac:dyDescent="0.25">
      <c r="D1541"/>
      <c r="E1541"/>
      <c r="F1541"/>
      <c r="G1541"/>
    </row>
    <row r="1542" spans="4:7" x14ac:dyDescent="0.25">
      <c r="D1542"/>
      <c r="E1542"/>
      <c r="F1542"/>
      <c r="G1542"/>
    </row>
    <row r="1543" spans="4:7" x14ac:dyDescent="0.25">
      <c r="D1543"/>
      <c r="E1543"/>
      <c r="F1543"/>
      <c r="G1543"/>
    </row>
    <row r="1544" spans="4:7" x14ac:dyDescent="0.25">
      <c r="D1544"/>
      <c r="E1544"/>
      <c r="F1544"/>
      <c r="G1544"/>
    </row>
    <row r="1545" spans="4:7" x14ac:dyDescent="0.25">
      <c r="D1545"/>
      <c r="E1545"/>
      <c r="F1545"/>
      <c r="G1545"/>
    </row>
    <row r="1546" spans="4:7" x14ac:dyDescent="0.25">
      <c r="D1546"/>
      <c r="E1546"/>
      <c r="F1546"/>
      <c r="G1546"/>
    </row>
    <row r="1547" spans="4:7" x14ac:dyDescent="0.25">
      <c r="D1547"/>
      <c r="E1547"/>
      <c r="F1547"/>
      <c r="G1547"/>
    </row>
    <row r="1548" spans="4:7" x14ac:dyDescent="0.25">
      <c r="D1548"/>
      <c r="E1548"/>
      <c r="F1548"/>
      <c r="G1548"/>
    </row>
    <row r="1549" spans="4:7" x14ac:dyDescent="0.25">
      <c r="D1549"/>
      <c r="E1549"/>
      <c r="F1549"/>
      <c r="G1549"/>
    </row>
    <row r="1550" spans="4:7" x14ac:dyDescent="0.25">
      <c r="D1550"/>
      <c r="E1550"/>
      <c r="F1550"/>
      <c r="G1550"/>
    </row>
    <row r="1551" spans="4:7" x14ac:dyDescent="0.25">
      <c r="D1551"/>
      <c r="E1551"/>
      <c r="F1551"/>
      <c r="G1551"/>
    </row>
    <row r="1552" spans="4:7" x14ac:dyDescent="0.25">
      <c r="D1552"/>
      <c r="E1552"/>
      <c r="F1552"/>
      <c r="G1552"/>
    </row>
    <row r="1553" spans="4:7" x14ac:dyDescent="0.25">
      <c r="D1553"/>
      <c r="E1553"/>
      <c r="F1553"/>
      <c r="G1553"/>
    </row>
    <row r="1554" spans="4:7" x14ac:dyDescent="0.25">
      <c r="D1554"/>
      <c r="E1554"/>
      <c r="F1554"/>
      <c r="G1554"/>
    </row>
    <row r="1555" spans="4:7" x14ac:dyDescent="0.25">
      <c r="D1555"/>
      <c r="E1555"/>
      <c r="F1555"/>
      <c r="G1555"/>
    </row>
    <row r="1556" spans="4:7" x14ac:dyDescent="0.25">
      <c r="D1556"/>
      <c r="E1556"/>
      <c r="F1556"/>
      <c r="G1556"/>
    </row>
    <row r="1557" spans="4:7" x14ac:dyDescent="0.25">
      <c r="D1557"/>
      <c r="E1557"/>
      <c r="F1557"/>
      <c r="G1557"/>
    </row>
    <row r="1558" spans="4:7" x14ac:dyDescent="0.25">
      <c r="D1558"/>
      <c r="E1558"/>
      <c r="F1558"/>
      <c r="G1558"/>
    </row>
    <row r="1559" spans="4:7" x14ac:dyDescent="0.25">
      <c r="D1559"/>
      <c r="E1559"/>
      <c r="F1559"/>
      <c r="G1559"/>
    </row>
    <row r="1560" spans="4:7" x14ac:dyDescent="0.25">
      <c r="D1560"/>
      <c r="E1560"/>
      <c r="F1560"/>
      <c r="G1560"/>
    </row>
    <row r="1561" spans="4:7" x14ac:dyDescent="0.25">
      <c r="D1561"/>
      <c r="E1561"/>
      <c r="F1561"/>
      <c r="G1561"/>
    </row>
    <row r="1562" spans="4:7" x14ac:dyDescent="0.25">
      <c r="D1562"/>
      <c r="E1562"/>
      <c r="F1562"/>
      <c r="G1562"/>
    </row>
    <row r="1563" spans="4:7" x14ac:dyDescent="0.25">
      <c r="D1563"/>
      <c r="E1563"/>
      <c r="F1563"/>
      <c r="G1563"/>
    </row>
    <row r="1564" spans="4:7" x14ac:dyDescent="0.25">
      <c r="D1564"/>
      <c r="E1564"/>
      <c r="F1564"/>
      <c r="G1564"/>
    </row>
    <row r="1565" spans="4:7" x14ac:dyDescent="0.25">
      <c r="D1565"/>
      <c r="E1565"/>
      <c r="F1565"/>
      <c r="G1565"/>
    </row>
    <row r="1566" spans="4:7" x14ac:dyDescent="0.25">
      <c r="D1566"/>
      <c r="E1566"/>
      <c r="F1566"/>
      <c r="G1566"/>
    </row>
    <row r="1567" spans="4:7" x14ac:dyDescent="0.25">
      <c r="D1567"/>
      <c r="E1567"/>
      <c r="F1567"/>
      <c r="G1567"/>
    </row>
    <row r="1568" spans="4:7" x14ac:dyDescent="0.25">
      <c r="D1568"/>
      <c r="E1568"/>
      <c r="F1568"/>
      <c r="G1568"/>
    </row>
    <row r="1569" spans="4:7" x14ac:dyDescent="0.25">
      <c r="D1569"/>
      <c r="E1569"/>
      <c r="F1569"/>
      <c r="G1569"/>
    </row>
    <row r="1570" spans="4:7" x14ac:dyDescent="0.25">
      <c r="D1570"/>
      <c r="E1570"/>
      <c r="F1570"/>
      <c r="G1570"/>
    </row>
    <row r="1571" spans="4:7" x14ac:dyDescent="0.25">
      <c r="D1571"/>
      <c r="E1571"/>
      <c r="F1571"/>
      <c r="G1571"/>
    </row>
    <row r="1572" spans="4:7" x14ac:dyDescent="0.25">
      <c r="D1572"/>
      <c r="E1572"/>
      <c r="F1572"/>
      <c r="G1572"/>
    </row>
    <row r="1573" spans="4:7" x14ac:dyDescent="0.25">
      <c r="D1573"/>
      <c r="E1573"/>
      <c r="F1573"/>
      <c r="G1573"/>
    </row>
    <row r="1574" spans="4:7" x14ac:dyDescent="0.25">
      <c r="D1574"/>
      <c r="E1574"/>
      <c r="F1574"/>
      <c r="G1574"/>
    </row>
    <row r="1575" spans="4:7" x14ac:dyDescent="0.25">
      <c r="D1575"/>
      <c r="E1575"/>
      <c r="F1575"/>
      <c r="G1575"/>
    </row>
    <row r="1576" spans="4:7" x14ac:dyDescent="0.25">
      <c r="D1576"/>
      <c r="E1576"/>
      <c r="F1576"/>
      <c r="G1576"/>
    </row>
    <row r="1577" spans="4:7" x14ac:dyDescent="0.25">
      <c r="D1577"/>
      <c r="E1577"/>
      <c r="F1577"/>
      <c r="G1577"/>
    </row>
    <row r="1578" spans="4:7" x14ac:dyDescent="0.25">
      <c r="D1578"/>
      <c r="E1578"/>
      <c r="F1578"/>
      <c r="G1578"/>
    </row>
    <row r="1579" spans="4:7" x14ac:dyDescent="0.25">
      <c r="D1579"/>
      <c r="E1579"/>
      <c r="F1579"/>
      <c r="G1579"/>
    </row>
    <row r="1580" spans="4:7" x14ac:dyDescent="0.25">
      <c r="D1580"/>
      <c r="E1580"/>
      <c r="F1580"/>
      <c r="G1580"/>
    </row>
    <row r="1581" spans="4:7" x14ac:dyDescent="0.25">
      <c r="D1581"/>
      <c r="E1581"/>
      <c r="F1581"/>
      <c r="G1581"/>
    </row>
    <row r="1582" spans="4:7" x14ac:dyDescent="0.25">
      <c r="D1582"/>
      <c r="E1582"/>
      <c r="F1582"/>
      <c r="G1582"/>
    </row>
    <row r="1583" spans="4:7" x14ac:dyDescent="0.25">
      <c r="D1583"/>
      <c r="E1583"/>
      <c r="F1583"/>
      <c r="G1583"/>
    </row>
    <row r="1584" spans="4:7" x14ac:dyDescent="0.25">
      <c r="D1584"/>
      <c r="E1584"/>
      <c r="F1584"/>
      <c r="G1584"/>
    </row>
    <row r="1585" spans="4:7" x14ac:dyDescent="0.25">
      <c r="D1585"/>
      <c r="E1585"/>
      <c r="F1585"/>
      <c r="G1585"/>
    </row>
    <row r="1586" spans="4:7" x14ac:dyDescent="0.25">
      <c r="D1586"/>
      <c r="E1586"/>
      <c r="F1586"/>
      <c r="G1586"/>
    </row>
    <row r="1587" spans="4:7" x14ac:dyDescent="0.25">
      <c r="D1587"/>
      <c r="E1587"/>
      <c r="F1587"/>
      <c r="G1587"/>
    </row>
    <row r="1588" spans="4:7" x14ac:dyDescent="0.25">
      <c r="D1588"/>
      <c r="E1588"/>
      <c r="F1588"/>
      <c r="G1588"/>
    </row>
    <row r="1589" spans="4:7" x14ac:dyDescent="0.25">
      <c r="D1589"/>
      <c r="E1589"/>
      <c r="F1589"/>
      <c r="G1589"/>
    </row>
    <row r="1590" spans="4:7" x14ac:dyDescent="0.25">
      <c r="D1590"/>
      <c r="E1590"/>
      <c r="F1590"/>
      <c r="G1590"/>
    </row>
    <row r="1591" spans="4:7" x14ac:dyDescent="0.25">
      <c r="D1591"/>
      <c r="E1591"/>
      <c r="F1591"/>
      <c r="G1591"/>
    </row>
    <row r="1592" spans="4:7" x14ac:dyDescent="0.25">
      <c r="D1592"/>
      <c r="E1592"/>
      <c r="F1592"/>
      <c r="G1592"/>
    </row>
    <row r="1593" spans="4:7" x14ac:dyDescent="0.25">
      <c r="D1593"/>
      <c r="E1593"/>
      <c r="F1593"/>
      <c r="G1593"/>
    </row>
    <row r="1594" spans="4:7" x14ac:dyDescent="0.25">
      <c r="D1594"/>
      <c r="E1594"/>
      <c r="F1594"/>
      <c r="G1594"/>
    </row>
    <row r="1595" spans="4:7" x14ac:dyDescent="0.25">
      <c r="D1595"/>
      <c r="E1595"/>
      <c r="F1595"/>
      <c r="G1595"/>
    </row>
    <row r="1596" spans="4:7" x14ac:dyDescent="0.25">
      <c r="D1596"/>
      <c r="E1596"/>
      <c r="F1596"/>
      <c r="G1596"/>
    </row>
    <row r="1597" spans="4:7" x14ac:dyDescent="0.25">
      <c r="D1597"/>
      <c r="E1597"/>
      <c r="F1597"/>
      <c r="G1597"/>
    </row>
    <row r="1598" spans="4:7" x14ac:dyDescent="0.25">
      <c r="D1598"/>
      <c r="E1598"/>
      <c r="F1598"/>
      <c r="G1598"/>
    </row>
    <row r="1599" spans="4:7" x14ac:dyDescent="0.25">
      <c r="D1599"/>
      <c r="E1599"/>
      <c r="F1599"/>
      <c r="G1599"/>
    </row>
    <row r="1600" spans="4:7" x14ac:dyDescent="0.25">
      <c r="D1600"/>
      <c r="E1600"/>
      <c r="F1600"/>
      <c r="G1600"/>
    </row>
    <row r="1601" spans="4:7" x14ac:dyDescent="0.25">
      <c r="D1601"/>
      <c r="E1601"/>
      <c r="F1601"/>
      <c r="G1601"/>
    </row>
    <row r="1602" spans="4:7" x14ac:dyDescent="0.25">
      <c r="D1602"/>
      <c r="E1602"/>
      <c r="F1602"/>
      <c r="G1602"/>
    </row>
    <row r="1603" spans="4:7" x14ac:dyDescent="0.25">
      <c r="D1603"/>
      <c r="E1603"/>
      <c r="F1603"/>
      <c r="G1603"/>
    </row>
    <row r="1604" spans="4:7" x14ac:dyDescent="0.25">
      <c r="D1604"/>
      <c r="E1604"/>
      <c r="F1604"/>
      <c r="G1604"/>
    </row>
    <row r="1605" spans="4:7" x14ac:dyDescent="0.25">
      <c r="D1605"/>
      <c r="E1605"/>
      <c r="F1605"/>
      <c r="G1605"/>
    </row>
    <row r="1606" spans="4:7" x14ac:dyDescent="0.25">
      <c r="D1606"/>
      <c r="E1606"/>
      <c r="F1606"/>
      <c r="G1606"/>
    </row>
    <row r="1607" spans="4:7" x14ac:dyDescent="0.25">
      <c r="D1607"/>
      <c r="E1607"/>
      <c r="F1607"/>
      <c r="G1607"/>
    </row>
    <row r="1608" spans="4:7" x14ac:dyDescent="0.25">
      <c r="D1608"/>
      <c r="E1608"/>
      <c r="F1608"/>
      <c r="G1608"/>
    </row>
    <row r="1609" spans="4:7" x14ac:dyDescent="0.25">
      <c r="D1609"/>
      <c r="E1609"/>
      <c r="F1609"/>
      <c r="G1609"/>
    </row>
    <row r="1610" spans="4:7" x14ac:dyDescent="0.25">
      <c r="D1610"/>
      <c r="E1610"/>
      <c r="F1610"/>
      <c r="G1610"/>
    </row>
    <row r="1611" spans="4:7" x14ac:dyDescent="0.25">
      <c r="D1611"/>
      <c r="E1611"/>
      <c r="F1611"/>
      <c r="G1611"/>
    </row>
    <row r="1612" spans="4:7" x14ac:dyDescent="0.25">
      <c r="D1612"/>
      <c r="E1612"/>
      <c r="F1612"/>
      <c r="G1612"/>
    </row>
    <row r="1613" spans="4:7" x14ac:dyDescent="0.25">
      <c r="D1613"/>
      <c r="E1613"/>
      <c r="F1613"/>
      <c r="G1613"/>
    </row>
    <row r="1614" spans="4:7" x14ac:dyDescent="0.25">
      <c r="D1614"/>
      <c r="E1614"/>
      <c r="F1614"/>
      <c r="G1614"/>
    </row>
    <row r="1615" spans="4:7" x14ac:dyDescent="0.25">
      <c r="D1615"/>
      <c r="E1615"/>
      <c r="F1615"/>
      <c r="G1615"/>
    </row>
    <row r="1616" spans="4:7" x14ac:dyDescent="0.25">
      <c r="D1616"/>
      <c r="E1616"/>
      <c r="F1616"/>
      <c r="G1616"/>
    </row>
    <row r="1617" spans="4:7" x14ac:dyDescent="0.25">
      <c r="D1617"/>
      <c r="E1617"/>
      <c r="F1617"/>
      <c r="G1617"/>
    </row>
    <row r="1618" spans="4:7" x14ac:dyDescent="0.25">
      <c r="D1618"/>
      <c r="E1618"/>
      <c r="F1618"/>
      <c r="G1618"/>
    </row>
    <row r="1619" spans="4:7" x14ac:dyDescent="0.25">
      <c r="D1619"/>
      <c r="E1619"/>
      <c r="F1619"/>
      <c r="G1619"/>
    </row>
    <row r="1620" spans="4:7" x14ac:dyDescent="0.25">
      <c r="D1620"/>
      <c r="E1620"/>
      <c r="F1620"/>
      <c r="G1620"/>
    </row>
    <row r="1621" spans="4:7" x14ac:dyDescent="0.25">
      <c r="D1621"/>
      <c r="E1621"/>
      <c r="F1621"/>
      <c r="G1621"/>
    </row>
    <row r="1622" spans="4:7" x14ac:dyDescent="0.25">
      <c r="D1622"/>
      <c r="E1622"/>
      <c r="F1622"/>
      <c r="G1622"/>
    </row>
    <row r="1623" spans="4:7" x14ac:dyDescent="0.25">
      <c r="D1623"/>
      <c r="E1623"/>
      <c r="F1623"/>
      <c r="G1623"/>
    </row>
    <row r="1624" spans="4:7" x14ac:dyDescent="0.25">
      <c r="D1624"/>
      <c r="E1624"/>
      <c r="F1624"/>
      <c r="G1624"/>
    </row>
    <row r="1625" spans="4:7" x14ac:dyDescent="0.25">
      <c r="D1625"/>
      <c r="E1625"/>
      <c r="F1625"/>
      <c r="G1625"/>
    </row>
    <row r="1626" spans="4:7" x14ac:dyDescent="0.25">
      <c r="D1626"/>
      <c r="E1626"/>
      <c r="F1626"/>
      <c r="G1626"/>
    </row>
    <row r="1627" spans="4:7" x14ac:dyDescent="0.25">
      <c r="D1627"/>
      <c r="E1627"/>
      <c r="F1627"/>
      <c r="G1627"/>
    </row>
    <row r="1628" spans="4:7" x14ac:dyDescent="0.25">
      <c r="D1628"/>
      <c r="E1628"/>
      <c r="F1628"/>
      <c r="G1628"/>
    </row>
    <row r="1629" spans="4:7" x14ac:dyDescent="0.25">
      <c r="D1629"/>
      <c r="E1629"/>
      <c r="F1629"/>
      <c r="G1629"/>
    </row>
    <row r="1630" spans="4:7" x14ac:dyDescent="0.25">
      <c r="D1630"/>
      <c r="E1630"/>
      <c r="F1630"/>
      <c r="G1630"/>
    </row>
    <row r="1631" spans="4:7" x14ac:dyDescent="0.25">
      <c r="D1631"/>
      <c r="E1631"/>
      <c r="F1631"/>
      <c r="G1631"/>
    </row>
    <row r="1632" spans="4:7" x14ac:dyDescent="0.25">
      <c r="D1632"/>
      <c r="E1632"/>
      <c r="F1632"/>
      <c r="G1632"/>
    </row>
    <row r="1633" spans="4:7" x14ac:dyDescent="0.25">
      <c r="D1633"/>
      <c r="E1633"/>
      <c r="F1633"/>
      <c r="G1633"/>
    </row>
    <row r="1634" spans="4:7" x14ac:dyDescent="0.25">
      <c r="D1634"/>
      <c r="E1634"/>
      <c r="F1634"/>
      <c r="G1634"/>
    </row>
    <row r="1635" spans="4:7" x14ac:dyDescent="0.25">
      <c r="D1635"/>
      <c r="E1635"/>
      <c r="F1635"/>
      <c r="G1635"/>
    </row>
    <row r="1636" spans="4:7" x14ac:dyDescent="0.25">
      <c r="D1636"/>
      <c r="E1636"/>
      <c r="F1636"/>
      <c r="G1636"/>
    </row>
    <row r="1637" spans="4:7" x14ac:dyDescent="0.25">
      <c r="D1637"/>
      <c r="E1637"/>
      <c r="F1637"/>
      <c r="G1637"/>
    </row>
    <row r="1638" spans="4:7" x14ac:dyDescent="0.25">
      <c r="D1638"/>
      <c r="E1638"/>
      <c r="F1638"/>
      <c r="G1638"/>
    </row>
    <row r="1639" spans="4:7" x14ac:dyDescent="0.25">
      <c r="D1639"/>
      <c r="E1639"/>
      <c r="F1639"/>
      <c r="G1639"/>
    </row>
    <row r="1640" spans="4:7" x14ac:dyDescent="0.25">
      <c r="D1640"/>
      <c r="E1640"/>
      <c r="F1640"/>
      <c r="G1640"/>
    </row>
    <row r="1641" spans="4:7" x14ac:dyDescent="0.25">
      <c r="D1641"/>
      <c r="E1641"/>
      <c r="F1641"/>
      <c r="G1641"/>
    </row>
    <row r="1642" spans="4:7" x14ac:dyDescent="0.25">
      <c r="D1642"/>
      <c r="E1642"/>
      <c r="F1642"/>
      <c r="G1642"/>
    </row>
    <row r="1643" spans="4:7" x14ac:dyDescent="0.25">
      <c r="D1643"/>
      <c r="E1643"/>
      <c r="F1643"/>
      <c r="G1643"/>
    </row>
    <row r="1644" spans="4:7" x14ac:dyDescent="0.25">
      <c r="D1644"/>
      <c r="E1644"/>
      <c r="F1644"/>
      <c r="G1644"/>
    </row>
    <row r="1645" spans="4:7" x14ac:dyDescent="0.25">
      <c r="D1645"/>
      <c r="E1645"/>
      <c r="F1645"/>
      <c r="G1645"/>
    </row>
    <row r="1646" spans="4:7" x14ac:dyDescent="0.25">
      <c r="D1646"/>
      <c r="E1646"/>
      <c r="F1646"/>
      <c r="G1646"/>
    </row>
    <row r="1647" spans="4:7" x14ac:dyDescent="0.25">
      <c r="D1647"/>
      <c r="E1647"/>
      <c r="F1647"/>
      <c r="G1647"/>
    </row>
    <row r="1648" spans="4:7" x14ac:dyDescent="0.25">
      <c r="D1648"/>
      <c r="E1648"/>
      <c r="F1648"/>
      <c r="G1648"/>
    </row>
    <row r="1649" spans="4:7" x14ac:dyDescent="0.25">
      <c r="D1649"/>
      <c r="E1649"/>
      <c r="F1649"/>
      <c r="G1649"/>
    </row>
    <row r="1650" spans="4:7" x14ac:dyDescent="0.25">
      <c r="D1650"/>
      <c r="E1650"/>
      <c r="F1650"/>
      <c r="G1650"/>
    </row>
    <row r="1651" spans="4:7" x14ac:dyDescent="0.25">
      <c r="D1651"/>
      <c r="E1651"/>
      <c r="F1651"/>
      <c r="G1651"/>
    </row>
    <row r="1652" spans="4:7" x14ac:dyDescent="0.25">
      <c r="D1652"/>
      <c r="E1652"/>
      <c r="F1652"/>
      <c r="G1652"/>
    </row>
    <row r="1653" spans="4:7" x14ac:dyDescent="0.25">
      <c r="D1653"/>
      <c r="E1653"/>
      <c r="F1653"/>
      <c r="G1653"/>
    </row>
    <row r="1654" spans="4:7" x14ac:dyDescent="0.25">
      <c r="D1654"/>
      <c r="E1654"/>
      <c r="F1654"/>
      <c r="G1654"/>
    </row>
    <row r="1655" spans="4:7" x14ac:dyDescent="0.25">
      <c r="D1655"/>
      <c r="E1655"/>
      <c r="F1655"/>
      <c r="G1655"/>
    </row>
    <row r="1656" spans="4:7" x14ac:dyDescent="0.25">
      <c r="D1656"/>
      <c r="E1656"/>
      <c r="F1656"/>
      <c r="G1656"/>
    </row>
    <row r="1657" spans="4:7" x14ac:dyDescent="0.25">
      <c r="D1657"/>
      <c r="E1657"/>
      <c r="F1657"/>
      <c r="G1657"/>
    </row>
    <row r="1658" spans="4:7" x14ac:dyDescent="0.25">
      <c r="D1658"/>
      <c r="E1658"/>
      <c r="F1658"/>
      <c r="G1658"/>
    </row>
    <row r="1659" spans="4:7" x14ac:dyDescent="0.25">
      <c r="D1659"/>
      <c r="E1659"/>
      <c r="F1659"/>
      <c r="G1659"/>
    </row>
    <row r="1660" spans="4:7" x14ac:dyDescent="0.25">
      <c r="D1660"/>
      <c r="E1660"/>
      <c r="F1660"/>
      <c r="G1660"/>
    </row>
    <row r="1661" spans="4:7" x14ac:dyDescent="0.25">
      <c r="D1661"/>
      <c r="E1661"/>
      <c r="F1661"/>
      <c r="G1661"/>
    </row>
    <row r="1662" spans="4:7" x14ac:dyDescent="0.25">
      <c r="D1662"/>
      <c r="E1662"/>
      <c r="F1662"/>
      <c r="G1662"/>
    </row>
    <row r="1663" spans="4:7" x14ac:dyDescent="0.25">
      <c r="D1663"/>
      <c r="E1663"/>
      <c r="F1663"/>
      <c r="G1663"/>
    </row>
    <row r="1664" spans="4:7" x14ac:dyDescent="0.25">
      <c r="D1664"/>
      <c r="E1664"/>
      <c r="F1664"/>
      <c r="G1664"/>
    </row>
    <row r="1665" spans="4:7" x14ac:dyDescent="0.25">
      <c r="D1665"/>
      <c r="E1665"/>
      <c r="F1665"/>
      <c r="G1665"/>
    </row>
    <row r="1666" spans="4:7" x14ac:dyDescent="0.25">
      <c r="D1666"/>
      <c r="E1666"/>
      <c r="F1666"/>
      <c r="G1666"/>
    </row>
    <row r="1667" spans="4:7" x14ac:dyDescent="0.25">
      <c r="D1667"/>
      <c r="E1667"/>
      <c r="F1667"/>
      <c r="G1667"/>
    </row>
    <row r="1668" spans="4:7" x14ac:dyDescent="0.25">
      <c r="D1668"/>
      <c r="E1668"/>
      <c r="F1668"/>
      <c r="G1668"/>
    </row>
    <row r="1669" spans="4:7" x14ac:dyDescent="0.25">
      <c r="D1669"/>
      <c r="E1669"/>
      <c r="F1669"/>
      <c r="G1669"/>
    </row>
    <row r="1670" spans="4:7" x14ac:dyDescent="0.25">
      <c r="D1670"/>
      <c r="E1670"/>
      <c r="F1670"/>
      <c r="G1670"/>
    </row>
    <row r="1671" spans="4:7" x14ac:dyDescent="0.25">
      <c r="D1671"/>
      <c r="E1671"/>
      <c r="F1671"/>
      <c r="G1671"/>
    </row>
    <row r="1672" spans="4:7" x14ac:dyDescent="0.25">
      <c r="D1672"/>
      <c r="E1672"/>
      <c r="F1672"/>
      <c r="G1672"/>
    </row>
    <row r="1673" spans="4:7" x14ac:dyDescent="0.25">
      <c r="D1673"/>
      <c r="E1673"/>
      <c r="F1673"/>
      <c r="G1673"/>
    </row>
    <row r="1674" spans="4:7" x14ac:dyDescent="0.25">
      <c r="D1674"/>
      <c r="E1674"/>
      <c r="F1674"/>
      <c r="G1674"/>
    </row>
    <row r="1675" spans="4:7" x14ac:dyDescent="0.25">
      <c r="D1675"/>
      <c r="E1675"/>
      <c r="F1675"/>
      <c r="G1675"/>
    </row>
    <row r="1676" spans="4:7" x14ac:dyDescent="0.25">
      <c r="D1676"/>
      <c r="E1676"/>
      <c r="F1676"/>
      <c r="G1676"/>
    </row>
    <row r="1677" spans="4:7" x14ac:dyDescent="0.25">
      <c r="D1677"/>
      <c r="E1677"/>
      <c r="F1677"/>
      <c r="G1677"/>
    </row>
    <row r="1678" spans="4:7" x14ac:dyDescent="0.25">
      <c r="D1678"/>
      <c r="E1678"/>
      <c r="F1678"/>
      <c r="G1678"/>
    </row>
    <row r="1679" spans="4:7" x14ac:dyDescent="0.25">
      <c r="D1679"/>
      <c r="E1679"/>
      <c r="F1679"/>
      <c r="G1679"/>
    </row>
    <row r="1680" spans="4:7" x14ac:dyDescent="0.25">
      <c r="D1680"/>
      <c r="E1680"/>
      <c r="F1680"/>
      <c r="G1680"/>
    </row>
    <row r="1681" spans="4:7" x14ac:dyDescent="0.25">
      <c r="D1681"/>
      <c r="E1681"/>
      <c r="F1681"/>
      <c r="G1681"/>
    </row>
    <row r="1682" spans="4:7" x14ac:dyDescent="0.25">
      <c r="D1682"/>
      <c r="E1682"/>
      <c r="F1682"/>
      <c r="G1682"/>
    </row>
    <row r="1683" spans="4:7" x14ac:dyDescent="0.25">
      <c r="D1683"/>
      <c r="E1683"/>
      <c r="F1683"/>
      <c r="G1683"/>
    </row>
    <row r="1684" spans="4:7" x14ac:dyDescent="0.25">
      <c r="D1684"/>
      <c r="E1684"/>
      <c r="F1684"/>
      <c r="G1684"/>
    </row>
    <row r="1685" spans="4:7" x14ac:dyDescent="0.25">
      <c r="D1685"/>
      <c r="E1685"/>
      <c r="F1685"/>
      <c r="G1685"/>
    </row>
    <row r="1686" spans="4:7" x14ac:dyDescent="0.25">
      <c r="D1686"/>
      <c r="E1686"/>
      <c r="F1686"/>
      <c r="G1686"/>
    </row>
    <row r="1687" spans="4:7" x14ac:dyDescent="0.25">
      <c r="D1687"/>
      <c r="E1687"/>
      <c r="F1687"/>
      <c r="G1687"/>
    </row>
    <row r="1688" spans="4:7" x14ac:dyDescent="0.25">
      <c r="D1688"/>
      <c r="E1688"/>
      <c r="F1688"/>
      <c r="G1688"/>
    </row>
    <row r="1689" spans="4:7" x14ac:dyDescent="0.25">
      <c r="D1689"/>
      <c r="E1689"/>
      <c r="F1689"/>
      <c r="G1689"/>
    </row>
    <row r="1690" spans="4:7" x14ac:dyDescent="0.25">
      <c r="D1690"/>
      <c r="E1690"/>
      <c r="F1690"/>
      <c r="G1690"/>
    </row>
    <row r="1691" spans="4:7" x14ac:dyDescent="0.25">
      <c r="D1691"/>
      <c r="E1691"/>
      <c r="F1691"/>
      <c r="G1691"/>
    </row>
    <row r="1692" spans="4:7" x14ac:dyDescent="0.25">
      <c r="D1692"/>
      <c r="E1692"/>
      <c r="F1692"/>
      <c r="G1692"/>
    </row>
    <row r="1693" spans="4:7" x14ac:dyDescent="0.25">
      <c r="D1693"/>
      <c r="E1693"/>
      <c r="F1693"/>
      <c r="G1693"/>
    </row>
    <row r="1694" spans="4:7" x14ac:dyDescent="0.25">
      <c r="D1694"/>
      <c r="E1694"/>
      <c r="F1694"/>
      <c r="G1694"/>
    </row>
    <row r="1695" spans="4:7" x14ac:dyDescent="0.25">
      <c r="D1695"/>
      <c r="E1695"/>
      <c r="F1695"/>
      <c r="G1695"/>
    </row>
    <row r="1696" spans="4:7" x14ac:dyDescent="0.25">
      <c r="D1696"/>
      <c r="E1696"/>
      <c r="F1696"/>
      <c r="G1696"/>
    </row>
    <row r="1697" spans="4:7" x14ac:dyDescent="0.25">
      <c r="D1697"/>
      <c r="E1697"/>
      <c r="F1697"/>
      <c r="G1697"/>
    </row>
    <row r="1698" spans="4:7" x14ac:dyDescent="0.25">
      <c r="D1698"/>
      <c r="E1698"/>
      <c r="F1698"/>
      <c r="G1698"/>
    </row>
    <row r="1699" spans="4:7" x14ac:dyDescent="0.25">
      <c r="D1699"/>
      <c r="E1699"/>
      <c r="F1699"/>
      <c r="G1699"/>
    </row>
    <row r="1700" spans="4:7" x14ac:dyDescent="0.25">
      <c r="D1700"/>
      <c r="E1700"/>
      <c r="F1700"/>
      <c r="G1700"/>
    </row>
    <row r="1701" spans="4:7" x14ac:dyDescent="0.25">
      <c r="D1701"/>
      <c r="E1701"/>
      <c r="F1701"/>
      <c r="G1701"/>
    </row>
    <row r="1702" spans="4:7" x14ac:dyDescent="0.25">
      <c r="D1702"/>
      <c r="E1702"/>
      <c r="F1702"/>
      <c r="G1702"/>
    </row>
    <row r="1703" spans="4:7" x14ac:dyDescent="0.25">
      <c r="D1703"/>
      <c r="E1703"/>
      <c r="F1703"/>
      <c r="G1703"/>
    </row>
    <row r="1704" spans="4:7" x14ac:dyDescent="0.25">
      <c r="D1704"/>
      <c r="E1704"/>
      <c r="F1704"/>
      <c r="G1704"/>
    </row>
    <row r="1705" spans="4:7" x14ac:dyDescent="0.25">
      <c r="D1705"/>
      <c r="E1705"/>
      <c r="F1705"/>
      <c r="G1705"/>
    </row>
    <row r="1706" spans="4:7" x14ac:dyDescent="0.25">
      <c r="D1706"/>
      <c r="E1706"/>
      <c r="F1706"/>
      <c r="G1706"/>
    </row>
    <row r="1707" spans="4:7" x14ac:dyDescent="0.25">
      <c r="D1707"/>
      <c r="E1707"/>
      <c r="F1707"/>
      <c r="G1707"/>
    </row>
    <row r="1708" spans="4:7" x14ac:dyDescent="0.25">
      <c r="D1708"/>
      <c r="E1708"/>
      <c r="F1708"/>
      <c r="G1708"/>
    </row>
    <row r="1709" spans="4:7" x14ac:dyDescent="0.25">
      <c r="D1709"/>
      <c r="E1709"/>
      <c r="F1709"/>
      <c r="G1709"/>
    </row>
    <row r="1710" spans="4:7" x14ac:dyDescent="0.25">
      <c r="D1710"/>
      <c r="E1710"/>
      <c r="F1710"/>
      <c r="G1710"/>
    </row>
    <row r="1711" spans="4:7" x14ac:dyDescent="0.25">
      <c r="D1711"/>
      <c r="E1711"/>
      <c r="F1711"/>
      <c r="G1711"/>
    </row>
    <row r="1712" spans="4:7" x14ac:dyDescent="0.25">
      <c r="D1712"/>
      <c r="E1712"/>
      <c r="F1712"/>
      <c r="G1712"/>
    </row>
    <row r="1713" spans="4:7" x14ac:dyDescent="0.25">
      <c r="D1713"/>
      <c r="E1713"/>
      <c r="F1713"/>
      <c r="G1713"/>
    </row>
    <row r="1714" spans="4:7" x14ac:dyDescent="0.25">
      <c r="D1714"/>
      <c r="E1714"/>
      <c r="F1714"/>
      <c r="G1714"/>
    </row>
    <row r="1715" spans="4:7" x14ac:dyDescent="0.25">
      <c r="D1715"/>
      <c r="E1715"/>
      <c r="F1715"/>
      <c r="G1715"/>
    </row>
    <row r="1716" spans="4:7" x14ac:dyDescent="0.25">
      <c r="D1716"/>
      <c r="E1716"/>
      <c r="F1716"/>
      <c r="G1716"/>
    </row>
    <row r="1717" spans="4:7" x14ac:dyDescent="0.25">
      <c r="D1717"/>
      <c r="E1717"/>
      <c r="F1717"/>
      <c r="G1717"/>
    </row>
    <row r="1718" spans="4:7" x14ac:dyDescent="0.25">
      <c r="D1718"/>
      <c r="E1718"/>
      <c r="F1718"/>
      <c r="G1718"/>
    </row>
    <row r="1719" spans="4:7" x14ac:dyDescent="0.25">
      <c r="D1719"/>
      <c r="E1719"/>
      <c r="F1719"/>
      <c r="G1719"/>
    </row>
    <row r="1720" spans="4:7" x14ac:dyDescent="0.25">
      <c r="D1720"/>
      <c r="E1720"/>
      <c r="F1720"/>
      <c r="G1720"/>
    </row>
    <row r="1721" spans="4:7" x14ac:dyDescent="0.25">
      <c r="D1721"/>
      <c r="E1721"/>
      <c r="F1721"/>
      <c r="G1721"/>
    </row>
    <row r="1722" spans="4:7" x14ac:dyDescent="0.25">
      <c r="D1722"/>
      <c r="E1722"/>
      <c r="F1722"/>
      <c r="G1722"/>
    </row>
    <row r="1723" spans="4:7" x14ac:dyDescent="0.25">
      <c r="D1723"/>
      <c r="E1723"/>
      <c r="F1723"/>
      <c r="G1723"/>
    </row>
    <row r="1724" spans="4:7" x14ac:dyDescent="0.25">
      <c r="D1724"/>
      <c r="E1724"/>
      <c r="F1724"/>
      <c r="G1724"/>
    </row>
    <row r="1725" spans="4:7" x14ac:dyDescent="0.25">
      <c r="D1725"/>
      <c r="E1725"/>
      <c r="F1725"/>
      <c r="G1725"/>
    </row>
    <row r="1726" spans="4:7" x14ac:dyDescent="0.25">
      <c r="D1726"/>
      <c r="E1726"/>
      <c r="F1726"/>
      <c r="G1726"/>
    </row>
    <row r="1727" spans="4:7" x14ac:dyDescent="0.25">
      <c r="D1727"/>
      <c r="E1727"/>
      <c r="F1727"/>
      <c r="G1727"/>
    </row>
    <row r="1728" spans="4:7" x14ac:dyDescent="0.25">
      <c r="D1728"/>
      <c r="E1728"/>
      <c r="F1728"/>
      <c r="G1728"/>
    </row>
    <row r="1729" spans="4:7" x14ac:dyDescent="0.25">
      <c r="D1729"/>
      <c r="E1729"/>
      <c r="F1729"/>
      <c r="G1729"/>
    </row>
    <row r="1730" spans="4:7" x14ac:dyDescent="0.25">
      <c r="D1730"/>
      <c r="E1730"/>
      <c r="F1730"/>
      <c r="G1730"/>
    </row>
    <row r="1731" spans="4:7" x14ac:dyDescent="0.25">
      <c r="D1731"/>
      <c r="E1731"/>
      <c r="F1731"/>
      <c r="G1731"/>
    </row>
    <row r="1732" spans="4:7" x14ac:dyDescent="0.25">
      <c r="D1732"/>
      <c r="E1732"/>
      <c r="F1732"/>
      <c r="G1732"/>
    </row>
    <row r="1733" spans="4:7" x14ac:dyDescent="0.25">
      <c r="D1733"/>
      <c r="E1733"/>
      <c r="F1733"/>
      <c r="G1733"/>
    </row>
    <row r="1734" spans="4:7" x14ac:dyDescent="0.25">
      <c r="D1734"/>
      <c r="E1734"/>
      <c r="F1734"/>
      <c r="G1734"/>
    </row>
    <row r="1735" spans="4:7" x14ac:dyDescent="0.25">
      <c r="D1735"/>
      <c r="E1735"/>
      <c r="F1735"/>
      <c r="G1735"/>
    </row>
    <row r="1736" spans="4:7" x14ac:dyDescent="0.25">
      <c r="D1736"/>
      <c r="E1736"/>
      <c r="F1736"/>
      <c r="G1736"/>
    </row>
    <row r="1737" spans="4:7" x14ac:dyDescent="0.25">
      <c r="D1737"/>
      <c r="E1737"/>
      <c r="F1737"/>
      <c r="G1737"/>
    </row>
    <row r="1738" spans="4:7" x14ac:dyDescent="0.25">
      <c r="D1738"/>
      <c r="E1738"/>
      <c r="F1738"/>
      <c r="G1738"/>
    </row>
    <row r="1739" spans="4:7" x14ac:dyDescent="0.25">
      <c r="D1739"/>
      <c r="E1739"/>
      <c r="F1739"/>
      <c r="G1739"/>
    </row>
    <row r="1740" spans="4:7" x14ac:dyDescent="0.25">
      <c r="D1740"/>
      <c r="E1740"/>
      <c r="F1740"/>
      <c r="G1740"/>
    </row>
    <row r="1741" spans="4:7" x14ac:dyDescent="0.25">
      <c r="D1741"/>
      <c r="E1741"/>
      <c r="F1741"/>
      <c r="G1741"/>
    </row>
    <row r="1742" spans="4:7" x14ac:dyDescent="0.25">
      <c r="D1742"/>
      <c r="E1742"/>
      <c r="F1742"/>
      <c r="G1742"/>
    </row>
    <row r="1743" spans="4:7" x14ac:dyDescent="0.25">
      <c r="D1743"/>
      <c r="E1743"/>
      <c r="F1743"/>
      <c r="G1743"/>
    </row>
    <row r="1744" spans="4:7" x14ac:dyDescent="0.25">
      <c r="D1744"/>
      <c r="E1744"/>
      <c r="F1744"/>
      <c r="G1744"/>
    </row>
    <row r="1745" spans="4:7" x14ac:dyDescent="0.25">
      <c r="D1745"/>
      <c r="E1745"/>
      <c r="F1745"/>
      <c r="G1745"/>
    </row>
    <row r="1746" spans="4:7" x14ac:dyDescent="0.25">
      <c r="D1746"/>
      <c r="E1746"/>
      <c r="F1746"/>
      <c r="G1746"/>
    </row>
    <row r="1747" spans="4:7" x14ac:dyDescent="0.25">
      <c r="D1747"/>
      <c r="E1747"/>
      <c r="F1747"/>
      <c r="G1747"/>
    </row>
    <row r="1748" spans="4:7" x14ac:dyDescent="0.25">
      <c r="D1748"/>
      <c r="E1748"/>
      <c r="F1748"/>
      <c r="G1748"/>
    </row>
    <row r="1749" spans="4:7" x14ac:dyDescent="0.25">
      <c r="D1749"/>
      <c r="E1749"/>
      <c r="F1749"/>
      <c r="G1749"/>
    </row>
    <row r="1750" spans="4:7" x14ac:dyDescent="0.25">
      <c r="D1750"/>
      <c r="E1750"/>
      <c r="F1750"/>
      <c r="G1750"/>
    </row>
    <row r="1751" spans="4:7" x14ac:dyDescent="0.25">
      <c r="D1751"/>
      <c r="E1751"/>
      <c r="F1751"/>
      <c r="G1751"/>
    </row>
    <row r="1752" spans="4:7" x14ac:dyDescent="0.25">
      <c r="D1752"/>
      <c r="E1752"/>
      <c r="F1752"/>
      <c r="G1752"/>
    </row>
    <row r="1753" spans="4:7" x14ac:dyDescent="0.25">
      <c r="D1753"/>
      <c r="E1753"/>
      <c r="F1753"/>
      <c r="G1753"/>
    </row>
    <row r="1754" spans="4:7" x14ac:dyDescent="0.25">
      <c r="D1754"/>
      <c r="E1754"/>
      <c r="F1754"/>
      <c r="G1754"/>
    </row>
    <row r="1755" spans="4:7" x14ac:dyDescent="0.25">
      <c r="D1755"/>
      <c r="E1755"/>
      <c r="F1755"/>
      <c r="G1755"/>
    </row>
    <row r="1756" spans="4:7" x14ac:dyDescent="0.25">
      <c r="D1756"/>
      <c r="E1756"/>
      <c r="F1756"/>
      <c r="G1756"/>
    </row>
    <row r="1757" spans="4:7" x14ac:dyDescent="0.25">
      <c r="D1757"/>
      <c r="E1757"/>
      <c r="F1757"/>
      <c r="G1757"/>
    </row>
    <row r="1758" spans="4:7" x14ac:dyDescent="0.25">
      <c r="D1758"/>
      <c r="E1758"/>
      <c r="F1758"/>
      <c r="G1758"/>
    </row>
    <row r="1759" spans="4:7" x14ac:dyDescent="0.25">
      <c r="D1759"/>
      <c r="E1759"/>
      <c r="F1759"/>
      <c r="G1759"/>
    </row>
    <row r="1760" spans="4:7" x14ac:dyDescent="0.25">
      <c r="D1760"/>
      <c r="E1760"/>
      <c r="F1760"/>
      <c r="G1760"/>
    </row>
    <row r="1761" spans="4:7" x14ac:dyDescent="0.25">
      <c r="D1761"/>
      <c r="E1761"/>
      <c r="F1761"/>
      <c r="G1761"/>
    </row>
    <row r="1762" spans="4:7" x14ac:dyDescent="0.25">
      <c r="D1762"/>
      <c r="E1762"/>
      <c r="F1762"/>
      <c r="G1762"/>
    </row>
    <row r="1763" spans="4:7" x14ac:dyDescent="0.25">
      <c r="D1763"/>
      <c r="E1763"/>
      <c r="F1763"/>
      <c r="G1763"/>
    </row>
    <row r="1764" spans="4:7" x14ac:dyDescent="0.25">
      <c r="D1764"/>
      <c r="E1764"/>
      <c r="F1764"/>
      <c r="G1764"/>
    </row>
    <row r="1765" spans="4:7" x14ac:dyDescent="0.25">
      <c r="D1765"/>
      <c r="E1765"/>
      <c r="F1765"/>
      <c r="G1765"/>
    </row>
    <row r="1766" spans="4:7" x14ac:dyDescent="0.25">
      <c r="D1766"/>
      <c r="E1766"/>
      <c r="F1766"/>
      <c r="G1766"/>
    </row>
    <row r="1767" spans="4:7" x14ac:dyDescent="0.25">
      <c r="D1767"/>
      <c r="E1767"/>
      <c r="F1767"/>
      <c r="G1767"/>
    </row>
    <row r="1768" spans="4:7" x14ac:dyDescent="0.25">
      <c r="D1768"/>
      <c r="E1768"/>
      <c r="F1768"/>
      <c r="G1768"/>
    </row>
    <row r="1769" spans="4:7" x14ac:dyDescent="0.25">
      <c r="D1769"/>
      <c r="E1769"/>
      <c r="F1769"/>
      <c r="G1769"/>
    </row>
    <row r="1770" spans="4:7" x14ac:dyDescent="0.25">
      <c r="D1770"/>
      <c r="E1770"/>
      <c r="F1770"/>
      <c r="G1770"/>
    </row>
    <row r="1771" spans="4:7" x14ac:dyDescent="0.25">
      <c r="D1771"/>
      <c r="E1771"/>
      <c r="F1771"/>
      <c r="G1771"/>
    </row>
    <row r="1772" spans="4:7" x14ac:dyDescent="0.25">
      <c r="D1772"/>
      <c r="E1772"/>
      <c r="F1772"/>
      <c r="G1772"/>
    </row>
    <row r="1773" spans="4:7" x14ac:dyDescent="0.25">
      <c r="D1773"/>
      <c r="E1773"/>
      <c r="F1773"/>
      <c r="G1773"/>
    </row>
    <row r="1774" spans="4:7" x14ac:dyDescent="0.25">
      <c r="D1774"/>
      <c r="E1774"/>
      <c r="F1774"/>
      <c r="G1774"/>
    </row>
    <row r="1775" spans="4:7" x14ac:dyDescent="0.25">
      <c r="D1775"/>
      <c r="E1775"/>
      <c r="F1775"/>
      <c r="G1775"/>
    </row>
    <row r="1776" spans="4:7" x14ac:dyDescent="0.25">
      <c r="D1776"/>
      <c r="E1776"/>
      <c r="F1776"/>
      <c r="G1776"/>
    </row>
    <row r="1777" spans="4:7" x14ac:dyDescent="0.25">
      <c r="D1777"/>
      <c r="E1777"/>
      <c r="F1777"/>
      <c r="G1777"/>
    </row>
    <row r="1778" spans="4:7" x14ac:dyDescent="0.25">
      <c r="D1778"/>
      <c r="E1778"/>
      <c r="F1778"/>
      <c r="G1778"/>
    </row>
    <row r="1779" spans="4:7" x14ac:dyDescent="0.25">
      <c r="D1779"/>
      <c r="E1779"/>
      <c r="F1779"/>
      <c r="G1779"/>
    </row>
    <row r="1780" spans="4:7" x14ac:dyDescent="0.25">
      <c r="D1780"/>
      <c r="E1780"/>
      <c r="F1780"/>
      <c r="G1780"/>
    </row>
    <row r="1781" spans="4:7" x14ac:dyDescent="0.25">
      <c r="D1781"/>
      <c r="E1781"/>
      <c r="F1781"/>
      <c r="G1781"/>
    </row>
    <row r="1782" spans="4:7" x14ac:dyDescent="0.25">
      <c r="D1782"/>
      <c r="E1782"/>
      <c r="F1782"/>
      <c r="G1782"/>
    </row>
    <row r="1783" spans="4:7" x14ac:dyDescent="0.25">
      <c r="D1783"/>
      <c r="E1783"/>
      <c r="F1783"/>
      <c r="G1783"/>
    </row>
    <row r="1784" spans="4:7" x14ac:dyDescent="0.25">
      <c r="D1784"/>
      <c r="E1784"/>
      <c r="F1784"/>
      <c r="G1784"/>
    </row>
    <row r="1785" spans="4:7" x14ac:dyDescent="0.25">
      <c r="D1785"/>
      <c r="E1785"/>
      <c r="F1785"/>
      <c r="G1785"/>
    </row>
    <row r="1786" spans="4:7" x14ac:dyDescent="0.25">
      <c r="D1786"/>
      <c r="E1786"/>
      <c r="F1786"/>
      <c r="G1786"/>
    </row>
    <row r="1787" spans="4:7" x14ac:dyDescent="0.25">
      <c r="D1787"/>
      <c r="E1787"/>
      <c r="F1787"/>
      <c r="G1787"/>
    </row>
    <row r="1788" spans="4:7" x14ac:dyDescent="0.25">
      <c r="D1788"/>
      <c r="E1788"/>
      <c r="F1788"/>
      <c r="G1788"/>
    </row>
    <row r="1789" spans="4:7" x14ac:dyDescent="0.25">
      <c r="D1789"/>
      <c r="E1789"/>
      <c r="F1789"/>
      <c r="G1789"/>
    </row>
    <row r="1790" spans="4:7" x14ac:dyDescent="0.25">
      <c r="D1790"/>
      <c r="E1790"/>
      <c r="F1790"/>
      <c r="G1790"/>
    </row>
    <row r="1791" spans="4:7" x14ac:dyDescent="0.25">
      <c r="D1791"/>
      <c r="E1791"/>
      <c r="F1791"/>
      <c r="G1791"/>
    </row>
    <row r="1792" spans="4:7" x14ac:dyDescent="0.25">
      <c r="D1792"/>
      <c r="E1792"/>
      <c r="F1792"/>
      <c r="G1792"/>
    </row>
    <row r="1793" spans="4:7" x14ac:dyDescent="0.25">
      <c r="D1793"/>
      <c r="E1793"/>
      <c r="F1793"/>
      <c r="G1793"/>
    </row>
    <row r="1794" spans="4:7" x14ac:dyDescent="0.25">
      <c r="D1794"/>
      <c r="E1794"/>
      <c r="F1794"/>
      <c r="G1794"/>
    </row>
    <row r="1795" spans="4:7" x14ac:dyDescent="0.25">
      <c r="D1795"/>
      <c r="E1795"/>
      <c r="F1795"/>
      <c r="G1795"/>
    </row>
    <row r="1796" spans="4:7" x14ac:dyDescent="0.25">
      <c r="D1796"/>
      <c r="E1796"/>
      <c r="F1796"/>
      <c r="G1796"/>
    </row>
    <row r="1797" spans="4:7" x14ac:dyDescent="0.25">
      <c r="D1797"/>
      <c r="E1797"/>
      <c r="F1797"/>
      <c r="G1797"/>
    </row>
    <row r="1798" spans="4:7" x14ac:dyDescent="0.25">
      <c r="D1798"/>
      <c r="E1798"/>
      <c r="F1798"/>
      <c r="G1798"/>
    </row>
    <row r="1799" spans="4:7" x14ac:dyDescent="0.25">
      <c r="D1799"/>
      <c r="E1799"/>
      <c r="F1799"/>
      <c r="G1799"/>
    </row>
    <row r="1800" spans="4:7" x14ac:dyDescent="0.25">
      <c r="D1800"/>
      <c r="E1800"/>
      <c r="F1800"/>
      <c r="G1800"/>
    </row>
    <row r="1801" spans="4:7" x14ac:dyDescent="0.25">
      <c r="D1801"/>
      <c r="E1801"/>
      <c r="F1801"/>
      <c r="G1801"/>
    </row>
    <row r="1802" spans="4:7" x14ac:dyDescent="0.25">
      <c r="D1802"/>
      <c r="E1802"/>
      <c r="F1802"/>
      <c r="G1802"/>
    </row>
    <row r="1803" spans="4:7" x14ac:dyDescent="0.25">
      <c r="D1803"/>
      <c r="E1803"/>
      <c r="F1803"/>
      <c r="G1803"/>
    </row>
    <row r="1804" spans="4:7" x14ac:dyDescent="0.25">
      <c r="D1804"/>
      <c r="E1804"/>
      <c r="F1804"/>
      <c r="G1804"/>
    </row>
    <row r="1805" spans="4:7" x14ac:dyDescent="0.25">
      <c r="D1805"/>
      <c r="E1805"/>
      <c r="F1805"/>
      <c r="G1805"/>
    </row>
    <row r="1806" spans="4:7" x14ac:dyDescent="0.25">
      <c r="D1806"/>
      <c r="E1806"/>
      <c r="F1806"/>
      <c r="G1806"/>
    </row>
    <row r="1807" spans="4:7" x14ac:dyDescent="0.25">
      <c r="D1807"/>
      <c r="E1807"/>
      <c r="F1807"/>
      <c r="G1807"/>
    </row>
    <row r="1808" spans="4:7" x14ac:dyDescent="0.25">
      <c r="D1808"/>
      <c r="E1808"/>
      <c r="F1808"/>
      <c r="G1808"/>
    </row>
    <row r="1809" spans="4:7" x14ac:dyDescent="0.25">
      <c r="D1809"/>
      <c r="E1809"/>
      <c r="F1809"/>
      <c r="G1809"/>
    </row>
    <row r="1810" spans="4:7" x14ac:dyDescent="0.25">
      <c r="D1810"/>
      <c r="E1810"/>
      <c r="F1810"/>
      <c r="G1810"/>
    </row>
    <row r="1811" spans="4:7" x14ac:dyDescent="0.25">
      <c r="D1811"/>
      <c r="E1811"/>
      <c r="F1811"/>
      <c r="G1811"/>
    </row>
    <row r="1812" spans="4:7" x14ac:dyDescent="0.25">
      <c r="D1812"/>
      <c r="E1812"/>
      <c r="F1812"/>
      <c r="G1812"/>
    </row>
    <row r="1813" spans="4:7" x14ac:dyDescent="0.25">
      <c r="D1813"/>
      <c r="E1813"/>
      <c r="F1813"/>
      <c r="G1813"/>
    </row>
    <row r="1814" spans="4:7" x14ac:dyDescent="0.25">
      <c r="D1814"/>
      <c r="E1814"/>
      <c r="F1814"/>
      <c r="G1814"/>
    </row>
    <row r="1815" spans="4:7" x14ac:dyDescent="0.25">
      <c r="D1815"/>
      <c r="E1815"/>
      <c r="F1815"/>
      <c r="G1815"/>
    </row>
    <row r="1816" spans="4:7" x14ac:dyDescent="0.25">
      <c r="D1816"/>
      <c r="E1816"/>
      <c r="F1816"/>
      <c r="G1816"/>
    </row>
    <row r="1817" spans="4:7" x14ac:dyDescent="0.25">
      <c r="D1817"/>
      <c r="E1817"/>
      <c r="F1817"/>
      <c r="G1817"/>
    </row>
    <row r="1818" spans="4:7" x14ac:dyDescent="0.25">
      <c r="D1818"/>
      <c r="E1818"/>
      <c r="F1818"/>
      <c r="G1818"/>
    </row>
    <row r="1819" spans="4:7" x14ac:dyDescent="0.25">
      <c r="D1819"/>
      <c r="E1819"/>
      <c r="F1819"/>
      <c r="G1819"/>
    </row>
    <row r="1820" spans="4:7" x14ac:dyDescent="0.25">
      <c r="D1820"/>
      <c r="E1820"/>
      <c r="F1820"/>
      <c r="G1820"/>
    </row>
    <row r="1821" spans="4:7" x14ac:dyDescent="0.25">
      <c r="D1821"/>
      <c r="E1821"/>
      <c r="F1821"/>
      <c r="G1821"/>
    </row>
    <row r="1822" spans="4:7" x14ac:dyDescent="0.25">
      <c r="D1822"/>
      <c r="E1822"/>
      <c r="F1822"/>
      <c r="G1822"/>
    </row>
    <row r="1823" spans="4:7" x14ac:dyDescent="0.25">
      <c r="D1823"/>
      <c r="E1823"/>
      <c r="F1823"/>
      <c r="G1823"/>
    </row>
    <row r="1824" spans="4:7" x14ac:dyDescent="0.25">
      <c r="D1824"/>
      <c r="E1824"/>
      <c r="F1824"/>
      <c r="G1824"/>
    </row>
    <row r="1825" spans="4:7" x14ac:dyDescent="0.25">
      <c r="D1825"/>
      <c r="E1825"/>
      <c r="F1825"/>
      <c r="G1825"/>
    </row>
    <row r="1826" spans="4:7" x14ac:dyDescent="0.25">
      <c r="D1826"/>
      <c r="E1826"/>
      <c r="F1826"/>
      <c r="G1826"/>
    </row>
    <row r="1827" spans="4:7" x14ac:dyDescent="0.25">
      <c r="D1827"/>
      <c r="E1827"/>
      <c r="F1827"/>
      <c r="G1827"/>
    </row>
    <row r="1828" spans="4:7" x14ac:dyDescent="0.25">
      <c r="D1828"/>
      <c r="E1828"/>
      <c r="F1828"/>
      <c r="G1828"/>
    </row>
    <row r="1829" spans="4:7" x14ac:dyDescent="0.25">
      <c r="D1829"/>
      <c r="E1829"/>
      <c r="F1829"/>
      <c r="G1829"/>
    </row>
    <row r="1830" spans="4:7" x14ac:dyDescent="0.25">
      <c r="D1830"/>
      <c r="E1830"/>
      <c r="F1830"/>
      <c r="G1830"/>
    </row>
    <row r="1831" spans="4:7" x14ac:dyDescent="0.25">
      <c r="D1831"/>
      <c r="E1831"/>
      <c r="F1831"/>
      <c r="G1831"/>
    </row>
    <row r="1832" spans="4:7" x14ac:dyDescent="0.25">
      <c r="D1832"/>
      <c r="E1832"/>
      <c r="F1832"/>
      <c r="G1832"/>
    </row>
    <row r="1833" spans="4:7" x14ac:dyDescent="0.25">
      <c r="D1833"/>
      <c r="E1833"/>
      <c r="F1833"/>
      <c r="G1833"/>
    </row>
    <row r="1834" spans="4:7" x14ac:dyDescent="0.25">
      <c r="D1834"/>
      <c r="E1834"/>
      <c r="F1834"/>
      <c r="G1834"/>
    </row>
    <row r="1835" spans="4:7" x14ac:dyDescent="0.25">
      <c r="D1835"/>
      <c r="E1835"/>
      <c r="F1835"/>
      <c r="G1835"/>
    </row>
    <row r="1836" spans="4:7" x14ac:dyDescent="0.25">
      <c r="D1836"/>
      <c r="E1836"/>
      <c r="F1836"/>
      <c r="G1836"/>
    </row>
    <row r="1837" spans="4:7" x14ac:dyDescent="0.25">
      <c r="D1837"/>
      <c r="E1837"/>
      <c r="F1837"/>
      <c r="G1837"/>
    </row>
    <row r="1838" spans="4:7" x14ac:dyDescent="0.25">
      <c r="D1838"/>
      <c r="E1838"/>
      <c r="F1838"/>
      <c r="G1838"/>
    </row>
    <row r="1839" spans="4:7" x14ac:dyDescent="0.25">
      <c r="D1839"/>
      <c r="E1839"/>
      <c r="F1839"/>
      <c r="G1839"/>
    </row>
    <row r="1840" spans="4:7" x14ac:dyDescent="0.25">
      <c r="D1840"/>
      <c r="E1840"/>
      <c r="F1840"/>
      <c r="G1840"/>
    </row>
    <row r="1841" spans="4:7" x14ac:dyDescent="0.25">
      <c r="D1841"/>
      <c r="E1841"/>
      <c r="F1841"/>
      <c r="G1841"/>
    </row>
    <row r="1842" spans="4:7" x14ac:dyDescent="0.25">
      <c r="D1842"/>
      <c r="E1842"/>
      <c r="F1842"/>
      <c r="G1842"/>
    </row>
    <row r="1843" spans="4:7" x14ac:dyDescent="0.25">
      <c r="D1843"/>
      <c r="E1843"/>
      <c r="F1843"/>
      <c r="G1843"/>
    </row>
    <row r="1844" spans="4:7" x14ac:dyDescent="0.25">
      <c r="D1844"/>
      <c r="E1844"/>
      <c r="F1844"/>
      <c r="G1844"/>
    </row>
    <row r="1845" spans="4:7" x14ac:dyDescent="0.25">
      <c r="D1845"/>
      <c r="E1845"/>
      <c r="F1845"/>
      <c r="G1845"/>
    </row>
    <row r="1846" spans="4:7" x14ac:dyDescent="0.25">
      <c r="D1846"/>
      <c r="E1846"/>
      <c r="F1846"/>
      <c r="G1846"/>
    </row>
    <row r="1847" spans="4:7" x14ac:dyDescent="0.25">
      <c r="D1847"/>
      <c r="E1847"/>
      <c r="F1847"/>
      <c r="G1847"/>
    </row>
    <row r="1848" spans="4:7" x14ac:dyDescent="0.25">
      <c r="D1848"/>
      <c r="E1848"/>
      <c r="F1848"/>
      <c r="G1848"/>
    </row>
    <row r="1849" spans="4:7" x14ac:dyDescent="0.25">
      <c r="D1849"/>
      <c r="E1849"/>
      <c r="F1849"/>
      <c r="G1849"/>
    </row>
    <row r="1850" spans="4:7" x14ac:dyDescent="0.25">
      <c r="D1850"/>
      <c r="E1850"/>
      <c r="F1850"/>
      <c r="G1850"/>
    </row>
    <row r="1851" spans="4:7" x14ac:dyDescent="0.25">
      <c r="D1851"/>
      <c r="E1851"/>
      <c r="F1851"/>
      <c r="G1851"/>
    </row>
    <row r="1852" spans="4:7" x14ac:dyDescent="0.25">
      <c r="D1852"/>
      <c r="E1852"/>
      <c r="F1852"/>
      <c r="G1852"/>
    </row>
    <row r="1853" spans="4:7" x14ac:dyDescent="0.25">
      <c r="D1853"/>
      <c r="E1853"/>
      <c r="F1853"/>
      <c r="G1853"/>
    </row>
    <row r="1854" spans="4:7" x14ac:dyDescent="0.25">
      <c r="D1854"/>
      <c r="E1854"/>
      <c r="F1854"/>
      <c r="G1854"/>
    </row>
    <row r="1855" spans="4:7" x14ac:dyDescent="0.25">
      <c r="D1855"/>
      <c r="E1855"/>
      <c r="F1855"/>
      <c r="G1855"/>
    </row>
    <row r="1856" spans="4:7" x14ac:dyDescent="0.25">
      <c r="D1856"/>
      <c r="E1856"/>
      <c r="F1856"/>
      <c r="G1856"/>
    </row>
    <row r="1857" spans="4:7" x14ac:dyDescent="0.25">
      <c r="D1857"/>
      <c r="E1857"/>
      <c r="F1857"/>
      <c r="G1857"/>
    </row>
    <row r="1858" spans="4:7" x14ac:dyDescent="0.25">
      <c r="D1858"/>
      <c r="E1858"/>
      <c r="F1858"/>
      <c r="G1858"/>
    </row>
    <row r="1859" spans="4:7" x14ac:dyDescent="0.25">
      <c r="D1859"/>
      <c r="E1859"/>
      <c r="F1859"/>
      <c r="G1859"/>
    </row>
    <row r="1860" spans="4:7" x14ac:dyDescent="0.25">
      <c r="D1860"/>
      <c r="E1860"/>
      <c r="F1860"/>
      <c r="G1860"/>
    </row>
    <row r="1861" spans="4:7" x14ac:dyDescent="0.25">
      <c r="D1861"/>
      <c r="E1861"/>
      <c r="F1861"/>
      <c r="G1861"/>
    </row>
    <row r="1862" spans="4:7" x14ac:dyDescent="0.25">
      <c r="D1862"/>
      <c r="E1862"/>
      <c r="F1862"/>
      <c r="G1862"/>
    </row>
    <row r="1863" spans="4:7" x14ac:dyDescent="0.25">
      <c r="D1863"/>
      <c r="E1863"/>
      <c r="F1863"/>
      <c r="G1863"/>
    </row>
    <row r="1864" spans="4:7" x14ac:dyDescent="0.25">
      <c r="D1864"/>
      <c r="E1864"/>
      <c r="F1864"/>
      <c r="G1864"/>
    </row>
    <row r="1865" spans="4:7" x14ac:dyDescent="0.25">
      <c r="D1865"/>
      <c r="E1865"/>
      <c r="F1865"/>
      <c r="G1865"/>
    </row>
    <row r="1866" spans="4:7" x14ac:dyDescent="0.25">
      <c r="D1866"/>
      <c r="E1866"/>
      <c r="F1866"/>
      <c r="G1866"/>
    </row>
    <row r="1867" spans="4:7" x14ac:dyDescent="0.25">
      <c r="D1867"/>
      <c r="E1867"/>
      <c r="F1867"/>
      <c r="G1867"/>
    </row>
    <row r="1868" spans="4:7" x14ac:dyDescent="0.25">
      <c r="D1868"/>
      <c r="E1868"/>
      <c r="F1868"/>
      <c r="G1868"/>
    </row>
    <row r="1869" spans="4:7" x14ac:dyDescent="0.25">
      <c r="D1869"/>
      <c r="E1869"/>
      <c r="F1869"/>
      <c r="G1869"/>
    </row>
    <row r="1870" spans="4:7" x14ac:dyDescent="0.25">
      <c r="D1870"/>
      <c r="E1870"/>
      <c r="F1870"/>
      <c r="G1870"/>
    </row>
    <row r="1871" spans="4:7" x14ac:dyDescent="0.25">
      <c r="D1871"/>
      <c r="E1871"/>
      <c r="F1871"/>
      <c r="G1871"/>
    </row>
    <row r="1872" spans="4:7" x14ac:dyDescent="0.25">
      <c r="D1872"/>
      <c r="E1872"/>
      <c r="F1872"/>
      <c r="G1872"/>
    </row>
    <row r="1873" spans="4:7" x14ac:dyDescent="0.25">
      <c r="D1873"/>
      <c r="E1873"/>
      <c r="F1873"/>
      <c r="G1873"/>
    </row>
    <row r="1874" spans="4:7" x14ac:dyDescent="0.25">
      <c r="D1874"/>
      <c r="E1874"/>
      <c r="F1874"/>
      <c r="G1874"/>
    </row>
    <row r="1875" spans="4:7" x14ac:dyDescent="0.25">
      <c r="D1875"/>
      <c r="E1875"/>
      <c r="F1875"/>
      <c r="G1875"/>
    </row>
    <row r="1876" spans="4:7" x14ac:dyDescent="0.25">
      <c r="D1876"/>
      <c r="E1876"/>
      <c r="F1876"/>
      <c r="G1876"/>
    </row>
    <row r="1877" spans="4:7" x14ac:dyDescent="0.25">
      <c r="D1877"/>
      <c r="E1877"/>
      <c r="F1877"/>
      <c r="G1877"/>
    </row>
    <row r="1878" spans="4:7" x14ac:dyDescent="0.25">
      <c r="D1878"/>
      <c r="E1878"/>
      <c r="F1878"/>
      <c r="G1878"/>
    </row>
    <row r="1879" spans="4:7" x14ac:dyDescent="0.25">
      <c r="D1879"/>
      <c r="E1879"/>
      <c r="F1879"/>
      <c r="G1879"/>
    </row>
    <row r="1880" spans="4:7" x14ac:dyDescent="0.25">
      <c r="D1880"/>
      <c r="E1880"/>
      <c r="F1880"/>
      <c r="G1880"/>
    </row>
    <row r="1881" spans="4:7" x14ac:dyDescent="0.25">
      <c r="D1881"/>
      <c r="E1881"/>
      <c r="F1881"/>
      <c r="G1881"/>
    </row>
    <row r="1882" spans="4:7" x14ac:dyDescent="0.25">
      <c r="D1882"/>
      <c r="E1882"/>
      <c r="F1882"/>
      <c r="G1882"/>
    </row>
    <row r="1883" spans="4:7" x14ac:dyDescent="0.25">
      <c r="D1883"/>
      <c r="E1883"/>
      <c r="F1883"/>
      <c r="G1883"/>
    </row>
    <row r="1884" spans="4:7" x14ac:dyDescent="0.25">
      <c r="D1884"/>
      <c r="E1884"/>
      <c r="F1884"/>
      <c r="G1884"/>
    </row>
    <row r="1885" spans="4:7" x14ac:dyDescent="0.25">
      <c r="D1885"/>
      <c r="E1885"/>
      <c r="F1885"/>
      <c r="G1885"/>
    </row>
    <row r="1886" spans="4:7" x14ac:dyDescent="0.25">
      <c r="D1886"/>
      <c r="E1886"/>
      <c r="F1886"/>
      <c r="G1886"/>
    </row>
    <row r="1887" spans="4:7" x14ac:dyDescent="0.25">
      <c r="D1887"/>
      <c r="E1887"/>
      <c r="F1887"/>
      <c r="G1887"/>
    </row>
    <row r="1888" spans="4:7" x14ac:dyDescent="0.25">
      <c r="D1888"/>
      <c r="E1888"/>
      <c r="F1888"/>
      <c r="G1888"/>
    </row>
    <row r="1889" spans="4:7" x14ac:dyDescent="0.25">
      <c r="D1889"/>
      <c r="E1889"/>
      <c r="F1889"/>
      <c r="G1889"/>
    </row>
    <row r="1890" spans="4:7" x14ac:dyDescent="0.25">
      <c r="D1890"/>
      <c r="E1890"/>
      <c r="F1890"/>
      <c r="G1890"/>
    </row>
    <row r="1891" spans="4:7" x14ac:dyDescent="0.25">
      <c r="D1891"/>
      <c r="E1891"/>
      <c r="F1891"/>
      <c r="G1891"/>
    </row>
    <row r="1892" spans="4:7" x14ac:dyDescent="0.25">
      <c r="D1892"/>
      <c r="E1892"/>
      <c r="F1892"/>
      <c r="G1892"/>
    </row>
    <row r="1893" spans="4:7" x14ac:dyDescent="0.25">
      <c r="D1893"/>
      <c r="E1893"/>
      <c r="F1893"/>
      <c r="G1893"/>
    </row>
    <row r="1894" spans="4:7" x14ac:dyDescent="0.25">
      <c r="D1894"/>
      <c r="E1894"/>
      <c r="F1894"/>
      <c r="G1894"/>
    </row>
    <row r="1895" spans="4:7" x14ac:dyDescent="0.25">
      <c r="D1895"/>
      <c r="E1895"/>
      <c r="F1895"/>
      <c r="G1895"/>
    </row>
    <row r="1896" spans="4:7" x14ac:dyDescent="0.25">
      <c r="D1896"/>
      <c r="E1896"/>
      <c r="F1896"/>
      <c r="G1896"/>
    </row>
    <row r="1897" spans="4:7" x14ac:dyDescent="0.25">
      <c r="D1897"/>
      <c r="E1897"/>
      <c r="F1897"/>
      <c r="G1897"/>
    </row>
    <row r="1898" spans="4:7" x14ac:dyDescent="0.25">
      <c r="D1898"/>
      <c r="E1898"/>
      <c r="F1898"/>
      <c r="G1898"/>
    </row>
    <row r="1899" spans="4:7" x14ac:dyDescent="0.25">
      <c r="D1899"/>
      <c r="E1899"/>
      <c r="F1899"/>
      <c r="G1899"/>
    </row>
    <row r="1900" spans="4:7" x14ac:dyDescent="0.25">
      <c r="D1900"/>
      <c r="E1900"/>
      <c r="F1900"/>
      <c r="G1900"/>
    </row>
    <row r="1901" spans="4:7" x14ac:dyDescent="0.25">
      <c r="D1901"/>
      <c r="E1901"/>
      <c r="F1901"/>
      <c r="G1901"/>
    </row>
    <row r="1902" spans="4:7" x14ac:dyDescent="0.25">
      <c r="D1902"/>
      <c r="E1902"/>
      <c r="F1902"/>
      <c r="G1902"/>
    </row>
    <row r="1903" spans="4:7" x14ac:dyDescent="0.25">
      <c r="D1903"/>
      <c r="E1903"/>
      <c r="F1903"/>
      <c r="G1903"/>
    </row>
    <row r="1904" spans="4:7" x14ac:dyDescent="0.25">
      <c r="D1904"/>
      <c r="E1904"/>
      <c r="F1904"/>
      <c r="G1904"/>
    </row>
    <row r="1905" spans="4:7" x14ac:dyDescent="0.25">
      <c r="D1905"/>
      <c r="E1905"/>
      <c r="F1905"/>
      <c r="G1905"/>
    </row>
    <row r="1906" spans="4:7" x14ac:dyDescent="0.25">
      <c r="D1906"/>
      <c r="E1906"/>
      <c r="F1906"/>
      <c r="G1906"/>
    </row>
    <row r="1907" spans="4:7" x14ac:dyDescent="0.25">
      <c r="D1907"/>
      <c r="E1907"/>
      <c r="F1907"/>
      <c r="G1907"/>
    </row>
    <row r="1908" spans="4:7" x14ac:dyDescent="0.25">
      <c r="D1908"/>
      <c r="E1908"/>
      <c r="F1908"/>
      <c r="G1908"/>
    </row>
    <row r="1909" spans="4:7" x14ac:dyDescent="0.25">
      <c r="D1909"/>
      <c r="E1909"/>
      <c r="F1909"/>
      <c r="G1909"/>
    </row>
    <row r="1910" spans="4:7" x14ac:dyDescent="0.25">
      <c r="D1910"/>
      <c r="E1910"/>
      <c r="F1910"/>
      <c r="G1910"/>
    </row>
    <row r="1911" spans="4:7" x14ac:dyDescent="0.25">
      <c r="D1911"/>
      <c r="E1911"/>
      <c r="F1911"/>
      <c r="G1911"/>
    </row>
    <row r="1912" spans="4:7" x14ac:dyDescent="0.25">
      <c r="D1912"/>
      <c r="E1912"/>
      <c r="F1912"/>
      <c r="G1912"/>
    </row>
    <row r="1913" spans="4:7" x14ac:dyDescent="0.25">
      <c r="D1913"/>
      <c r="E1913"/>
      <c r="F1913"/>
      <c r="G1913"/>
    </row>
    <row r="1914" spans="4:7" x14ac:dyDescent="0.25">
      <c r="D1914"/>
      <c r="E1914"/>
      <c r="F1914"/>
      <c r="G1914"/>
    </row>
    <row r="1915" spans="4:7" x14ac:dyDescent="0.25">
      <c r="D1915"/>
      <c r="E1915"/>
      <c r="F1915"/>
      <c r="G1915"/>
    </row>
    <row r="1916" spans="4:7" x14ac:dyDescent="0.25">
      <c r="D1916"/>
      <c r="E1916"/>
      <c r="F1916"/>
      <c r="G1916"/>
    </row>
    <row r="1917" spans="4:7" x14ac:dyDescent="0.25">
      <c r="D1917"/>
      <c r="E1917"/>
      <c r="F1917"/>
      <c r="G1917"/>
    </row>
    <row r="1918" spans="4:7" x14ac:dyDescent="0.25">
      <c r="D1918"/>
      <c r="E1918"/>
      <c r="F1918"/>
      <c r="G1918"/>
    </row>
    <row r="1919" spans="4:7" x14ac:dyDescent="0.25">
      <c r="D1919"/>
      <c r="E1919"/>
      <c r="F1919"/>
      <c r="G1919"/>
    </row>
    <row r="1920" spans="4:7" x14ac:dyDescent="0.25">
      <c r="D1920"/>
      <c r="E1920"/>
      <c r="F1920"/>
      <c r="G1920"/>
    </row>
    <row r="1921" spans="4:7" x14ac:dyDescent="0.25">
      <c r="D1921"/>
      <c r="E1921"/>
      <c r="F1921"/>
      <c r="G1921"/>
    </row>
    <row r="1922" spans="4:7" x14ac:dyDescent="0.25">
      <c r="D1922"/>
      <c r="E1922"/>
      <c r="F1922"/>
      <c r="G1922"/>
    </row>
    <row r="1923" spans="4:7" x14ac:dyDescent="0.25">
      <c r="D1923"/>
      <c r="E1923"/>
      <c r="F1923"/>
      <c r="G1923"/>
    </row>
    <row r="1924" spans="4:7" x14ac:dyDescent="0.25">
      <c r="D1924"/>
      <c r="E1924"/>
      <c r="F1924"/>
      <c r="G1924"/>
    </row>
    <row r="1925" spans="4:7" x14ac:dyDescent="0.25">
      <c r="D1925"/>
      <c r="E1925"/>
      <c r="F1925"/>
      <c r="G1925"/>
    </row>
    <row r="1926" spans="4:7" x14ac:dyDescent="0.25">
      <c r="D1926"/>
      <c r="E1926"/>
      <c r="F1926"/>
      <c r="G1926"/>
    </row>
    <row r="1927" spans="4:7" x14ac:dyDescent="0.25">
      <c r="D1927"/>
      <c r="E1927"/>
      <c r="F1927"/>
      <c r="G1927"/>
    </row>
    <row r="1928" spans="4:7" x14ac:dyDescent="0.25">
      <c r="D1928"/>
      <c r="E1928"/>
      <c r="F1928"/>
      <c r="G1928"/>
    </row>
    <row r="1929" spans="4:7" x14ac:dyDescent="0.25">
      <c r="D1929"/>
      <c r="E1929"/>
      <c r="F1929"/>
      <c r="G1929"/>
    </row>
    <row r="1930" spans="4:7" x14ac:dyDescent="0.25">
      <c r="D1930"/>
      <c r="E1930"/>
      <c r="F1930"/>
      <c r="G1930"/>
    </row>
    <row r="1931" spans="4:7" x14ac:dyDescent="0.25">
      <c r="D1931"/>
      <c r="E1931"/>
      <c r="F1931"/>
      <c r="G1931"/>
    </row>
    <row r="1932" spans="4:7" x14ac:dyDescent="0.25">
      <c r="D1932"/>
      <c r="E1932"/>
      <c r="F1932"/>
      <c r="G1932"/>
    </row>
    <row r="1933" spans="4:7" x14ac:dyDescent="0.25">
      <c r="D1933"/>
      <c r="E1933"/>
      <c r="F1933"/>
      <c r="G1933"/>
    </row>
    <row r="1934" spans="4:7" x14ac:dyDescent="0.25">
      <c r="D1934"/>
      <c r="E1934"/>
      <c r="F1934"/>
      <c r="G1934"/>
    </row>
    <row r="1935" spans="4:7" x14ac:dyDescent="0.25">
      <c r="D1935"/>
      <c r="E1935"/>
      <c r="F1935"/>
      <c r="G1935"/>
    </row>
    <row r="1936" spans="4:7" x14ac:dyDescent="0.25">
      <c r="D1936"/>
      <c r="E1936"/>
      <c r="F1936"/>
      <c r="G1936"/>
    </row>
    <row r="1937" spans="4:7" x14ac:dyDescent="0.25">
      <c r="D1937"/>
      <c r="E1937"/>
      <c r="F1937"/>
      <c r="G1937"/>
    </row>
    <row r="1938" spans="4:7" x14ac:dyDescent="0.25">
      <c r="D1938"/>
      <c r="E1938"/>
      <c r="F1938"/>
      <c r="G1938"/>
    </row>
    <row r="1939" spans="4:7" x14ac:dyDescent="0.25">
      <c r="D1939"/>
      <c r="E1939"/>
      <c r="F1939"/>
      <c r="G1939"/>
    </row>
    <row r="1940" spans="4:7" x14ac:dyDescent="0.25">
      <c r="D1940"/>
      <c r="E1940"/>
      <c r="F1940"/>
      <c r="G1940"/>
    </row>
    <row r="1941" spans="4:7" x14ac:dyDescent="0.25">
      <c r="D1941"/>
      <c r="E1941"/>
      <c r="F1941"/>
      <c r="G1941"/>
    </row>
    <row r="1942" spans="4:7" x14ac:dyDescent="0.25">
      <c r="D1942"/>
      <c r="E1942"/>
      <c r="F1942"/>
      <c r="G1942"/>
    </row>
    <row r="1943" spans="4:7" x14ac:dyDescent="0.25">
      <c r="D1943"/>
      <c r="E1943"/>
      <c r="F1943"/>
      <c r="G1943"/>
    </row>
    <row r="1944" spans="4:7" x14ac:dyDescent="0.25">
      <c r="D1944"/>
      <c r="E1944"/>
      <c r="F1944"/>
      <c r="G1944"/>
    </row>
    <row r="1945" spans="4:7" x14ac:dyDescent="0.25">
      <c r="D1945"/>
      <c r="E1945"/>
      <c r="F1945"/>
      <c r="G1945"/>
    </row>
    <row r="1946" spans="4:7" x14ac:dyDescent="0.25">
      <c r="D1946"/>
      <c r="E1946"/>
      <c r="F1946"/>
      <c r="G1946"/>
    </row>
    <row r="1947" spans="4:7" x14ac:dyDescent="0.25">
      <c r="D1947"/>
      <c r="E1947"/>
      <c r="F1947"/>
      <c r="G1947"/>
    </row>
    <row r="1948" spans="4:7" x14ac:dyDescent="0.25">
      <c r="D1948"/>
      <c r="E1948"/>
      <c r="F1948"/>
      <c r="G1948"/>
    </row>
    <row r="1949" spans="4:7" x14ac:dyDescent="0.25">
      <c r="D1949"/>
      <c r="E1949"/>
      <c r="F1949"/>
      <c r="G1949"/>
    </row>
    <row r="1950" spans="4:7" x14ac:dyDescent="0.25">
      <c r="D1950"/>
      <c r="E1950"/>
      <c r="F1950"/>
      <c r="G1950"/>
    </row>
    <row r="1951" spans="4:7" x14ac:dyDescent="0.25">
      <c r="D1951"/>
      <c r="E1951"/>
      <c r="F1951"/>
      <c r="G1951"/>
    </row>
    <row r="1952" spans="4:7" x14ac:dyDescent="0.25">
      <c r="D1952"/>
      <c r="E1952"/>
      <c r="F1952"/>
      <c r="G1952"/>
    </row>
    <row r="1953" spans="4:7" x14ac:dyDescent="0.25">
      <c r="D1953"/>
      <c r="E1953"/>
      <c r="F1953"/>
      <c r="G1953"/>
    </row>
    <row r="1954" spans="4:7" x14ac:dyDescent="0.25">
      <c r="D1954"/>
      <c r="E1954"/>
      <c r="F1954"/>
      <c r="G1954"/>
    </row>
    <row r="1955" spans="4:7" x14ac:dyDescent="0.25">
      <c r="D1955"/>
      <c r="E1955"/>
      <c r="F1955"/>
      <c r="G1955"/>
    </row>
    <row r="1956" spans="4:7" x14ac:dyDescent="0.25">
      <c r="D1956"/>
      <c r="E1956"/>
      <c r="F1956"/>
      <c r="G1956"/>
    </row>
    <row r="1957" spans="4:7" x14ac:dyDescent="0.25">
      <c r="D1957"/>
      <c r="E1957"/>
      <c r="F1957"/>
      <c r="G1957"/>
    </row>
    <row r="1958" spans="4:7" x14ac:dyDescent="0.25">
      <c r="D1958"/>
      <c r="E1958"/>
      <c r="F1958"/>
      <c r="G1958"/>
    </row>
    <row r="1959" spans="4:7" x14ac:dyDescent="0.25">
      <c r="D1959"/>
      <c r="E1959"/>
      <c r="F1959"/>
      <c r="G1959"/>
    </row>
    <row r="1960" spans="4:7" x14ac:dyDescent="0.25">
      <c r="D1960"/>
      <c r="E1960"/>
      <c r="F1960"/>
      <c r="G1960"/>
    </row>
    <row r="1961" spans="4:7" x14ac:dyDescent="0.25">
      <c r="D1961"/>
      <c r="E1961"/>
      <c r="F1961"/>
      <c r="G1961"/>
    </row>
    <row r="1962" spans="4:7" x14ac:dyDescent="0.25">
      <c r="D1962"/>
      <c r="E1962"/>
      <c r="F1962"/>
      <c r="G1962"/>
    </row>
    <row r="1963" spans="4:7" x14ac:dyDescent="0.25">
      <c r="D1963"/>
      <c r="E1963"/>
      <c r="F1963"/>
      <c r="G1963"/>
    </row>
    <row r="1964" spans="4:7" x14ac:dyDescent="0.25">
      <c r="D1964"/>
      <c r="E1964"/>
      <c r="F1964"/>
      <c r="G1964"/>
    </row>
    <row r="1965" spans="4:7" x14ac:dyDescent="0.25">
      <c r="D1965"/>
      <c r="E1965"/>
      <c r="F1965"/>
      <c r="G1965"/>
    </row>
    <row r="1966" spans="4:7" x14ac:dyDescent="0.25">
      <c r="D1966"/>
      <c r="E1966"/>
      <c r="F1966"/>
      <c r="G1966"/>
    </row>
    <row r="1967" spans="4:7" x14ac:dyDescent="0.25">
      <c r="D1967"/>
      <c r="E1967"/>
      <c r="F1967"/>
      <c r="G1967"/>
    </row>
    <row r="1968" spans="4:7" x14ac:dyDescent="0.25">
      <c r="D1968"/>
      <c r="E1968"/>
      <c r="F1968"/>
      <c r="G1968"/>
    </row>
    <row r="1969" spans="4:7" x14ac:dyDescent="0.25">
      <c r="D1969"/>
      <c r="E1969"/>
      <c r="F1969"/>
      <c r="G1969"/>
    </row>
    <row r="1970" spans="4:7" x14ac:dyDescent="0.25">
      <c r="D1970"/>
      <c r="E1970"/>
      <c r="F1970"/>
      <c r="G1970"/>
    </row>
    <row r="1971" spans="4:7" x14ac:dyDescent="0.25">
      <c r="D1971"/>
      <c r="E1971"/>
      <c r="F1971"/>
      <c r="G1971"/>
    </row>
    <row r="1972" spans="4:7" x14ac:dyDescent="0.25">
      <c r="D1972"/>
      <c r="E1972"/>
      <c r="F1972"/>
      <c r="G1972"/>
    </row>
    <row r="1973" spans="4:7" x14ac:dyDescent="0.25">
      <c r="D1973"/>
      <c r="E1973"/>
      <c r="F1973"/>
      <c r="G1973"/>
    </row>
    <row r="1974" spans="4:7" x14ac:dyDescent="0.25">
      <c r="D1974"/>
      <c r="E1974"/>
      <c r="F1974"/>
      <c r="G1974"/>
    </row>
    <row r="1975" spans="4:7" x14ac:dyDescent="0.25">
      <c r="D1975"/>
      <c r="E1975"/>
      <c r="F1975"/>
      <c r="G1975"/>
    </row>
    <row r="1976" spans="4:7" x14ac:dyDescent="0.25">
      <c r="D1976"/>
      <c r="E1976"/>
      <c r="F1976"/>
      <c r="G1976"/>
    </row>
    <row r="1977" spans="4:7" x14ac:dyDescent="0.25">
      <c r="D1977"/>
      <c r="E1977"/>
      <c r="F1977"/>
      <c r="G1977"/>
    </row>
    <row r="1978" spans="4:7" x14ac:dyDescent="0.25">
      <c r="D1978"/>
      <c r="E1978"/>
      <c r="F1978"/>
      <c r="G1978"/>
    </row>
    <row r="1979" spans="4:7" x14ac:dyDescent="0.25">
      <c r="D1979"/>
      <c r="E1979"/>
      <c r="F1979"/>
      <c r="G1979"/>
    </row>
    <row r="1980" spans="4:7" x14ac:dyDescent="0.25">
      <c r="D1980"/>
      <c r="E1980"/>
      <c r="F1980"/>
      <c r="G1980"/>
    </row>
    <row r="1981" spans="4:7" x14ac:dyDescent="0.25">
      <c r="D1981"/>
      <c r="E1981"/>
      <c r="F1981"/>
      <c r="G1981"/>
    </row>
    <row r="1982" spans="4:7" x14ac:dyDescent="0.25">
      <c r="D1982"/>
      <c r="E1982"/>
      <c r="F1982"/>
      <c r="G1982"/>
    </row>
    <row r="1983" spans="4:7" x14ac:dyDescent="0.25">
      <c r="D1983"/>
      <c r="E1983"/>
      <c r="F1983"/>
      <c r="G1983"/>
    </row>
    <row r="1984" spans="4:7" x14ac:dyDescent="0.25">
      <c r="D1984"/>
      <c r="E1984"/>
      <c r="F1984"/>
      <c r="G1984"/>
    </row>
    <row r="1985" spans="4:7" x14ac:dyDescent="0.25">
      <c r="D1985"/>
      <c r="E1985"/>
      <c r="F1985"/>
      <c r="G1985"/>
    </row>
    <row r="1986" spans="4:7" x14ac:dyDescent="0.25">
      <c r="D1986"/>
      <c r="E1986"/>
      <c r="F1986"/>
      <c r="G1986"/>
    </row>
    <row r="1987" spans="4:7" x14ac:dyDescent="0.25">
      <c r="D1987"/>
      <c r="E1987"/>
      <c r="F1987"/>
      <c r="G1987"/>
    </row>
    <row r="1988" spans="4:7" x14ac:dyDescent="0.25">
      <c r="D1988"/>
      <c r="E1988"/>
      <c r="F1988"/>
      <c r="G1988"/>
    </row>
    <row r="1989" spans="4:7" x14ac:dyDescent="0.25">
      <c r="D1989"/>
      <c r="E1989"/>
      <c r="F1989"/>
      <c r="G1989"/>
    </row>
    <row r="1990" spans="4:7" x14ac:dyDescent="0.25">
      <c r="D1990"/>
      <c r="E1990"/>
      <c r="F1990"/>
      <c r="G1990"/>
    </row>
    <row r="1991" spans="4:7" x14ac:dyDescent="0.25">
      <c r="D1991"/>
      <c r="E1991"/>
      <c r="F1991"/>
      <c r="G1991"/>
    </row>
    <row r="1992" spans="4:7" x14ac:dyDescent="0.25">
      <c r="D1992"/>
      <c r="E1992"/>
      <c r="F1992"/>
      <c r="G1992"/>
    </row>
    <row r="1993" spans="4:7" x14ac:dyDescent="0.25">
      <c r="D1993"/>
      <c r="E1993"/>
      <c r="F1993"/>
      <c r="G1993"/>
    </row>
    <row r="1994" spans="4:7" x14ac:dyDescent="0.25">
      <c r="D1994"/>
      <c r="E1994"/>
      <c r="F1994"/>
      <c r="G1994"/>
    </row>
    <row r="1995" spans="4:7" x14ac:dyDescent="0.25">
      <c r="D1995"/>
      <c r="E1995"/>
      <c r="F1995"/>
      <c r="G1995"/>
    </row>
    <row r="1996" spans="4:7" x14ac:dyDescent="0.25">
      <c r="D1996"/>
      <c r="E1996"/>
      <c r="F1996"/>
      <c r="G1996"/>
    </row>
    <row r="1997" spans="4:7" x14ac:dyDescent="0.25">
      <c r="D1997"/>
      <c r="E1997"/>
      <c r="F1997"/>
      <c r="G1997"/>
    </row>
    <row r="1998" spans="4:7" x14ac:dyDescent="0.25">
      <c r="D1998"/>
      <c r="E1998"/>
      <c r="F1998"/>
      <c r="G1998"/>
    </row>
    <row r="1999" spans="4:7" x14ac:dyDescent="0.25">
      <c r="D1999"/>
      <c r="E1999"/>
      <c r="F1999"/>
      <c r="G1999"/>
    </row>
    <row r="2000" spans="4:7" x14ac:dyDescent="0.25">
      <c r="D2000"/>
      <c r="E2000"/>
      <c r="F2000"/>
      <c r="G2000"/>
    </row>
    <row r="2001" spans="4:7" x14ac:dyDescent="0.25">
      <c r="D2001"/>
      <c r="E2001"/>
      <c r="F2001"/>
      <c r="G2001"/>
    </row>
    <row r="2002" spans="4:7" x14ac:dyDescent="0.25">
      <c r="D2002"/>
      <c r="E2002"/>
      <c r="F2002"/>
      <c r="G2002"/>
    </row>
    <row r="2003" spans="4:7" x14ac:dyDescent="0.25">
      <c r="D2003"/>
      <c r="E2003"/>
      <c r="F2003"/>
      <c r="G2003"/>
    </row>
    <row r="2004" spans="4:7" x14ac:dyDescent="0.25">
      <c r="D2004"/>
      <c r="E2004"/>
      <c r="F2004"/>
      <c r="G2004"/>
    </row>
    <row r="2005" spans="4:7" x14ac:dyDescent="0.25">
      <c r="D2005"/>
      <c r="E2005"/>
      <c r="F2005"/>
      <c r="G2005"/>
    </row>
    <row r="2006" spans="4:7" x14ac:dyDescent="0.25">
      <c r="D2006"/>
      <c r="E2006"/>
      <c r="F2006"/>
      <c r="G2006"/>
    </row>
    <row r="2007" spans="4:7" x14ac:dyDescent="0.25">
      <c r="D2007"/>
      <c r="E2007"/>
      <c r="F2007"/>
      <c r="G2007"/>
    </row>
    <row r="2008" spans="4:7" x14ac:dyDescent="0.25">
      <c r="D2008"/>
      <c r="E2008"/>
      <c r="F2008"/>
      <c r="G2008"/>
    </row>
    <row r="2009" spans="4:7" x14ac:dyDescent="0.25">
      <c r="D2009"/>
      <c r="E2009"/>
      <c r="F2009"/>
      <c r="G2009"/>
    </row>
    <row r="2010" spans="4:7" x14ac:dyDescent="0.25">
      <c r="D2010"/>
      <c r="E2010"/>
      <c r="F2010"/>
      <c r="G2010"/>
    </row>
    <row r="2011" spans="4:7" x14ac:dyDescent="0.25">
      <c r="D2011"/>
      <c r="E2011"/>
      <c r="F2011"/>
      <c r="G2011"/>
    </row>
    <row r="2012" spans="4:7" x14ac:dyDescent="0.25">
      <c r="D2012"/>
      <c r="E2012"/>
      <c r="F2012"/>
      <c r="G2012"/>
    </row>
    <row r="2013" spans="4:7" x14ac:dyDescent="0.25">
      <c r="D2013"/>
      <c r="E2013"/>
      <c r="F2013"/>
      <c r="G2013"/>
    </row>
    <row r="2014" spans="4:7" x14ac:dyDescent="0.25">
      <c r="D2014"/>
      <c r="E2014"/>
      <c r="F2014"/>
      <c r="G2014"/>
    </row>
    <row r="2015" spans="4:7" x14ac:dyDescent="0.25">
      <c r="D2015"/>
      <c r="E2015"/>
      <c r="F2015"/>
      <c r="G2015"/>
    </row>
    <row r="2016" spans="4:7" x14ac:dyDescent="0.25">
      <c r="D2016"/>
      <c r="E2016"/>
      <c r="F2016"/>
      <c r="G2016"/>
    </row>
    <row r="2017" spans="4:7" x14ac:dyDescent="0.25">
      <c r="D2017"/>
      <c r="E2017"/>
      <c r="F2017"/>
      <c r="G2017"/>
    </row>
    <row r="2018" spans="4:7" x14ac:dyDescent="0.25">
      <c r="D2018"/>
      <c r="E2018"/>
      <c r="F2018"/>
      <c r="G2018"/>
    </row>
    <row r="2019" spans="4:7" x14ac:dyDescent="0.25">
      <c r="D2019"/>
      <c r="E2019"/>
      <c r="F2019"/>
      <c r="G2019"/>
    </row>
    <row r="2020" spans="4:7" x14ac:dyDescent="0.25">
      <c r="D2020"/>
      <c r="E2020"/>
      <c r="F2020"/>
      <c r="G2020"/>
    </row>
    <row r="2021" spans="4:7" x14ac:dyDescent="0.25">
      <c r="D2021"/>
      <c r="E2021"/>
      <c r="F2021"/>
      <c r="G2021"/>
    </row>
    <row r="2022" spans="4:7" x14ac:dyDescent="0.25">
      <c r="D2022"/>
      <c r="E2022"/>
      <c r="F2022"/>
      <c r="G2022"/>
    </row>
    <row r="2023" spans="4:7" x14ac:dyDescent="0.25">
      <c r="D2023"/>
      <c r="E2023"/>
      <c r="F2023"/>
      <c r="G2023"/>
    </row>
    <row r="2024" spans="4:7" x14ac:dyDescent="0.25">
      <c r="D2024"/>
      <c r="E2024"/>
      <c r="F2024"/>
      <c r="G2024"/>
    </row>
    <row r="2025" spans="4:7" x14ac:dyDescent="0.25">
      <c r="D2025"/>
      <c r="E2025"/>
      <c r="F2025"/>
      <c r="G2025"/>
    </row>
    <row r="2026" spans="4:7" x14ac:dyDescent="0.25">
      <c r="D2026"/>
      <c r="E2026"/>
      <c r="F2026"/>
      <c r="G2026"/>
    </row>
    <row r="2027" spans="4:7" x14ac:dyDescent="0.25">
      <c r="D2027"/>
      <c r="E2027"/>
      <c r="F2027"/>
      <c r="G2027"/>
    </row>
    <row r="2028" spans="4:7" x14ac:dyDescent="0.25">
      <c r="D2028"/>
      <c r="E2028"/>
      <c r="F2028"/>
      <c r="G2028"/>
    </row>
    <row r="2029" spans="4:7" x14ac:dyDescent="0.25">
      <c r="D2029"/>
      <c r="E2029"/>
      <c r="F2029"/>
      <c r="G2029"/>
    </row>
    <row r="2030" spans="4:7" x14ac:dyDescent="0.25">
      <c r="D2030"/>
      <c r="E2030"/>
      <c r="F2030"/>
      <c r="G2030"/>
    </row>
    <row r="2031" spans="4:7" x14ac:dyDescent="0.25">
      <c r="D2031"/>
      <c r="E2031"/>
      <c r="F2031"/>
      <c r="G2031"/>
    </row>
    <row r="2032" spans="4:7" x14ac:dyDescent="0.25">
      <c r="D2032"/>
      <c r="E2032"/>
      <c r="F2032"/>
      <c r="G2032"/>
    </row>
    <row r="2033" spans="4:7" x14ac:dyDescent="0.25">
      <c r="D2033"/>
      <c r="E2033"/>
      <c r="F2033"/>
      <c r="G2033"/>
    </row>
    <row r="2034" spans="4:7" x14ac:dyDescent="0.25">
      <c r="D2034"/>
      <c r="E2034"/>
      <c r="F2034"/>
      <c r="G2034"/>
    </row>
    <row r="2035" spans="4:7" x14ac:dyDescent="0.25">
      <c r="D2035"/>
      <c r="E2035"/>
      <c r="F2035"/>
      <c r="G2035"/>
    </row>
    <row r="2036" spans="4:7" x14ac:dyDescent="0.25">
      <c r="D2036"/>
      <c r="E2036"/>
      <c r="F2036"/>
      <c r="G2036"/>
    </row>
    <row r="2037" spans="4:7" x14ac:dyDescent="0.25">
      <c r="D2037"/>
      <c r="E2037"/>
      <c r="F2037"/>
      <c r="G2037"/>
    </row>
    <row r="2038" spans="4:7" x14ac:dyDescent="0.25">
      <c r="D2038"/>
      <c r="E2038"/>
      <c r="F2038"/>
      <c r="G2038"/>
    </row>
    <row r="2039" spans="4:7" x14ac:dyDescent="0.25">
      <c r="D2039"/>
      <c r="E2039"/>
      <c r="F2039"/>
      <c r="G2039"/>
    </row>
    <row r="2040" spans="4:7" x14ac:dyDescent="0.25">
      <c r="D2040"/>
      <c r="E2040"/>
      <c r="F2040"/>
      <c r="G2040"/>
    </row>
    <row r="2041" spans="4:7" x14ac:dyDescent="0.25">
      <c r="D2041"/>
      <c r="E2041"/>
      <c r="F2041"/>
      <c r="G2041"/>
    </row>
    <row r="2042" spans="4:7" x14ac:dyDescent="0.25">
      <c r="D2042"/>
      <c r="E2042"/>
      <c r="F2042"/>
      <c r="G2042"/>
    </row>
    <row r="2043" spans="4:7" x14ac:dyDescent="0.25">
      <c r="D2043"/>
      <c r="E2043"/>
      <c r="F2043"/>
      <c r="G2043"/>
    </row>
    <row r="2044" spans="4:7" x14ac:dyDescent="0.25">
      <c r="D2044"/>
      <c r="E2044"/>
      <c r="F2044"/>
      <c r="G2044"/>
    </row>
    <row r="2045" spans="4:7" x14ac:dyDescent="0.25">
      <c r="D2045"/>
      <c r="E2045"/>
      <c r="F2045"/>
      <c r="G2045"/>
    </row>
    <row r="2046" spans="4:7" x14ac:dyDescent="0.25">
      <c r="D2046"/>
      <c r="E2046"/>
      <c r="F2046"/>
      <c r="G2046"/>
    </row>
    <row r="2047" spans="4:7" x14ac:dyDescent="0.25">
      <c r="D2047"/>
      <c r="E2047"/>
      <c r="F2047"/>
      <c r="G2047"/>
    </row>
    <row r="2048" spans="4:7" x14ac:dyDescent="0.25">
      <c r="D2048"/>
      <c r="E2048"/>
      <c r="F2048"/>
      <c r="G2048"/>
    </row>
    <row r="2049" spans="4:7" x14ac:dyDescent="0.25">
      <c r="D2049"/>
      <c r="E2049"/>
      <c r="F2049"/>
      <c r="G2049"/>
    </row>
    <row r="2050" spans="4:7" x14ac:dyDescent="0.25">
      <c r="D2050"/>
      <c r="E2050"/>
      <c r="F2050"/>
      <c r="G2050"/>
    </row>
    <row r="2051" spans="4:7" x14ac:dyDescent="0.25">
      <c r="D2051"/>
      <c r="E2051"/>
      <c r="F2051"/>
      <c r="G2051"/>
    </row>
    <row r="2052" spans="4:7" x14ac:dyDescent="0.25">
      <c r="D2052"/>
      <c r="E2052"/>
      <c r="F2052"/>
      <c r="G2052"/>
    </row>
    <row r="2053" spans="4:7" x14ac:dyDescent="0.25">
      <c r="D2053"/>
      <c r="E2053"/>
      <c r="F2053"/>
      <c r="G2053"/>
    </row>
    <row r="2054" spans="4:7" x14ac:dyDescent="0.25">
      <c r="D2054"/>
      <c r="E2054"/>
      <c r="F2054"/>
      <c r="G2054"/>
    </row>
    <row r="2055" spans="4:7" x14ac:dyDescent="0.25">
      <c r="D2055"/>
      <c r="E2055"/>
      <c r="F2055"/>
      <c r="G2055"/>
    </row>
    <row r="2056" spans="4:7" x14ac:dyDescent="0.25">
      <c r="D2056"/>
      <c r="E2056"/>
      <c r="F2056"/>
      <c r="G2056"/>
    </row>
    <row r="2057" spans="4:7" x14ac:dyDescent="0.25">
      <c r="D2057"/>
      <c r="E2057"/>
      <c r="F2057"/>
      <c r="G2057"/>
    </row>
    <row r="2058" spans="4:7" x14ac:dyDescent="0.25">
      <c r="D2058"/>
      <c r="E2058"/>
      <c r="F2058"/>
      <c r="G2058"/>
    </row>
    <row r="2059" spans="4:7" x14ac:dyDescent="0.25">
      <c r="D2059"/>
      <c r="E2059"/>
      <c r="F2059"/>
      <c r="G2059"/>
    </row>
    <row r="2060" spans="4:7" x14ac:dyDescent="0.25">
      <c r="D2060"/>
      <c r="E2060"/>
      <c r="F2060"/>
      <c r="G2060"/>
    </row>
    <row r="2061" spans="4:7" x14ac:dyDescent="0.25">
      <c r="D2061"/>
      <c r="E2061"/>
      <c r="F2061"/>
      <c r="G2061"/>
    </row>
    <row r="2062" spans="4:7" x14ac:dyDescent="0.25">
      <c r="D2062"/>
      <c r="E2062"/>
      <c r="F2062"/>
      <c r="G2062"/>
    </row>
    <row r="2063" spans="4:7" x14ac:dyDescent="0.25">
      <c r="D2063"/>
      <c r="E2063"/>
      <c r="F2063"/>
      <c r="G2063"/>
    </row>
    <row r="2064" spans="4:7" x14ac:dyDescent="0.25">
      <c r="D2064"/>
      <c r="E2064"/>
      <c r="F2064"/>
      <c r="G2064"/>
    </row>
    <row r="2065" spans="4:7" x14ac:dyDescent="0.25">
      <c r="D2065"/>
      <c r="E2065"/>
      <c r="F2065"/>
      <c r="G2065"/>
    </row>
    <row r="2066" spans="4:7" x14ac:dyDescent="0.25">
      <c r="D2066"/>
      <c r="E2066"/>
      <c r="F2066"/>
      <c r="G2066"/>
    </row>
    <row r="2067" spans="4:7" x14ac:dyDescent="0.25">
      <c r="D2067"/>
      <c r="E2067"/>
      <c r="F2067"/>
      <c r="G2067"/>
    </row>
    <row r="2068" spans="4:7" x14ac:dyDescent="0.25">
      <c r="D2068"/>
      <c r="E2068"/>
      <c r="F2068"/>
      <c r="G2068"/>
    </row>
    <row r="2069" spans="4:7" x14ac:dyDescent="0.25">
      <c r="D2069"/>
      <c r="E2069"/>
      <c r="F2069"/>
      <c r="G2069"/>
    </row>
    <row r="2070" spans="4:7" x14ac:dyDescent="0.25">
      <c r="D2070"/>
      <c r="E2070"/>
      <c r="F2070"/>
      <c r="G2070"/>
    </row>
    <row r="2071" spans="4:7" x14ac:dyDescent="0.25">
      <c r="D2071"/>
      <c r="E2071"/>
      <c r="F2071"/>
      <c r="G2071"/>
    </row>
    <row r="2072" spans="4:7" x14ac:dyDescent="0.25">
      <c r="D2072"/>
      <c r="E2072"/>
      <c r="F2072"/>
      <c r="G2072"/>
    </row>
    <row r="2073" spans="4:7" x14ac:dyDescent="0.25">
      <c r="D2073"/>
      <c r="E2073"/>
      <c r="F2073"/>
      <c r="G2073"/>
    </row>
    <row r="2074" spans="4:7" x14ac:dyDescent="0.25">
      <c r="D2074"/>
      <c r="E2074"/>
      <c r="F2074"/>
      <c r="G2074"/>
    </row>
    <row r="2075" spans="4:7" x14ac:dyDescent="0.25">
      <c r="D2075"/>
      <c r="E2075"/>
      <c r="F2075"/>
      <c r="G2075"/>
    </row>
    <row r="2076" spans="4:7" x14ac:dyDescent="0.25">
      <c r="D2076"/>
      <c r="E2076"/>
      <c r="F2076"/>
      <c r="G2076"/>
    </row>
    <row r="2077" spans="4:7" x14ac:dyDescent="0.25">
      <c r="D2077"/>
      <c r="E2077"/>
      <c r="F2077"/>
      <c r="G2077"/>
    </row>
    <row r="2078" spans="4:7" x14ac:dyDescent="0.25">
      <c r="D2078"/>
      <c r="E2078"/>
      <c r="F2078"/>
      <c r="G2078"/>
    </row>
    <row r="2079" spans="4:7" x14ac:dyDescent="0.25">
      <c r="D2079"/>
      <c r="E2079"/>
      <c r="F2079"/>
      <c r="G2079"/>
    </row>
    <row r="2080" spans="4:7" x14ac:dyDescent="0.25">
      <c r="D2080"/>
      <c r="E2080"/>
      <c r="F2080"/>
      <c r="G2080"/>
    </row>
    <row r="2081" spans="4:7" x14ac:dyDescent="0.25">
      <c r="D2081"/>
      <c r="E2081"/>
      <c r="F2081"/>
      <c r="G2081"/>
    </row>
    <row r="2082" spans="4:7" x14ac:dyDescent="0.25">
      <c r="D2082"/>
      <c r="E2082"/>
      <c r="F2082"/>
      <c r="G2082"/>
    </row>
    <row r="2083" spans="4:7" x14ac:dyDescent="0.25">
      <c r="D2083"/>
      <c r="E2083"/>
      <c r="F2083"/>
      <c r="G2083"/>
    </row>
    <row r="2084" spans="4:7" x14ac:dyDescent="0.25">
      <c r="D2084"/>
      <c r="E2084"/>
      <c r="F2084"/>
      <c r="G2084"/>
    </row>
    <row r="2085" spans="4:7" x14ac:dyDescent="0.25">
      <c r="D2085"/>
      <c r="E2085"/>
      <c r="F2085"/>
      <c r="G2085"/>
    </row>
    <row r="2086" spans="4:7" x14ac:dyDescent="0.25">
      <c r="D2086"/>
      <c r="E2086"/>
      <c r="F2086"/>
      <c r="G2086"/>
    </row>
    <row r="2087" spans="4:7" x14ac:dyDescent="0.25">
      <c r="D2087"/>
      <c r="E2087"/>
      <c r="F2087"/>
      <c r="G2087"/>
    </row>
    <row r="2088" spans="4:7" x14ac:dyDescent="0.25">
      <c r="D2088"/>
      <c r="E2088"/>
      <c r="F2088"/>
      <c r="G2088"/>
    </row>
    <row r="2089" spans="4:7" x14ac:dyDescent="0.25">
      <c r="D2089"/>
      <c r="E2089"/>
      <c r="F2089"/>
      <c r="G2089"/>
    </row>
    <row r="2090" spans="4:7" x14ac:dyDescent="0.25">
      <c r="D2090"/>
      <c r="E2090"/>
      <c r="F2090"/>
      <c r="G2090"/>
    </row>
    <row r="2091" spans="4:7" x14ac:dyDescent="0.25">
      <c r="D2091"/>
      <c r="E2091"/>
      <c r="F2091"/>
      <c r="G2091"/>
    </row>
    <row r="2092" spans="4:7" x14ac:dyDescent="0.25">
      <c r="D2092"/>
      <c r="E2092"/>
      <c r="F2092"/>
      <c r="G2092"/>
    </row>
    <row r="2093" spans="4:7" x14ac:dyDescent="0.25">
      <c r="D2093"/>
      <c r="E2093"/>
      <c r="F2093"/>
      <c r="G2093"/>
    </row>
    <row r="2094" spans="4:7" x14ac:dyDescent="0.25">
      <c r="D2094"/>
      <c r="E2094"/>
      <c r="F2094"/>
      <c r="G2094"/>
    </row>
    <row r="2095" spans="4:7" x14ac:dyDescent="0.25">
      <c r="D2095"/>
      <c r="E2095"/>
      <c r="F2095"/>
      <c r="G2095"/>
    </row>
    <row r="2096" spans="4:7" x14ac:dyDescent="0.25">
      <c r="D2096"/>
      <c r="E2096"/>
      <c r="F2096"/>
      <c r="G2096"/>
    </row>
    <row r="2097" spans="4:7" x14ac:dyDescent="0.25">
      <c r="D2097"/>
      <c r="E2097"/>
      <c r="F2097"/>
      <c r="G2097"/>
    </row>
    <row r="2098" spans="4:7" x14ac:dyDescent="0.25">
      <c r="D2098"/>
      <c r="E2098"/>
      <c r="F2098"/>
      <c r="G2098"/>
    </row>
    <row r="2099" spans="4:7" x14ac:dyDescent="0.25">
      <c r="D2099"/>
      <c r="E2099"/>
      <c r="F2099"/>
      <c r="G2099"/>
    </row>
    <row r="2100" spans="4:7" x14ac:dyDescent="0.25">
      <c r="D2100"/>
      <c r="E2100"/>
      <c r="F2100"/>
      <c r="G2100"/>
    </row>
    <row r="2101" spans="4:7" x14ac:dyDescent="0.25">
      <c r="D2101"/>
      <c r="E2101"/>
      <c r="F2101"/>
      <c r="G2101"/>
    </row>
    <row r="2102" spans="4:7" x14ac:dyDescent="0.25">
      <c r="D2102"/>
      <c r="E2102"/>
      <c r="F2102"/>
      <c r="G2102"/>
    </row>
    <row r="2103" spans="4:7" x14ac:dyDescent="0.25">
      <c r="D2103"/>
      <c r="E2103"/>
      <c r="F2103"/>
      <c r="G2103"/>
    </row>
    <row r="2104" spans="4:7" x14ac:dyDescent="0.25">
      <c r="D2104"/>
      <c r="E2104"/>
      <c r="F2104"/>
      <c r="G2104"/>
    </row>
    <row r="2105" spans="4:7" x14ac:dyDescent="0.25">
      <c r="D2105"/>
      <c r="E2105"/>
      <c r="F2105"/>
      <c r="G2105"/>
    </row>
    <row r="2106" spans="4:7" x14ac:dyDescent="0.25">
      <c r="D2106"/>
      <c r="E2106"/>
      <c r="F2106"/>
      <c r="G2106"/>
    </row>
    <row r="2107" spans="4:7" x14ac:dyDescent="0.25">
      <c r="D2107"/>
      <c r="E2107"/>
      <c r="F2107"/>
      <c r="G2107"/>
    </row>
    <row r="2108" spans="4:7" x14ac:dyDescent="0.25">
      <c r="D2108"/>
      <c r="E2108"/>
      <c r="F2108"/>
      <c r="G2108"/>
    </row>
    <row r="2109" spans="4:7" x14ac:dyDescent="0.25">
      <c r="D2109"/>
      <c r="E2109"/>
      <c r="F2109"/>
      <c r="G2109"/>
    </row>
    <row r="2110" spans="4:7" x14ac:dyDescent="0.25">
      <c r="D2110"/>
      <c r="E2110"/>
      <c r="F2110"/>
      <c r="G2110"/>
    </row>
    <row r="2111" spans="4:7" x14ac:dyDescent="0.25">
      <c r="D2111"/>
      <c r="E2111"/>
      <c r="F2111"/>
      <c r="G2111"/>
    </row>
    <row r="2112" spans="4:7" x14ac:dyDescent="0.25">
      <c r="D2112"/>
      <c r="E2112"/>
      <c r="F2112"/>
      <c r="G2112"/>
    </row>
    <row r="2113" spans="4:7" x14ac:dyDescent="0.25">
      <c r="D2113"/>
      <c r="E2113"/>
      <c r="F2113"/>
      <c r="G2113"/>
    </row>
    <row r="2114" spans="4:7" x14ac:dyDescent="0.25">
      <c r="D2114"/>
      <c r="E2114"/>
      <c r="F2114"/>
      <c r="G2114"/>
    </row>
    <row r="2115" spans="4:7" x14ac:dyDescent="0.25">
      <c r="D2115"/>
      <c r="E2115"/>
      <c r="F2115"/>
      <c r="G2115"/>
    </row>
    <row r="2116" spans="4:7" x14ac:dyDescent="0.25">
      <c r="D2116"/>
      <c r="E2116"/>
      <c r="F2116"/>
      <c r="G2116"/>
    </row>
    <row r="2117" spans="4:7" x14ac:dyDescent="0.25">
      <c r="D2117"/>
      <c r="E2117"/>
      <c r="F2117"/>
      <c r="G2117"/>
    </row>
    <row r="2118" spans="4:7" x14ac:dyDescent="0.25">
      <c r="D2118"/>
      <c r="E2118"/>
      <c r="F2118"/>
      <c r="G2118"/>
    </row>
    <row r="2119" spans="4:7" x14ac:dyDescent="0.25">
      <c r="D2119"/>
      <c r="E2119"/>
      <c r="F2119"/>
      <c r="G2119"/>
    </row>
    <row r="2120" spans="4:7" x14ac:dyDescent="0.25">
      <c r="D2120"/>
      <c r="E2120"/>
      <c r="F2120"/>
      <c r="G2120"/>
    </row>
    <row r="2121" spans="4:7" x14ac:dyDescent="0.25">
      <c r="D2121"/>
      <c r="E2121"/>
      <c r="F2121"/>
      <c r="G2121"/>
    </row>
    <row r="2122" spans="4:7" x14ac:dyDescent="0.25">
      <c r="D2122"/>
      <c r="E2122"/>
      <c r="F2122"/>
      <c r="G2122"/>
    </row>
    <row r="2123" spans="4:7" x14ac:dyDescent="0.25">
      <c r="D2123"/>
      <c r="E2123"/>
      <c r="F2123"/>
      <c r="G2123"/>
    </row>
    <row r="2124" spans="4:7" x14ac:dyDescent="0.25">
      <c r="D2124"/>
      <c r="E2124"/>
      <c r="F2124"/>
      <c r="G2124"/>
    </row>
    <row r="2125" spans="4:7" x14ac:dyDescent="0.25">
      <c r="D2125"/>
      <c r="E2125"/>
      <c r="F2125"/>
      <c r="G2125"/>
    </row>
    <row r="2126" spans="4:7" x14ac:dyDescent="0.25">
      <c r="D2126"/>
      <c r="E2126"/>
      <c r="F2126"/>
      <c r="G2126"/>
    </row>
    <row r="2127" spans="4:7" x14ac:dyDescent="0.25">
      <c r="D2127"/>
      <c r="E2127"/>
      <c r="F2127"/>
      <c r="G2127"/>
    </row>
    <row r="2128" spans="4:7" x14ac:dyDescent="0.25">
      <c r="D2128"/>
      <c r="E2128"/>
      <c r="F2128"/>
      <c r="G2128"/>
    </row>
    <row r="2129" spans="4:7" x14ac:dyDescent="0.25">
      <c r="D2129"/>
      <c r="E2129"/>
      <c r="F2129"/>
      <c r="G2129"/>
    </row>
    <row r="2130" spans="4:7" x14ac:dyDescent="0.25">
      <c r="D2130"/>
      <c r="E2130"/>
      <c r="F2130"/>
      <c r="G2130"/>
    </row>
    <row r="2131" spans="4:7" x14ac:dyDescent="0.25">
      <c r="D2131"/>
      <c r="E2131"/>
      <c r="F2131"/>
      <c r="G2131"/>
    </row>
    <row r="2132" spans="4:7" x14ac:dyDescent="0.25">
      <c r="D2132"/>
      <c r="E2132"/>
      <c r="F2132"/>
      <c r="G2132"/>
    </row>
    <row r="2133" spans="4:7" x14ac:dyDescent="0.25">
      <c r="D2133"/>
      <c r="E2133"/>
      <c r="F2133"/>
      <c r="G2133"/>
    </row>
    <row r="2134" spans="4:7" x14ac:dyDescent="0.25">
      <c r="D2134"/>
      <c r="E2134"/>
      <c r="F2134"/>
      <c r="G2134"/>
    </row>
    <row r="2135" spans="4:7" x14ac:dyDescent="0.25">
      <c r="D2135"/>
      <c r="E2135"/>
      <c r="F2135"/>
      <c r="G2135"/>
    </row>
    <row r="2136" spans="4:7" x14ac:dyDescent="0.25">
      <c r="D2136"/>
      <c r="E2136"/>
      <c r="F2136"/>
      <c r="G2136"/>
    </row>
    <row r="2137" spans="4:7" x14ac:dyDescent="0.25">
      <c r="D2137"/>
      <c r="E2137"/>
      <c r="F2137"/>
      <c r="G2137"/>
    </row>
    <row r="2138" spans="4:7" x14ac:dyDescent="0.25">
      <c r="D2138"/>
      <c r="E2138"/>
      <c r="F2138"/>
      <c r="G2138"/>
    </row>
    <row r="2139" spans="4:7" x14ac:dyDescent="0.25">
      <c r="D2139"/>
      <c r="E2139"/>
      <c r="F2139"/>
      <c r="G2139"/>
    </row>
    <row r="2140" spans="4:7" x14ac:dyDescent="0.25">
      <c r="D2140"/>
      <c r="E2140"/>
      <c r="F2140"/>
      <c r="G2140"/>
    </row>
    <row r="2141" spans="4:7" x14ac:dyDescent="0.25">
      <c r="D2141"/>
      <c r="E2141"/>
      <c r="F2141"/>
      <c r="G2141"/>
    </row>
    <row r="2142" spans="4:7" x14ac:dyDescent="0.25">
      <c r="D2142"/>
      <c r="E2142"/>
      <c r="F2142"/>
      <c r="G2142"/>
    </row>
    <row r="2143" spans="4:7" x14ac:dyDescent="0.25">
      <c r="D2143"/>
      <c r="E2143"/>
      <c r="F2143"/>
      <c r="G2143"/>
    </row>
    <row r="2144" spans="4:7" x14ac:dyDescent="0.25">
      <c r="D2144"/>
      <c r="E2144"/>
      <c r="F2144"/>
      <c r="G2144"/>
    </row>
    <row r="2145" spans="4:7" x14ac:dyDescent="0.25">
      <c r="D2145"/>
      <c r="E2145"/>
      <c r="F2145"/>
      <c r="G2145"/>
    </row>
    <row r="2146" spans="4:7" x14ac:dyDescent="0.25">
      <c r="D2146"/>
      <c r="E2146"/>
      <c r="F2146"/>
      <c r="G2146"/>
    </row>
    <row r="2147" spans="4:7" x14ac:dyDescent="0.25">
      <c r="D2147"/>
      <c r="E2147"/>
      <c r="F2147"/>
      <c r="G2147"/>
    </row>
    <row r="2148" spans="4:7" x14ac:dyDescent="0.25">
      <c r="D2148"/>
      <c r="E2148"/>
      <c r="F2148"/>
      <c r="G2148"/>
    </row>
    <row r="2149" spans="4:7" x14ac:dyDescent="0.25">
      <c r="D2149"/>
      <c r="E2149"/>
      <c r="F2149"/>
      <c r="G2149"/>
    </row>
    <row r="2150" spans="4:7" x14ac:dyDescent="0.25">
      <c r="D2150"/>
      <c r="E2150"/>
      <c r="F2150"/>
      <c r="G2150"/>
    </row>
    <row r="2151" spans="4:7" x14ac:dyDescent="0.25">
      <c r="D2151"/>
      <c r="E2151"/>
      <c r="F2151"/>
      <c r="G2151"/>
    </row>
    <row r="2152" spans="4:7" x14ac:dyDescent="0.25">
      <c r="D2152"/>
      <c r="E2152"/>
      <c r="F2152"/>
      <c r="G2152"/>
    </row>
    <row r="2153" spans="4:7" x14ac:dyDescent="0.25">
      <c r="D2153"/>
      <c r="E2153"/>
      <c r="F2153"/>
      <c r="G2153"/>
    </row>
    <row r="2154" spans="4:7" x14ac:dyDescent="0.25">
      <c r="D2154"/>
      <c r="E2154"/>
      <c r="F2154"/>
      <c r="G2154"/>
    </row>
    <row r="2155" spans="4:7" x14ac:dyDescent="0.25">
      <c r="D2155"/>
      <c r="E2155"/>
      <c r="F2155"/>
      <c r="G2155"/>
    </row>
    <row r="2156" spans="4:7" x14ac:dyDescent="0.25">
      <c r="D2156"/>
      <c r="E2156"/>
      <c r="F2156"/>
      <c r="G2156"/>
    </row>
    <row r="2157" spans="4:7" x14ac:dyDescent="0.25">
      <c r="D2157"/>
      <c r="E2157"/>
      <c r="F2157"/>
      <c r="G2157"/>
    </row>
    <row r="2158" spans="4:7" x14ac:dyDescent="0.25">
      <c r="D2158"/>
      <c r="E2158"/>
      <c r="F2158"/>
      <c r="G2158"/>
    </row>
    <row r="2159" spans="4:7" x14ac:dyDescent="0.25">
      <c r="D2159"/>
      <c r="E2159"/>
      <c r="F2159"/>
      <c r="G2159"/>
    </row>
    <row r="2160" spans="4:7" x14ac:dyDescent="0.25">
      <c r="D2160"/>
      <c r="E2160"/>
      <c r="F2160"/>
      <c r="G2160"/>
    </row>
    <row r="2161" spans="4:7" x14ac:dyDescent="0.25">
      <c r="D2161"/>
      <c r="E2161"/>
      <c r="F2161"/>
      <c r="G2161"/>
    </row>
    <row r="2162" spans="4:7" x14ac:dyDescent="0.25">
      <c r="D2162"/>
      <c r="E2162"/>
      <c r="F2162"/>
      <c r="G2162"/>
    </row>
    <row r="2163" spans="4:7" x14ac:dyDescent="0.25">
      <c r="D2163"/>
      <c r="E2163"/>
      <c r="F2163"/>
      <c r="G2163"/>
    </row>
    <row r="2164" spans="4:7" x14ac:dyDescent="0.25">
      <c r="D2164"/>
      <c r="E2164"/>
      <c r="F2164"/>
      <c r="G2164"/>
    </row>
    <row r="2165" spans="4:7" x14ac:dyDescent="0.25">
      <c r="D2165"/>
      <c r="E2165"/>
      <c r="F2165"/>
      <c r="G2165"/>
    </row>
    <row r="2166" spans="4:7" x14ac:dyDescent="0.25">
      <c r="D2166"/>
      <c r="E2166"/>
      <c r="F2166"/>
      <c r="G2166"/>
    </row>
    <row r="2167" spans="4:7" x14ac:dyDescent="0.25">
      <c r="D2167"/>
      <c r="E2167"/>
      <c r="F2167"/>
      <c r="G2167"/>
    </row>
    <row r="2168" spans="4:7" x14ac:dyDescent="0.25">
      <c r="D2168"/>
      <c r="E2168"/>
      <c r="F2168"/>
      <c r="G2168"/>
    </row>
    <row r="2169" spans="4:7" x14ac:dyDescent="0.25">
      <c r="D2169"/>
      <c r="E2169"/>
      <c r="F2169"/>
      <c r="G2169"/>
    </row>
    <row r="2170" spans="4:7" x14ac:dyDescent="0.25">
      <c r="D2170"/>
      <c r="E2170"/>
      <c r="F2170"/>
      <c r="G2170"/>
    </row>
    <row r="2171" spans="4:7" x14ac:dyDescent="0.25">
      <c r="D2171"/>
      <c r="E2171"/>
      <c r="F2171"/>
      <c r="G2171"/>
    </row>
    <row r="2172" spans="4:7" x14ac:dyDescent="0.25">
      <c r="D2172"/>
      <c r="E2172"/>
      <c r="F2172"/>
      <c r="G2172"/>
    </row>
    <row r="2173" spans="4:7" x14ac:dyDescent="0.25">
      <c r="D2173"/>
      <c r="E2173"/>
      <c r="F2173"/>
      <c r="G2173"/>
    </row>
    <row r="2174" spans="4:7" x14ac:dyDescent="0.25">
      <c r="D2174"/>
      <c r="E2174"/>
      <c r="F2174"/>
      <c r="G2174"/>
    </row>
    <row r="2175" spans="4:7" x14ac:dyDescent="0.25">
      <c r="D2175"/>
      <c r="E2175"/>
      <c r="F2175"/>
      <c r="G2175"/>
    </row>
    <row r="2176" spans="4:7" x14ac:dyDescent="0.25">
      <c r="D2176"/>
      <c r="E2176"/>
      <c r="F2176"/>
      <c r="G2176"/>
    </row>
    <row r="2177" spans="4:7" x14ac:dyDescent="0.25">
      <c r="D2177"/>
      <c r="E2177"/>
      <c r="F2177"/>
      <c r="G2177"/>
    </row>
    <row r="2178" spans="4:7" x14ac:dyDescent="0.25">
      <c r="D2178"/>
      <c r="E2178"/>
      <c r="F2178"/>
      <c r="G2178"/>
    </row>
    <row r="2179" spans="4:7" x14ac:dyDescent="0.25">
      <c r="D2179"/>
      <c r="E2179"/>
      <c r="F2179"/>
      <c r="G2179"/>
    </row>
    <row r="2180" spans="4:7" x14ac:dyDescent="0.25">
      <c r="D2180"/>
      <c r="E2180"/>
      <c r="F2180"/>
      <c r="G2180"/>
    </row>
    <row r="2181" spans="4:7" x14ac:dyDescent="0.25">
      <c r="D2181"/>
      <c r="E2181"/>
      <c r="F2181"/>
      <c r="G2181"/>
    </row>
    <row r="2182" spans="4:7" x14ac:dyDescent="0.25">
      <c r="D2182"/>
      <c r="E2182"/>
      <c r="F2182"/>
      <c r="G2182"/>
    </row>
    <row r="2183" spans="4:7" x14ac:dyDescent="0.25">
      <c r="D2183"/>
      <c r="E2183"/>
      <c r="F2183"/>
      <c r="G2183"/>
    </row>
    <row r="2184" spans="4:7" x14ac:dyDescent="0.25">
      <c r="D2184"/>
      <c r="E2184"/>
      <c r="F2184"/>
      <c r="G2184"/>
    </row>
    <row r="2185" spans="4:7" x14ac:dyDescent="0.25">
      <c r="D2185"/>
      <c r="E2185"/>
      <c r="F2185"/>
      <c r="G2185"/>
    </row>
    <row r="2186" spans="4:7" x14ac:dyDescent="0.25">
      <c r="D2186"/>
      <c r="E2186"/>
      <c r="F2186"/>
      <c r="G2186"/>
    </row>
    <row r="2187" spans="4:7" x14ac:dyDescent="0.25">
      <c r="D2187"/>
      <c r="E2187"/>
      <c r="F2187"/>
      <c r="G2187"/>
    </row>
    <row r="2188" spans="4:7" x14ac:dyDescent="0.25">
      <c r="D2188"/>
      <c r="E2188"/>
      <c r="F2188"/>
      <c r="G2188"/>
    </row>
    <row r="2189" spans="4:7" x14ac:dyDescent="0.25">
      <c r="D2189"/>
      <c r="E2189"/>
      <c r="F2189"/>
      <c r="G2189"/>
    </row>
    <row r="2190" spans="4:7" x14ac:dyDescent="0.25">
      <c r="D2190"/>
      <c r="E2190"/>
      <c r="F2190"/>
      <c r="G2190"/>
    </row>
    <row r="2191" spans="4:7" x14ac:dyDescent="0.25">
      <c r="D2191"/>
      <c r="E2191"/>
      <c r="F2191"/>
      <c r="G2191"/>
    </row>
    <row r="2192" spans="4:7" x14ac:dyDescent="0.25">
      <c r="D2192"/>
      <c r="E2192"/>
      <c r="F2192"/>
      <c r="G2192"/>
    </row>
    <row r="2193" spans="4:7" x14ac:dyDescent="0.25">
      <c r="D2193"/>
      <c r="E2193"/>
      <c r="F2193"/>
      <c r="G2193"/>
    </row>
    <row r="2194" spans="4:7" x14ac:dyDescent="0.25">
      <c r="D2194"/>
      <c r="E2194"/>
      <c r="F2194"/>
      <c r="G2194"/>
    </row>
    <row r="2195" spans="4:7" x14ac:dyDescent="0.25">
      <c r="D2195"/>
      <c r="E2195"/>
      <c r="F2195"/>
      <c r="G2195"/>
    </row>
    <row r="2196" spans="4:7" x14ac:dyDescent="0.25">
      <c r="D2196"/>
      <c r="E2196"/>
      <c r="F2196"/>
      <c r="G2196"/>
    </row>
    <row r="2197" spans="4:7" x14ac:dyDescent="0.25">
      <c r="D2197"/>
      <c r="E2197"/>
      <c r="F2197"/>
      <c r="G2197"/>
    </row>
    <row r="2198" spans="4:7" x14ac:dyDescent="0.25">
      <c r="D2198"/>
      <c r="E2198"/>
      <c r="F2198"/>
      <c r="G2198"/>
    </row>
    <row r="2199" spans="4:7" x14ac:dyDescent="0.25">
      <c r="D2199"/>
      <c r="E2199"/>
      <c r="F2199"/>
      <c r="G2199"/>
    </row>
    <row r="2200" spans="4:7" x14ac:dyDescent="0.25">
      <c r="D2200"/>
      <c r="E2200"/>
      <c r="F2200"/>
      <c r="G2200"/>
    </row>
    <row r="2201" spans="4:7" x14ac:dyDescent="0.25">
      <c r="D2201"/>
      <c r="E2201"/>
      <c r="F2201"/>
      <c r="G2201"/>
    </row>
    <row r="2202" spans="4:7" x14ac:dyDescent="0.25">
      <c r="D2202"/>
      <c r="E2202"/>
      <c r="F2202"/>
      <c r="G2202"/>
    </row>
    <row r="2203" spans="4:7" x14ac:dyDescent="0.25">
      <c r="D2203"/>
      <c r="E2203"/>
      <c r="F2203"/>
      <c r="G2203"/>
    </row>
    <row r="2204" spans="4:7" x14ac:dyDescent="0.25">
      <c r="D2204"/>
      <c r="E2204"/>
      <c r="F2204"/>
      <c r="G2204"/>
    </row>
    <row r="2205" spans="4:7" x14ac:dyDescent="0.25">
      <c r="D2205"/>
      <c r="E2205"/>
      <c r="F2205"/>
      <c r="G2205"/>
    </row>
    <row r="2206" spans="4:7" x14ac:dyDescent="0.25">
      <c r="D2206"/>
      <c r="E2206"/>
      <c r="F2206"/>
      <c r="G2206"/>
    </row>
    <row r="2207" spans="4:7" x14ac:dyDescent="0.25">
      <c r="D2207"/>
      <c r="E2207"/>
      <c r="F2207"/>
      <c r="G2207"/>
    </row>
    <row r="2208" spans="4:7" x14ac:dyDescent="0.25">
      <c r="D2208"/>
      <c r="E2208"/>
      <c r="F2208"/>
      <c r="G2208"/>
    </row>
    <row r="2209" spans="4:7" x14ac:dyDescent="0.25">
      <c r="D2209"/>
      <c r="E2209"/>
      <c r="F2209"/>
      <c r="G2209"/>
    </row>
    <row r="2210" spans="4:7" x14ac:dyDescent="0.25">
      <c r="D2210"/>
      <c r="E2210"/>
      <c r="F2210"/>
      <c r="G2210"/>
    </row>
    <row r="2211" spans="4:7" x14ac:dyDescent="0.25">
      <c r="D2211"/>
      <c r="E2211"/>
      <c r="F2211"/>
      <c r="G2211"/>
    </row>
    <row r="2212" spans="4:7" x14ac:dyDescent="0.25">
      <c r="D2212"/>
      <c r="E2212"/>
      <c r="F2212"/>
      <c r="G2212"/>
    </row>
    <row r="2213" spans="4:7" x14ac:dyDescent="0.25">
      <c r="D2213"/>
      <c r="E2213"/>
      <c r="F2213"/>
      <c r="G2213"/>
    </row>
    <row r="2214" spans="4:7" x14ac:dyDescent="0.25">
      <c r="D2214"/>
      <c r="E2214"/>
      <c r="F2214"/>
      <c r="G2214"/>
    </row>
    <row r="2215" spans="4:7" x14ac:dyDescent="0.25">
      <c r="D2215"/>
      <c r="E2215"/>
      <c r="F2215"/>
      <c r="G2215"/>
    </row>
    <row r="2216" spans="4:7" x14ac:dyDescent="0.25">
      <c r="D2216"/>
      <c r="E2216"/>
      <c r="F2216"/>
      <c r="G2216"/>
    </row>
    <row r="2217" spans="4:7" x14ac:dyDescent="0.25">
      <c r="D2217"/>
      <c r="E2217"/>
      <c r="F2217"/>
      <c r="G2217"/>
    </row>
    <row r="2218" spans="4:7" x14ac:dyDescent="0.25">
      <c r="D2218"/>
      <c r="E2218"/>
      <c r="F2218"/>
      <c r="G2218"/>
    </row>
    <row r="2219" spans="4:7" x14ac:dyDescent="0.25">
      <c r="D2219"/>
      <c r="E2219"/>
      <c r="F2219"/>
      <c r="G2219"/>
    </row>
    <row r="2220" spans="4:7" x14ac:dyDescent="0.25">
      <c r="D2220"/>
      <c r="E2220"/>
      <c r="F2220"/>
      <c r="G2220"/>
    </row>
    <row r="2221" spans="4:7" x14ac:dyDescent="0.25">
      <c r="D2221"/>
      <c r="E2221"/>
      <c r="F2221"/>
      <c r="G2221"/>
    </row>
    <row r="2222" spans="4:7" x14ac:dyDescent="0.25">
      <c r="D2222"/>
      <c r="E2222"/>
      <c r="F2222"/>
      <c r="G2222"/>
    </row>
    <row r="2223" spans="4:7" x14ac:dyDescent="0.25">
      <c r="D2223"/>
      <c r="E2223"/>
      <c r="F2223"/>
      <c r="G2223"/>
    </row>
    <row r="2224" spans="4:7" x14ac:dyDescent="0.25">
      <c r="D2224"/>
      <c r="E2224"/>
      <c r="F2224"/>
      <c r="G2224"/>
    </row>
    <row r="2225" spans="4:7" x14ac:dyDescent="0.25">
      <c r="D2225"/>
      <c r="E2225"/>
      <c r="F2225"/>
      <c r="G2225"/>
    </row>
    <row r="2226" spans="4:7" x14ac:dyDescent="0.25">
      <c r="D2226"/>
      <c r="E2226"/>
      <c r="F2226"/>
      <c r="G2226"/>
    </row>
    <row r="2227" spans="4:7" x14ac:dyDescent="0.25">
      <c r="D2227"/>
      <c r="E2227"/>
      <c r="F2227"/>
      <c r="G2227"/>
    </row>
    <row r="2228" spans="4:7" x14ac:dyDescent="0.25">
      <c r="D2228"/>
      <c r="E2228"/>
      <c r="F2228"/>
      <c r="G2228"/>
    </row>
    <row r="2229" spans="4:7" x14ac:dyDescent="0.25">
      <c r="D2229"/>
      <c r="E2229"/>
      <c r="F2229"/>
      <c r="G2229"/>
    </row>
    <row r="2230" spans="4:7" x14ac:dyDescent="0.25">
      <c r="D2230"/>
      <c r="E2230"/>
      <c r="F2230"/>
      <c r="G2230"/>
    </row>
    <row r="2231" spans="4:7" x14ac:dyDescent="0.25">
      <c r="D2231"/>
      <c r="E2231"/>
      <c r="F2231"/>
      <c r="G2231"/>
    </row>
    <row r="2232" spans="4:7" x14ac:dyDescent="0.25">
      <c r="D2232"/>
      <c r="E2232"/>
      <c r="F2232"/>
      <c r="G2232"/>
    </row>
    <row r="2233" spans="4:7" x14ac:dyDescent="0.25">
      <c r="D2233"/>
      <c r="E2233"/>
      <c r="F2233"/>
      <c r="G2233"/>
    </row>
    <row r="2234" spans="4:7" x14ac:dyDescent="0.25">
      <c r="D2234"/>
      <c r="E2234"/>
      <c r="F2234"/>
      <c r="G2234"/>
    </row>
    <row r="2235" spans="4:7" x14ac:dyDescent="0.25">
      <c r="D2235"/>
      <c r="E2235"/>
      <c r="F2235"/>
      <c r="G2235"/>
    </row>
    <row r="2236" spans="4:7" x14ac:dyDescent="0.25">
      <c r="D2236"/>
      <c r="E2236"/>
      <c r="F2236"/>
      <c r="G2236"/>
    </row>
    <row r="2237" spans="4:7" x14ac:dyDescent="0.25">
      <c r="D2237"/>
      <c r="E2237"/>
      <c r="F2237"/>
      <c r="G2237"/>
    </row>
    <row r="2238" spans="4:7" x14ac:dyDescent="0.25">
      <c r="D2238"/>
      <c r="E2238"/>
      <c r="F2238"/>
      <c r="G2238"/>
    </row>
    <row r="2239" spans="4:7" x14ac:dyDescent="0.25">
      <c r="D2239"/>
      <c r="E2239"/>
      <c r="F2239"/>
      <c r="G2239"/>
    </row>
    <row r="2240" spans="4:7" x14ac:dyDescent="0.25">
      <c r="D2240"/>
      <c r="E2240"/>
      <c r="F2240"/>
      <c r="G2240"/>
    </row>
    <row r="2241" spans="4:7" x14ac:dyDescent="0.25">
      <c r="D2241"/>
      <c r="E2241"/>
      <c r="F2241"/>
      <c r="G2241"/>
    </row>
    <row r="2242" spans="4:7" x14ac:dyDescent="0.25">
      <c r="D2242"/>
      <c r="E2242"/>
      <c r="F2242"/>
      <c r="G2242"/>
    </row>
    <row r="2243" spans="4:7" x14ac:dyDescent="0.25">
      <c r="D2243"/>
      <c r="E2243"/>
      <c r="F2243"/>
      <c r="G2243"/>
    </row>
    <row r="2244" spans="4:7" x14ac:dyDescent="0.25">
      <c r="D2244"/>
      <c r="E2244"/>
      <c r="F2244"/>
      <c r="G2244"/>
    </row>
    <row r="2245" spans="4:7" x14ac:dyDescent="0.25">
      <c r="D2245"/>
      <c r="E2245"/>
      <c r="F2245"/>
      <c r="G2245"/>
    </row>
    <row r="2246" spans="4:7" x14ac:dyDescent="0.25">
      <c r="D2246"/>
      <c r="E2246"/>
      <c r="F2246"/>
      <c r="G2246"/>
    </row>
    <row r="2247" spans="4:7" x14ac:dyDescent="0.25">
      <c r="D2247"/>
      <c r="E2247"/>
      <c r="F2247"/>
      <c r="G2247"/>
    </row>
    <row r="2248" spans="4:7" x14ac:dyDescent="0.25">
      <c r="D2248"/>
      <c r="E2248"/>
      <c r="F2248"/>
      <c r="G2248"/>
    </row>
    <row r="2249" spans="4:7" x14ac:dyDescent="0.25">
      <c r="D2249"/>
      <c r="E2249"/>
      <c r="F2249"/>
      <c r="G2249"/>
    </row>
    <row r="2250" spans="4:7" x14ac:dyDescent="0.25">
      <c r="D2250"/>
      <c r="E2250"/>
      <c r="F2250"/>
      <c r="G2250"/>
    </row>
    <row r="2251" spans="4:7" x14ac:dyDescent="0.25">
      <c r="D2251"/>
      <c r="E2251"/>
      <c r="F2251"/>
      <c r="G2251"/>
    </row>
    <row r="2252" spans="4:7" x14ac:dyDescent="0.25">
      <c r="D2252"/>
      <c r="E2252"/>
      <c r="F2252"/>
      <c r="G2252"/>
    </row>
    <row r="2253" spans="4:7" x14ac:dyDescent="0.25">
      <c r="D2253"/>
      <c r="E2253"/>
      <c r="F2253"/>
      <c r="G2253"/>
    </row>
    <row r="2254" spans="4:7" x14ac:dyDescent="0.25">
      <c r="D2254"/>
      <c r="E2254"/>
      <c r="F2254"/>
      <c r="G2254"/>
    </row>
    <row r="2255" spans="4:7" x14ac:dyDescent="0.25">
      <c r="D2255"/>
      <c r="E2255"/>
      <c r="F2255"/>
      <c r="G2255"/>
    </row>
    <row r="2256" spans="4:7" x14ac:dyDescent="0.25">
      <c r="D2256"/>
      <c r="E2256"/>
      <c r="F2256"/>
      <c r="G2256"/>
    </row>
    <row r="2257" spans="4:7" x14ac:dyDescent="0.25">
      <c r="D2257"/>
      <c r="E2257"/>
      <c r="F2257"/>
      <c r="G2257"/>
    </row>
    <row r="2258" spans="4:7" x14ac:dyDescent="0.25">
      <c r="D2258"/>
      <c r="E2258"/>
      <c r="F2258"/>
      <c r="G2258"/>
    </row>
    <row r="2259" spans="4:7" x14ac:dyDescent="0.25">
      <c r="D2259"/>
      <c r="E2259"/>
      <c r="F2259"/>
      <c r="G2259"/>
    </row>
    <row r="2260" spans="4:7" x14ac:dyDescent="0.25">
      <c r="D2260"/>
      <c r="E2260"/>
      <c r="F2260"/>
      <c r="G2260"/>
    </row>
    <row r="2261" spans="4:7" x14ac:dyDescent="0.25">
      <c r="D2261"/>
      <c r="E2261"/>
      <c r="F2261"/>
      <c r="G2261"/>
    </row>
    <row r="2262" spans="4:7" x14ac:dyDescent="0.25">
      <c r="D2262"/>
      <c r="E2262"/>
      <c r="F2262"/>
      <c r="G2262"/>
    </row>
    <row r="2263" spans="4:7" x14ac:dyDescent="0.25">
      <c r="D2263"/>
      <c r="E2263"/>
      <c r="F2263"/>
      <c r="G2263"/>
    </row>
    <row r="2264" spans="4:7" x14ac:dyDescent="0.25">
      <c r="D2264"/>
      <c r="E2264"/>
      <c r="F2264"/>
      <c r="G2264"/>
    </row>
    <row r="2265" spans="4:7" x14ac:dyDescent="0.25">
      <c r="D2265"/>
      <c r="E2265"/>
      <c r="F2265"/>
      <c r="G2265"/>
    </row>
    <row r="2266" spans="4:7" x14ac:dyDescent="0.25">
      <c r="D2266"/>
      <c r="E2266"/>
      <c r="F2266"/>
      <c r="G2266"/>
    </row>
    <row r="2267" spans="4:7" x14ac:dyDescent="0.25">
      <c r="D2267"/>
      <c r="E2267"/>
      <c r="F2267"/>
      <c r="G2267"/>
    </row>
    <row r="2268" spans="4:7" x14ac:dyDescent="0.25">
      <c r="D2268"/>
      <c r="E2268"/>
      <c r="F2268"/>
      <c r="G2268"/>
    </row>
    <row r="2269" spans="4:7" x14ac:dyDescent="0.25">
      <c r="D2269"/>
      <c r="E2269"/>
      <c r="F2269"/>
      <c r="G2269"/>
    </row>
    <row r="2270" spans="4:7" x14ac:dyDescent="0.25">
      <c r="D2270"/>
      <c r="E2270"/>
      <c r="F2270"/>
      <c r="G2270"/>
    </row>
    <row r="2271" spans="4:7" x14ac:dyDescent="0.25">
      <c r="D2271"/>
      <c r="E2271"/>
      <c r="F2271"/>
      <c r="G2271"/>
    </row>
    <row r="2272" spans="4:7" x14ac:dyDescent="0.25">
      <c r="D2272"/>
      <c r="E2272"/>
      <c r="F2272"/>
      <c r="G2272"/>
    </row>
    <row r="2273" spans="4:7" x14ac:dyDescent="0.25">
      <c r="D2273"/>
      <c r="E2273"/>
      <c r="F2273"/>
      <c r="G2273"/>
    </row>
    <row r="2274" spans="4:7" x14ac:dyDescent="0.25">
      <c r="D2274"/>
      <c r="E2274"/>
      <c r="F2274"/>
      <c r="G2274"/>
    </row>
    <row r="2275" spans="4:7" x14ac:dyDescent="0.25">
      <c r="D2275"/>
      <c r="E2275"/>
      <c r="F2275"/>
      <c r="G2275"/>
    </row>
    <row r="2276" spans="4:7" x14ac:dyDescent="0.25">
      <c r="D2276"/>
      <c r="E2276"/>
      <c r="F2276"/>
      <c r="G2276"/>
    </row>
    <row r="2277" spans="4:7" x14ac:dyDescent="0.25">
      <c r="D2277"/>
      <c r="E2277"/>
      <c r="F2277"/>
      <c r="G2277"/>
    </row>
    <row r="2278" spans="4:7" x14ac:dyDescent="0.25">
      <c r="D2278"/>
      <c r="E2278"/>
      <c r="F2278"/>
      <c r="G2278"/>
    </row>
    <row r="2279" spans="4:7" x14ac:dyDescent="0.25">
      <c r="D2279"/>
      <c r="E2279"/>
      <c r="F2279"/>
      <c r="G2279"/>
    </row>
    <row r="2280" spans="4:7" x14ac:dyDescent="0.25">
      <c r="D2280"/>
      <c r="E2280"/>
      <c r="F2280"/>
      <c r="G2280"/>
    </row>
    <row r="2281" spans="4:7" x14ac:dyDescent="0.25">
      <c r="D2281"/>
      <c r="E2281"/>
      <c r="F2281"/>
      <c r="G2281"/>
    </row>
    <row r="2282" spans="4:7" x14ac:dyDescent="0.25">
      <c r="D2282"/>
      <c r="E2282"/>
      <c r="F2282"/>
      <c r="G2282"/>
    </row>
    <row r="2283" spans="4:7" x14ac:dyDescent="0.25">
      <c r="D2283"/>
      <c r="E2283"/>
      <c r="F2283"/>
      <c r="G2283"/>
    </row>
    <row r="2284" spans="4:7" x14ac:dyDescent="0.25">
      <c r="D2284"/>
      <c r="E2284"/>
      <c r="F2284"/>
      <c r="G2284"/>
    </row>
    <row r="2285" spans="4:7" x14ac:dyDescent="0.25">
      <c r="D2285"/>
      <c r="E2285"/>
      <c r="F2285"/>
      <c r="G2285"/>
    </row>
    <row r="2286" spans="4:7" x14ac:dyDescent="0.25">
      <c r="D2286"/>
      <c r="E2286"/>
      <c r="F2286"/>
      <c r="G2286"/>
    </row>
    <row r="2287" spans="4:7" x14ac:dyDescent="0.25">
      <c r="D2287"/>
      <c r="E2287"/>
      <c r="F2287"/>
      <c r="G2287"/>
    </row>
    <row r="2288" spans="4:7" x14ac:dyDescent="0.25">
      <c r="D2288"/>
      <c r="E2288"/>
      <c r="F2288"/>
      <c r="G2288"/>
    </row>
    <row r="2289" spans="4:7" x14ac:dyDescent="0.25">
      <c r="D2289"/>
      <c r="E2289"/>
      <c r="F2289"/>
      <c r="G2289"/>
    </row>
    <row r="2290" spans="4:7" x14ac:dyDescent="0.25">
      <c r="D2290"/>
      <c r="E2290"/>
      <c r="F2290"/>
      <c r="G2290"/>
    </row>
    <row r="2291" spans="4:7" x14ac:dyDescent="0.25">
      <c r="D2291"/>
      <c r="E2291"/>
      <c r="F2291"/>
      <c r="G2291"/>
    </row>
    <row r="2292" spans="4:7" x14ac:dyDescent="0.25">
      <c r="D2292"/>
      <c r="E2292"/>
      <c r="F2292"/>
      <c r="G2292"/>
    </row>
    <row r="2293" spans="4:7" x14ac:dyDescent="0.25">
      <c r="D2293"/>
      <c r="E2293"/>
      <c r="F2293"/>
      <c r="G2293"/>
    </row>
    <row r="2294" spans="4:7" x14ac:dyDescent="0.25">
      <c r="D2294"/>
      <c r="E2294"/>
      <c r="F2294"/>
      <c r="G2294"/>
    </row>
    <row r="2295" spans="4:7" x14ac:dyDescent="0.25">
      <c r="D2295"/>
      <c r="E2295"/>
      <c r="F2295"/>
      <c r="G2295"/>
    </row>
    <row r="2296" spans="4:7" x14ac:dyDescent="0.25">
      <c r="D2296"/>
      <c r="E2296"/>
      <c r="F2296"/>
      <c r="G2296"/>
    </row>
    <row r="2297" spans="4:7" x14ac:dyDescent="0.25">
      <c r="D2297"/>
      <c r="E2297"/>
      <c r="F2297"/>
      <c r="G2297"/>
    </row>
    <row r="2298" spans="4:7" x14ac:dyDescent="0.25">
      <c r="D2298"/>
      <c r="E2298"/>
      <c r="F2298"/>
      <c r="G2298"/>
    </row>
    <row r="2299" spans="4:7" x14ac:dyDescent="0.25">
      <c r="D2299"/>
      <c r="E2299"/>
      <c r="F2299"/>
      <c r="G2299"/>
    </row>
    <row r="2300" spans="4:7" x14ac:dyDescent="0.25">
      <c r="D2300"/>
      <c r="E2300"/>
      <c r="F2300"/>
      <c r="G2300"/>
    </row>
    <row r="2301" spans="4:7" x14ac:dyDescent="0.25">
      <c r="D2301"/>
      <c r="E2301"/>
      <c r="F2301"/>
      <c r="G2301"/>
    </row>
    <row r="2302" spans="4:7" x14ac:dyDescent="0.25">
      <c r="D2302"/>
      <c r="E2302"/>
      <c r="F2302"/>
      <c r="G2302"/>
    </row>
    <row r="2303" spans="4:7" x14ac:dyDescent="0.25">
      <c r="D2303"/>
      <c r="E2303"/>
      <c r="F2303"/>
      <c r="G2303"/>
    </row>
    <row r="2304" spans="4:7" x14ac:dyDescent="0.25">
      <c r="D2304"/>
      <c r="E2304"/>
      <c r="F2304"/>
      <c r="G2304"/>
    </row>
    <row r="2305" spans="4:7" x14ac:dyDescent="0.25">
      <c r="D2305"/>
      <c r="E2305"/>
      <c r="F2305"/>
      <c r="G2305"/>
    </row>
    <row r="2306" spans="4:7" x14ac:dyDescent="0.25">
      <c r="D2306"/>
      <c r="E2306"/>
      <c r="F2306"/>
      <c r="G2306"/>
    </row>
    <row r="2307" spans="4:7" x14ac:dyDescent="0.25">
      <c r="D2307"/>
      <c r="E2307"/>
      <c r="F2307"/>
      <c r="G2307"/>
    </row>
    <row r="2308" spans="4:7" x14ac:dyDescent="0.25">
      <c r="D2308"/>
      <c r="E2308"/>
      <c r="F2308"/>
      <c r="G2308"/>
    </row>
    <row r="2309" spans="4:7" x14ac:dyDescent="0.25">
      <c r="D2309"/>
      <c r="E2309"/>
      <c r="F2309"/>
      <c r="G2309"/>
    </row>
    <row r="2310" spans="4:7" x14ac:dyDescent="0.25">
      <c r="D2310"/>
      <c r="E2310"/>
      <c r="F2310"/>
      <c r="G2310"/>
    </row>
    <row r="2311" spans="4:7" x14ac:dyDescent="0.25">
      <c r="D2311"/>
      <c r="E2311"/>
      <c r="F2311"/>
      <c r="G2311"/>
    </row>
    <row r="2312" spans="4:7" x14ac:dyDescent="0.25">
      <c r="D2312"/>
      <c r="E2312"/>
      <c r="F2312"/>
      <c r="G2312"/>
    </row>
    <row r="2313" spans="4:7" x14ac:dyDescent="0.25">
      <c r="D2313"/>
      <c r="E2313"/>
      <c r="F2313"/>
      <c r="G2313"/>
    </row>
    <row r="2314" spans="4:7" x14ac:dyDescent="0.25">
      <c r="D2314"/>
      <c r="E2314"/>
      <c r="F2314"/>
      <c r="G2314"/>
    </row>
    <row r="2315" spans="4:7" x14ac:dyDescent="0.25">
      <c r="D2315"/>
      <c r="E2315"/>
      <c r="F2315"/>
      <c r="G2315"/>
    </row>
    <row r="2316" spans="4:7" x14ac:dyDescent="0.25">
      <c r="D2316"/>
      <c r="E2316"/>
      <c r="F2316"/>
      <c r="G2316"/>
    </row>
    <row r="2317" spans="4:7" x14ac:dyDescent="0.25">
      <c r="D2317"/>
      <c r="E2317"/>
      <c r="F2317"/>
      <c r="G2317"/>
    </row>
    <row r="2318" spans="4:7" x14ac:dyDescent="0.25">
      <c r="D2318"/>
      <c r="E2318"/>
      <c r="F2318"/>
      <c r="G2318"/>
    </row>
    <row r="2319" spans="4:7" x14ac:dyDescent="0.25">
      <c r="D2319"/>
      <c r="E2319"/>
      <c r="F2319"/>
      <c r="G2319"/>
    </row>
    <row r="2320" spans="4:7" x14ac:dyDescent="0.25">
      <c r="D2320"/>
      <c r="E2320"/>
      <c r="F2320"/>
      <c r="G2320"/>
    </row>
    <row r="2321" spans="4:7" x14ac:dyDescent="0.25">
      <c r="D2321"/>
      <c r="E2321"/>
      <c r="F2321"/>
      <c r="G2321"/>
    </row>
    <row r="2322" spans="4:7" x14ac:dyDescent="0.25">
      <c r="D2322"/>
      <c r="E2322"/>
      <c r="F2322"/>
      <c r="G2322"/>
    </row>
    <row r="2323" spans="4:7" x14ac:dyDescent="0.25">
      <c r="D2323"/>
      <c r="E2323"/>
      <c r="F2323"/>
      <c r="G2323"/>
    </row>
    <row r="2324" spans="4:7" x14ac:dyDescent="0.25">
      <c r="D2324"/>
      <c r="E2324"/>
      <c r="F2324"/>
      <c r="G2324"/>
    </row>
    <row r="2325" spans="4:7" x14ac:dyDescent="0.25">
      <c r="D2325"/>
      <c r="E2325"/>
      <c r="F2325"/>
      <c r="G2325"/>
    </row>
    <row r="2326" spans="4:7" x14ac:dyDescent="0.25">
      <c r="D2326"/>
      <c r="E2326"/>
      <c r="F2326"/>
      <c r="G2326"/>
    </row>
    <row r="2327" spans="4:7" x14ac:dyDescent="0.25">
      <c r="D2327"/>
      <c r="E2327"/>
      <c r="F2327"/>
      <c r="G2327"/>
    </row>
    <row r="2328" spans="4:7" x14ac:dyDescent="0.25">
      <c r="D2328"/>
      <c r="E2328"/>
      <c r="F2328"/>
      <c r="G2328"/>
    </row>
    <row r="2329" spans="4:7" x14ac:dyDescent="0.25">
      <c r="D2329"/>
      <c r="E2329"/>
      <c r="F2329"/>
      <c r="G2329"/>
    </row>
    <row r="2330" spans="4:7" x14ac:dyDescent="0.25">
      <c r="D2330"/>
      <c r="E2330"/>
      <c r="F2330"/>
      <c r="G2330"/>
    </row>
    <row r="2331" spans="4:7" x14ac:dyDescent="0.25">
      <c r="D2331"/>
      <c r="E2331"/>
      <c r="F2331"/>
      <c r="G2331"/>
    </row>
    <row r="2332" spans="4:7" x14ac:dyDescent="0.25">
      <c r="D2332"/>
      <c r="E2332"/>
      <c r="F2332"/>
      <c r="G2332"/>
    </row>
    <row r="2333" spans="4:7" x14ac:dyDescent="0.25">
      <c r="D2333"/>
      <c r="E2333"/>
      <c r="F2333"/>
      <c r="G2333"/>
    </row>
    <row r="2334" spans="4:7" x14ac:dyDescent="0.25">
      <c r="D2334"/>
      <c r="E2334"/>
      <c r="F2334"/>
      <c r="G2334"/>
    </row>
    <row r="2335" spans="4:7" x14ac:dyDescent="0.25">
      <c r="D2335"/>
      <c r="E2335"/>
      <c r="F2335"/>
      <c r="G2335"/>
    </row>
    <row r="2336" spans="4:7" x14ac:dyDescent="0.25">
      <c r="D2336"/>
      <c r="E2336"/>
      <c r="F2336"/>
      <c r="G2336"/>
    </row>
    <row r="2337" spans="4:7" x14ac:dyDescent="0.25">
      <c r="D2337"/>
      <c r="E2337"/>
      <c r="F2337"/>
      <c r="G2337"/>
    </row>
    <row r="2338" spans="4:7" x14ac:dyDescent="0.25">
      <c r="D2338"/>
      <c r="E2338"/>
      <c r="F2338"/>
      <c r="G2338"/>
    </row>
    <row r="2339" spans="4:7" x14ac:dyDescent="0.25">
      <c r="D2339"/>
      <c r="E2339"/>
      <c r="F2339"/>
      <c r="G2339"/>
    </row>
    <row r="2340" spans="4:7" x14ac:dyDescent="0.25">
      <c r="D2340"/>
      <c r="E2340"/>
      <c r="F2340"/>
      <c r="G2340"/>
    </row>
    <row r="2341" spans="4:7" x14ac:dyDescent="0.25">
      <c r="D2341"/>
      <c r="E2341"/>
      <c r="F2341"/>
      <c r="G2341"/>
    </row>
    <row r="2342" spans="4:7" x14ac:dyDescent="0.25">
      <c r="D2342"/>
      <c r="E2342"/>
      <c r="F2342"/>
      <c r="G2342"/>
    </row>
    <row r="2343" spans="4:7" x14ac:dyDescent="0.25">
      <c r="D2343"/>
      <c r="E2343"/>
      <c r="F2343"/>
      <c r="G2343"/>
    </row>
    <row r="2344" spans="4:7" x14ac:dyDescent="0.25">
      <c r="D2344"/>
      <c r="E2344"/>
      <c r="F2344"/>
      <c r="G2344"/>
    </row>
    <row r="2345" spans="4:7" x14ac:dyDescent="0.25">
      <c r="D2345"/>
      <c r="E2345"/>
      <c r="F2345"/>
      <c r="G2345"/>
    </row>
    <row r="2346" spans="4:7" x14ac:dyDescent="0.25">
      <c r="D2346"/>
      <c r="E2346"/>
      <c r="F2346"/>
      <c r="G2346"/>
    </row>
    <row r="2347" spans="4:7" x14ac:dyDescent="0.25">
      <c r="D2347"/>
      <c r="E2347"/>
      <c r="F2347"/>
      <c r="G2347"/>
    </row>
    <row r="2348" spans="4:7" x14ac:dyDescent="0.25">
      <c r="D2348"/>
      <c r="E2348"/>
      <c r="F2348"/>
      <c r="G2348"/>
    </row>
    <row r="2349" spans="4:7" x14ac:dyDescent="0.25">
      <c r="D2349"/>
      <c r="E2349"/>
      <c r="F2349"/>
      <c r="G2349"/>
    </row>
    <row r="2350" spans="4:7" x14ac:dyDescent="0.25">
      <c r="D2350"/>
      <c r="E2350"/>
      <c r="F2350"/>
      <c r="G2350"/>
    </row>
    <row r="2351" spans="4:7" x14ac:dyDescent="0.25">
      <c r="D2351"/>
      <c r="E2351"/>
      <c r="F2351"/>
      <c r="G2351"/>
    </row>
    <row r="2352" spans="4:7" x14ac:dyDescent="0.25">
      <c r="D2352"/>
      <c r="E2352"/>
      <c r="F2352"/>
      <c r="G2352"/>
    </row>
    <row r="2353" spans="4:7" x14ac:dyDescent="0.25">
      <c r="D2353"/>
      <c r="E2353"/>
      <c r="F2353"/>
      <c r="G2353"/>
    </row>
    <row r="2354" spans="4:7" x14ac:dyDescent="0.25">
      <c r="D2354"/>
      <c r="E2354"/>
      <c r="F2354"/>
      <c r="G2354"/>
    </row>
    <row r="2355" spans="4:7" x14ac:dyDescent="0.25">
      <c r="D2355"/>
      <c r="E2355"/>
      <c r="F2355"/>
      <c r="G2355"/>
    </row>
    <row r="2356" spans="4:7" x14ac:dyDescent="0.25">
      <c r="D2356"/>
      <c r="E2356"/>
      <c r="F2356"/>
      <c r="G2356"/>
    </row>
    <row r="2357" spans="4:7" x14ac:dyDescent="0.25">
      <c r="D2357"/>
      <c r="E2357"/>
      <c r="F2357"/>
      <c r="G2357"/>
    </row>
    <row r="2358" spans="4:7" x14ac:dyDescent="0.25">
      <c r="D2358"/>
      <c r="E2358"/>
      <c r="F2358"/>
      <c r="G2358"/>
    </row>
    <row r="2359" spans="4:7" x14ac:dyDescent="0.25">
      <c r="D2359"/>
      <c r="E2359"/>
      <c r="F2359"/>
      <c r="G2359"/>
    </row>
    <row r="2360" spans="4:7" x14ac:dyDescent="0.25">
      <c r="D2360"/>
      <c r="E2360"/>
      <c r="F2360"/>
      <c r="G2360"/>
    </row>
    <row r="2361" spans="4:7" x14ac:dyDescent="0.25">
      <c r="D2361"/>
      <c r="E2361"/>
      <c r="F2361"/>
      <c r="G2361"/>
    </row>
    <row r="2362" spans="4:7" x14ac:dyDescent="0.25">
      <c r="D2362"/>
      <c r="E2362"/>
      <c r="F2362"/>
      <c r="G2362"/>
    </row>
    <row r="2363" spans="4:7" x14ac:dyDescent="0.25">
      <c r="D2363"/>
      <c r="E2363"/>
      <c r="F2363"/>
      <c r="G2363"/>
    </row>
    <row r="2364" spans="4:7" x14ac:dyDescent="0.25">
      <c r="D2364"/>
      <c r="E2364"/>
      <c r="F2364"/>
      <c r="G2364"/>
    </row>
    <row r="2365" spans="4:7" x14ac:dyDescent="0.25">
      <c r="D2365"/>
      <c r="E2365"/>
      <c r="F2365"/>
      <c r="G2365"/>
    </row>
    <row r="2366" spans="4:7" x14ac:dyDescent="0.25">
      <c r="D2366"/>
      <c r="E2366"/>
      <c r="F2366"/>
      <c r="G2366"/>
    </row>
    <row r="2367" spans="4:7" x14ac:dyDescent="0.25">
      <c r="D2367"/>
      <c r="E2367"/>
      <c r="F2367"/>
      <c r="G2367"/>
    </row>
    <row r="2368" spans="4:7" x14ac:dyDescent="0.25">
      <c r="D2368"/>
      <c r="E2368"/>
      <c r="F2368"/>
      <c r="G2368"/>
    </row>
    <row r="2369" spans="4:7" x14ac:dyDescent="0.25">
      <c r="D2369"/>
      <c r="E2369"/>
      <c r="F2369"/>
      <c r="G2369"/>
    </row>
    <row r="2370" spans="4:7" x14ac:dyDescent="0.25">
      <c r="D2370"/>
      <c r="E2370"/>
      <c r="F2370"/>
      <c r="G2370"/>
    </row>
    <row r="2371" spans="4:7" x14ac:dyDescent="0.25">
      <c r="D2371"/>
      <c r="E2371"/>
      <c r="F2371"/>
      <c r="G2371"/>
    </row>
    <row r="2372" spans="4:7" x14ac:dyDescent="0.25">
      <c r="D2372"/>
      <c r="E2372"/>
      <c r="F2372"/>
      <c r="G2372"/>
    </row>
    <row r="2373" spans="4:7" x14ac:dyDescent="0.25">
      <c r="D2373"/>
      <c r="E2373"/>
      <c r="F2373"/>
      <c r="G2373"/>
    </row>
    <row r="2374" spans="4:7" x14ac:dyDescent="0.25">
      <c r="D2374"/>
      <c r="E2374"/>
      <c r="F2374"/>
      <c r="G2374"/>
    </row>
    <row r="2375" spans="4:7" x14ac:dyDescent="0.25">
      <c r="D2375"/>
      <c r="E2375"/>
      <c r="F2375"/>
      <c r="G2375"/>
    </row>
    <row r="2376" spans="4:7" x14ac:dyDescent="0.25">
      <c r="D2376"/>
      <c r="E2376"/>
      <c r="F2376"/>
      <c r="G2376"/>
    </row>
    <row r="2377" spans="4:7" x14ac:dyDescent="0.25">
      <c r="D2377"/>
      <c r="E2377"/>
      <c r="F2377"/>
      <c r="G2377"/>
    </row>
    <row r="2378" spans="4:7" x14ac:dyDescent="0.25">
      <c r="D2378"/>
      <c r="E2378"/>
      <c r="F2378"/>
      <c r="G2378"/>
    </row>
    <row r="2379" spans="4:7" x14ac:dyDescent="0.25">
      <c r="D2379"/>
      <c r="E2379"/>
      <c r="F2379"/>
      <c r="G2379"/>
    </row>
    <row r="2380" spans="4:7" x14ac:dyDescent="0.25">
      <c r="D2380"/>
      <c r="E2380"/>
      <c r="F2380"/>
      <c r="G2380"/>
    </row>
    <row r="2381" spans="4:7" x14ac:dyDescent="0.25">
      <c r="D2381"/>
      <c r="E2381"/>
      <c r="F2381"/>
      <c r="G2381"/>
    </row>
    <row r="2382" spans="4:7" x14ac:dyDescent="0.25">
      <c r="D2382"/>
      <c r="E2382"/>
      <c r="F2382"/>
      <c r="G2382"/>
    </row>
    <row r="2383" spans="4:7" x14ac:dyDescent="0.25">
      <c r="D2383"/>
      <c r="E2383"/>
      <c r="F2383"/>
      <c r="G2383"/>
    </row>
    <row r="2384" spans="4:7" x14ac:dyDescent="0.25">
      <c r="D2384"/>
      <c r="E2384"/>
      <c r="F2384"/>
      <c r="G2384"/>
    </row>
    <row r="2385" spans="4:7" x14ac:dyDescent="0.25">
      <c r="D2385"/>
      <c r="E2385"/>
      <c r="F2385"/>
      <c r="G2385"/>
    </row>
    <row r="2386" spans="4:7" x14ac:dyDescent="0.25">
      <c r="D2386"/>
      <c r="E2386"/>
      <c r="F2386"/>
      <c r="G2386"/>
    </row>
    <row r="2387" spans="4:7" x14ac:dyDescent="0.25">
      <c r="D2387"/>
      <c r="E2387"/>
      <c r="F2387"/>
      <c r="G2387"/>
    </row>
    <row r="2388" spans="4:7" x14ac:dyDescent="0.25">
      <c r="D2388"/>
      <c r="E2388"/>
      <c r="F2388"/>
      <c r="G2388"/>
    </row>
    <row r="2389" spans="4:7" x14ac:dyDescent="0.25">
      <c r="D2389"/>
      <c r="E2389"/>
      <c r="F2389"/>
      <c r="G2389"/>
    </row>
    <row r="2390" spans="4:7" x14ac:dyDescent="0.25">
      <c r="D2390"/>
      <c r="E2390"/>
      <c r="F2390"/>
      <c r="G2390"/>
    </row>
    <row r="2391" spans="4:7" x14ac:dyDescent="0.25">
      <c r="D2391"/>
      <c r="E2391"/>
      <c r="F2391"/>
      <c r="G2391"/>
    </row>
    <row r="2392" spans="4:7" x14ac:dyDescent="0.25">
      <c r="D2392"/>
      <c r="E2392"/>
      <c r="F2392"/>
      <c r="G2392"/>
    </row>
    <row r="2393" spans="4:7" x14ac:dyDescent="0.25">
      <c r="D2393"/>
      <c r="E2393"/>
      <c r="F2393"/>
      <c r="G2393"/>
    </row>
    <row r="2394" spans="4:7" x14ac:dyDescent="0.25">
      <c r="D2394"/>
      <c r="E2394"/>
      <c r="F2394"/>
      <c r="G2394"/>
    </row>
    <row r="2395" spans="4:7" x14ac:dyDescent="0.25">
      <c r="D2395"/>
      <c r="E2395"/>
      <c r="F2395"/>
      <c r="G2395"/>
    </row>
    <row r="2396" spans="4:7" x14ac:dyDescent="0.25">
      <c r="D2396"/>
      <c r="E2396"/>
      <c r="F2396"/>
      <c r="G2396"/>
    </row>
    <row r="2397" spans="4:7" x14ac:dyDescent="0.25">
      <c r="D2397"/>
      <c r="E2397"/>
      <c r="F2397"/>
      <c r="G2397"/>
    </row>
    <row r="2398" spans="4:7" x14ac:dyDescent="0.25">
      <c r="D2398"/>
      <c r="E2398"/>
      <c r="F2398"/>
      <c r="G2398"/>
    </row>
    <row r="2399" spans="4:7" x14ac:dyDescent="0.25">
      <c r="D2399"/>
      <c r="E2399"/>
      <c r="F2399"/>
      <c r="G2399"/>
    </row>
    <row r="2400" spans="4:7" x14ac:dyDescent="0.25">
      <c r="D2400"/>
      <c r="E2400"/>
      <c r="F2400"/>
      <c r="G2400"/>
    </row>
    <row r="2401" spans="4:7" x14ac:dyDescent="0.25">
      <c r="D2401"/>
      <c r="E2401"/>
      <c r="F2401"/>
      <c r="G2401"/>
    </row>
    <row r="2402" spans="4:7" x14ac:dyDescent="0.25">
      <c r="D2402"/>
      <c r="E2402"/>
      <c r="F2402"/>
      <c r="G2402"/>
    </row>
    <row r="2403" spans="4:7" x14ac:dyDescent="0.25">
      <c r="D2403"/>
      <c r="E2403"/>
      <c r="F2403"/>
      <c r="G2403"/>
    </row>
    <row r="2404" spans="4:7" x14ac:dyDescent="0.25">
      <c r="D2404"/>
      <c r="E2404"/>
      <c r="F2404"/>
      <c r="G2404"/>
    </row>
    <row r="2405" spans="4:7" x14ac:dyDescent="0.25">
      <c r="D2405"/>
      <c r="E2405"/>
      <c r="F2405"/>
      <c r="G2405"/>
    </row>
    <row r="2406" spans="4:7" x14ac:dyDescent="0.25">
      <c r="D2406"/>
      <c r="E2406"/>
      <c r="F2406"/>
      <c r="G2406"/>
    </row>
    <row r="2407" spans="4:7" x14ac:dyDescent="0.25">
      <c r="D2407"/>
      <c r="E2407"/>
      <c r="F2407"/>
      <c r="G2407"/>
    </row>
    <row r="2408" spans="4:7" x14ac:dyDescent="0.25">
      <c r="D2408"/>
      <c r="E2408"/>
      <c r="F2408"/>
      <c r="G2408"/>
    </row>
    <row r="2409" spans="4:7" x14ac:dyDescent="0.25">
      <c r="D2409"/>
      <c r="E2409"/>
      <c r="F2409"/>
      <c r="G2409"/>
    </row>
    <row r="2410" spans="4:7" x14ac:dyDescent="0.25">
      <c r="D2410"/>
      <c r="E2410"/>
      <c r="F2410"/>
      <c r="G2410"/>
    </row>
    <row r="2411" spans="4:7" x14ac:dyDescent="0.25">
      <c r="D2411"/>
      <c r="E2411"/>
      <c r="F2411"/>
      <c r="G2411"/>
    </row>
    <row r="2412" spans="4:7" x14ac:dyDescent="0.25">
      <c r="D2412"/>
      <c r="E2412"/>
      <c r="F2412"/>
      <c r="G2412"/>
    </row>
    <row r="2413" spans="4:7" x14ac:dyDescent="0.25">
      <c r="D2413"/>
      <c r="E2413"/>
      <c r="F2413"/>
      <c r="G2413"/>
    </row>
    <row r="2414" spans="4:7" x14ac:dyDescent="0.25">
      <c r="D2414"/>
      <c r="E2414"/>
      <c r="F2414"/>
      <c r="G2414"/>
    </row>
    <row r="2415" spans="4:7" x14ac:dyDescent="0.25">
      <c r="D2415"/>
      <c r="E2415"/>
      <c r="F2415"/>
      <c r="G2415"/>
    </row>
    <row r="2416" spans="4:7" x14ac:dyDescent="0.25">
      <c r="D2416"/>
      <c r="E2416"/>
      <c r="F2416"/>
      <c r="G2416"/>
    </row>
    <row r="2417" spans="4:7" x14ac:dyDescent="0.25">
      <c r="D2417"/>
      <c r="E2417"/>
      <c r="F2417"/>
      <c r="G2417"/>
    </row>
    <row r="2418" spans="4:7" x14ac:dyDescent="0.25">
      <c r="D2418"/>
      <c r="E2418"/>
      <c r="F2418"/>
      <c r="G2418"/>
    </row>
    <row r="2419" spans="4:7" x14ac:dyDescent="0.25">
      <c r="D2419"/>
      <c r="E2419"/>
      <c r="F2419"/>
      <c r="G2419"/>
    </row>
    <row r="2420" spans="4:7" x14ac:dyDescent="0.25">
      <c r="D2420"/>
      <c r="E2420"/>
      <c r="F2420"/>
      <c r="G2420"/>
    </row>
    <row r="2421" spans="4:7" x14ac:dyDescent="0.25">
      <c r="D2421"/>
      <c r="E2421"/>
      <c r="F2421"/>
      <c r="G2421"/>
    </row>
    <row r="2422" spans="4:7" x14ac:dyDescent="0.25">
      <c r="D2422"/>
      <c r="E2422"/>
      <c r="F2422"/>
      <c r="G2422"/>
    </row>
    <row r="2423" spans="4:7" x14ac:dyDescent="0.25">
      <c r="D2423"/>
      <c r="E2423"/>
      <c r="F2423"/>
      <c r="G2423"/>
    </row>
    <row r="2424" spans="4:7" x14ac:dyDescent="0.25">
      <c r="D2424"/>
      <c r="E2424"/>
      <c r="F2424"/>
      <c r="G2424"/>
    </row>
    <row r="2425" spans="4:7" x14ac:dyDescent="0.25">
      <c r="D2425"/>
      <c r="E2425"/>
      <c r="F2425"/>
      <c r="G2425"/>
    </row>
    <row r="2426" spans="4:7" x14ac:dyDescent="0.25">
      <c r="D2426"/>
      <c r="E2426"/>
      <c r="F2426"/>
      <c r="G2426"/>
    </row>
    <row r="2427" spans="4:7" x14ac:dyDescent="0.25">
      <c r="D2427"/>
      <c r="E2427"/>
      <c r="F2427"/>
      <c r="G2427"/>
    </row>
    <row r="2428" spans="4:7" x14ac:dyDescent="0.25">
      <c r="D2428"/>
      <c r="E2428"/>
      <c r="F2428"/>
      <c r="G2428"/>
    </row>
    <row r="2429" spans="4:7" x14ac:dyDescent="0.25">
      <c r="D2429"/>
      <c r="E2429"/>
      <c r="F2429"/>
      <c r="G2429"/>
    </row>
    <row r="2430" spans="4:7" x14ac:dyDescent="0.25">
      <c r="D2430"/>
      <c r="E2430"/>
      <c r="F2430"/>
      <c r="G2430"/>
    </row>
    <row r="2431" spans="4:7" x14ac:dyDescent="0.25">
      <c r="D2431"/>
      <c r="E2431"/>
      <c r="F2431"/>
      <c r="G2431"/>
    </row>
    <row r="2432" spans="4:7" x14ac:dyDescent="0.25">
      <c r="D2432"/>
      <c r="E2432"/>
      <c r="F2432"/>
      <c r="G2432"/>
    </row>
    <row r="2433" spans="4:7" x14ac:dyDescent="0.25">
      <c r="D2433"/>
      <c r="E2433"/>
      <c r="F2433"/>
      <c r="G2433"/>
    </row>
    <row r="2434" spans="4:7" x14ac:dyDescent="0.25">
      <c r="D2434"/>
      <c r="E2434"/>
      <c r="F2434"/>
      <c r="G2434"/>
    </row>
    <row r="2435" spans="4:7" x14ac:dyDescent="0.25">
      <c r="D2435"/>
      <c r="E2435"/>
      <c r="F2435"/>
      <c r="G2435"/>
    </row>
    <row r="2436" spans="4:7" x14ac:dyDescent="0.25">
      <c r="D2436"/>
      <c r="E2436"/>
      <c r="F2436"/>
      <c r="G2436"/>
    </row>
    <row r="2437" spans="4:7" x14ac:dyDescent="0.25">
      <c r="D2437"/>
      <c r="E2437"/>
      <c r="F2437"/>
      <c r="G2437"/>
    </row>
    <row r="2438" spans="4:7" x14ac:dyDescent="0.25">
      <c r="D2438"/>
      <c r="E2438"/>
      <c r="F2438"/>
      <c r="G2438"/>
    </row>
    <row r="2439" spans="4:7" x14ac:dyDescent="0.25">
      <c r="D2439"/>
      <c r="E2439"/>
      <c r="F2439"/>
      <c r="G2439"/>
    </row>
    <row r="2440" spans="4:7" x14ac:dyDescent="0.25">
      <c r="D2440"/>
      <c r="E2440"/>
      <c r="F2440"/>
      <c r="G2440"/>
    </row>
    <row r="2441" spans="4:7" x14ac:dyDescent="0.25">
      <c r="D2441"/>
      <c r="E2441"/>
      <c r="F2441"/>
      <c r="G2441"/>
    </row>
    <row r="2442" spans="4:7" x14ac:dyDescent="0.25">
      <c r="D2442"/>
      <c r="E2442"/>
      <c r="F2442"/>
      <c r="G2442"/>
    </row>
    <row r="2443" spans="4:7" x14ac:dyDescent="0.25">
      <c r="D2443"/>
      <c r="E2443"/>
      <c r="F2443"/>
      <c r="G2443"/>
    </row>
    <row r="2444" spans="4:7" x14ac:dyDescent="0.25">
      <c r="D2444"/>
      <c r="E2444"/>
      <c r="F2444"/>
      <c r="G2444"/>
    </row>
    <row r="2445" spans="4:7" x14ac:dyDescent="0.25">
      <c r="D2445"/>
      <c r="E2445"/>
      <c r="F2445"/>
      <c r="G2445"/>
    </row>
    <row r="2446" spans="4:7" x14ac:dyDescent="0.25">
      <c r="D2446"/>
      <c r="E2446"/>
      <c r="F2446"/>
      <c r="G2446"/>
    </row>
    <row r="2447" spans="4:7" x14ac:dyDescent="0.25">
      <c r="D2447"/>
      <c r="E2447"/>
      <c r="F2447"/>
      <c r="G2447"/>
    </row>
    <row r="2448" spans="4:7" x14ac:dyDescent="0.25">
      <c r="D2448"/>
      <c r="E2448"/>
      <c r="F2448"/>
      <c r="G2448"/>
    </row>
    <row r="2449" spans="4:7" x14ac:dyDescent="0.25">
      <c r="D2449"/>
      <c r="E2449"/>
      <c r="F2449"/>
      <c r="G2449"/>
    </row>
    <row r="2450" spans="4:7" x14ac:dyDescent="0.25">
      <c r="D2450"/>
      <c r="E2450"/>
      <c r="F2450"/>
      <c r="G2450"/>
    </row>
    <row r="2451" spans="4:7" x14ac:dyDescent="0.25">
      <c r="D2451"/>
      <c r="E2451"/>
      <c r="F2451"/>
      <c r="G2451"/>
    </row>
    <row r="2452" spans="4:7" x14ac:dyDescent="0.25">
      <c r="D2452"/>
      <c r="E2452"/>
      <c r="F2452"/>
      <c r="G2452"/>
    </row>
    <row r="2453" spans="4:7" x14ac:dyDescent="0.25">
      <c r="D2453"/>
      <c r="E2453"/>
      <c r="F2453"/>
      <c r="G2453"/>
    </row>
    <row r="2454" spans="4:7" x14ac:dyDescent="0.25">
      <c r="D2454"/>
      <c r="E2454"/>
      <c r="F2454"/>
      <c r="G2454"/>
    </row>
    <row r="2455" spans="4:7" x14ac:dyDescent="0.25">
      <c r="D2455"/>
      <c r="E2455"/>
      <c r="F2455"/>
      <c r="G2455"/>
    </row>
    <row r="2456" spans="4:7" x14ac:dyDescent="0.25">
      <c r="D2456"/>
      <c r="E2456"/>
      <c r="F2456"/>
      <c r="G2456"/>
    </row>
    <row r="2457" spans="4:7" x14ac:dyDescent="0.25">
      <c r="D2457"/>
      <c r="E2457"/>
      <c r="F2457"/>
      <c r="G2457"/>
    </row>
    <row r="2458" spans="4:7" x14ac:dyDescent="0.25">
      <c r="D2458"/>
      <c r="E2458"/>
      <c r="F2458"/>
      <c r="G2458"/>
    </row>
    <row r="2459" spans="4:7" x14ac:dyDescent="0.25">
      <c r="D2459"/>
      <c r="E2459"/>
      <c r="F2459"/>
      <c r="G2459"/>
    </row>
    <row r="2460" spans="4:7" x14ac:dyDescent="0.25">
      <c r="D2460"/>
      <c r="E2460"/>
      <c r="F2460"/>
      <c r="G2460"/>
    </row>
    <row r="2461" spans="4:7" x14ac:dyDescent="0.25">
      <c r="D2461"/>
      <c r="E2461"/>
      <c r="F2461"/>
      <c r="G2461"/>
    </row>
    <row r="2462" spans="4:7" x14ac:dyDescent="0.25">
      <c r="D2462"/>
      <c r="E2462"/>
      <c r="F2462"/>
      <c r="G2462"/>
    </row>
    <row r="2463" spans="4:7" x14ac:dyDescent="0.25">
      <c r="D2463"/>
      <c r="E2463"/>
      <c r="F2463"/>
      <c r="G2463"/>
    </row>
    <row r="2464" spans="4:7" x14ac:dyDescent="0.25">
      <c r="D2464"/>
      <c r="E2464"/>
      <c r="F2464"/>
      <c r="G2464"/>
    </row>
    <row r="2465" spans="4:7" x14ac:dyDescent="0.25">
      <c r="D2465"/>
      <c r="E2465"/>
      <c r="F2465"/>
      <c r="G2465"/>
    </row>
    <row r="2466" spans="4:7" x14ac:dyDescent="0.25">
      <c r="D2466"/>
      <c r="E2466"/>
      <c r="F2466"/>
      <c r="G2466"/>
    </row>
    <row r="2467" spans="4:7" x14ac:dyDescent="0.25">
      <c r="D2467"/>
      <c r="E2467"/>
      <c r="F2467"/>
      <c r="G2467"/>
    </row>
    <row r="2468" spans="4:7" x14ac:dyDescent="0.25">
      <c r="D2468"/>
      <c r="E2468"/>
      <c r="F2468"/>
      <c r="G2468"/>
    </row>
    <row r="2469" spans="4:7" x14ac:dyDescent="0.25">
      <c r="D2469"/>
      <c r="E2469"/>
      <c r="F2469"/>
      <c r="G2469"/>
    </row>
    <row r="2470" spans="4:7" x14ac:dyDescent="0.25">
      <c r="D2470"/>
      <c r="E2470"/>
      <c r="F2470"/>
      <c r="G2470"/>
    </row>
    <row r="2471" spans="4:7" x14ac:dyDescent="0.25">
      <c r="D2471"/>
      <c r="E2471"/>
      <c r="F2471"/>
      <c r="G2471"/>
    </row>
    <row r="2472" spans="4:7" x14ac:dyDescent="0.25">
      <c r="D2472"/>
      <c r="E2472"/>
      <c r="F2472"/>
      <c r="G2472"/>
    </row>
    <row r="2473" spans="4:7" x14ac:dyDescent="0.25">
      <c r="D2473"/>
      <c r="E2473"/>
      <c r="F2473"/>
      <c r="G2473"/>
    </row>
    <row r="2474" spans="4:7" x14ac:dyDescent="0.25">
      <c r="D2474"/>
      <c r="E2474"/>
      <c r="F2474"/>
      <c r="G2474"/>
    </row>
    <row r="2475" spans="4:7" x14ac:dyDescent="0.25">
      <c r="D2475"/>
      <c r="E2475"/>
      <c r="F2475"/>
      <c r="G2475"/>
    </row>
    <row r="2476" spans="4:7" x14ac:dyDescent="0.25">
      <c r="D2476"/>
      <c r="E2476"/>
      <c r="F2476"/>
      <c r="G2476"/>
    </row>
    <row r="2477" spans="4:7" x14ac:dyDescent="0.25">
      <c r="D2477"/>
      <c r="E2477"/>
      <c r="F2477"/>
      <c r="G2477"/>
    </row>
    <row r="2478" spans="4:7" x14ac:dyDescent="0.25">
      <c r="D2478"/>
      <c r="E2478"/>
      <c r="F2478"/>
      <c r="G2478"/>
    </row>
    <row r="2479" spans="4:7" x14ac:dyDescent="0.25">
      <c r="D2479"/>
      <c r="E2479"/>
      <c r="F2479"/>
      <c r="G2479"/>
    </row>
    <row r="2480" spans="4:7" x14ac:dyDescent="0.25">
      <c r="D2480"/>
      <c r="E2480"/>
      <c r="F2480"/>
      <c r="G2480"/>
    </row>
    <row r="2481" spans="4:7" x14ac:dyDescent="0.25">
      <c r="D2481"/>
      <c r="E2481"/>
      <c r="F2481"/>
      <c r="G2481"/>
    </row>
    <row r="2482" spans="4:7" x14ac:dyDescent="0.25">
      <c r="D2482"/>
      <c r="E2482"/>
      <c r="F2482"/>
      <c r="G2482"/>
    </row>
    <row r="2483" spans="4:7" x14ac:dyDescent="0.25">
      <c r="D2483"/>
      <c r="E2483"/>
      <c r="F2483"/>
      <c r="G2483"/>
    </row>
    <row r="2484" spans="4:7" x14ac:dyDescent="0.25">
      <c r="D2484"/>
      <c r="E2484"/>
      <c r="F2484"/>
      <c r="G2484"/>
    </row>
    <row r="2485" spans="4:7" x14ac:dyDescent="0.25">
      <c r="D2485"/>
      <c r="E2485"/>
      <c r="F2485"/>
      <c r="G2485"/>
    </row>
    <row r="2486" spans="4:7" x14ac:dyDescent="0.25">
      <c r="D2486"/>
      <c r="E2486"/>
      <c r="F2486"/>
      <c r="G2486"/>
    </row>
    <row r="2487" spans="4:7" x14ac:dyDescent="0.25">
      <c r="D2487"/>
      <c r="E2487"/>
      <c r="F2487"/>
      <c r="G2487"/>
    </row>
    <row r="2488" spans="4:7" x14ac:dyDescent="0.25">
      <c r="D2488"/>
      <c r="E2488"/>
      <c r="F2488"/>
      <c r="G2488"/>
    </row>
    <row r="2489" spans="4:7" x14ac:dyDescent="0.25">
      <c r="D2489"/>
      <c r="E2489"/>
      <c r="F2489"/>
      <c r="G2489"/>
    </row>
    <row r="2490" spans="4:7" x14ac:dyDescent="0.25">
      <c r="D2490"/>
      <c r="E2490"/>
      <c r="F2490"/>
      <c r="G2490"/>
    </row>
    <row r="2491" spans="4:7" x14ac:dyDescent="0.25">
      <c r="D2491"/>
      <c r="E2491"/>
      <c r="F2491"/>
      <c r="G2491"/>
    </row>
    <row r="2492" spans="4:7" x14ac:dyDescent="0.25">
      <c r="D2492"/>
      <c r="E2492"/>
      <c r="F2492"/>
      <c r="G2492"/>
    </row>
    <row r="2493" spans="4:7" x14ac:dyDescent="0.25">
      <c r="D2493"/>
      <c r="E2493"/>
      <c r="F2493"/>
      <c r="G2493"/>
    </row>
    <row r="2494" spans="4:7" x14ac:dyDescent="0.25">
      <c r="D2494"/>
      <c r="E2494"/>
      <c r="F2494"/>
      <c r="G2494"/>
    </row>
    <row r="2495" spans="4:7" x14ac:dyDescent="0.25">
      <c r="D2495"/>
      <c r="E2495"/>
      <c r="F2495"/>
      <c r="G2495"/>
    </row>
    <row r="2496" spans="4:7" x14ac:dyDescent="0.25">
      <c r="D2496"/>
      <c r="E2496"/>
      <c r="F2496"/>
      <c r="G2496"/>
    </row>
    <row r="2497" spans="4:7" x14ac:dyDescent="0.25">
      <c r="D2497"/>
      <c r="E2497"/>
      <c r="F2497"/>
      <c r="G2497"/>
    </row>
    <row r="2498" spans="4:7" x14ac:dyDescent="0.25">
      <c r="D2498"/>
      <c r="E2498"/>
      <c r="F2498"/>
      <c r="G2498"/>
    </row>
    <row r="2499" spans="4:7" x14ac:dyDescent="0.25">
      <c r="D2499"/>
      <c r="E2499"/>
      <c r="F2499"/>
      <c r="G2499"/>
    </row>
    <row r="2500" spans="4:7" x14ac:dyDescent="0.25">
      <c r="D2500"/>
      <c r="E2500"/>
      <c r="F2500"/>
      <c r="G2500"/>
    </row>
    <row r="2501" spans="4:7" x14ac:dyDescent="0.25">
      <c r="D2501"/>
      <c r="E2501"/>
      <c r="F2501"/>
      <c r="G2501"/>
    </row>
    <row r="2502" spans="4:7" x14ac:dyDescent="0.25">
      <c r="D2502"/>
      <c r="E2502"/>
      <c r="F2502"/>
      <c r="G2502"/>
    </row>
    <row r="2503" spans="4:7" x14ac:dyDescent="0.25">
      <c r="D2503"/>
      <c r="E2503"/>
      <c r="F2503"/>
      <c r="G2503"/>
    </row>
    <row r="2504" spans="4:7" x14ac:dyDescent="0.25">
      <c r="D2504"/>
      <c r="E2504"/>
      <c r="F2504"/>
      <c r="G2504"/>
    </row>
    <row r="2505" spans="4:7" x14ac:dyDescent="0.25">
      <c r="D2505"/>
      <c r="E2505"/>
      <c r="F2505"/>
      <c r="G2505"/>
    </row>
    <row r="2506" spans="4:7" x14ac:dyDescent="0.25">
      <c r="D2506"/>
      <c r="E2506"/>
      <c r="F2506"/>
      <c r="G2506"/>
    </row>
    <row r="2507" spans="4:7" x14ac:dyDescent="0.25">
      <c r="D2507"/>
      <c r="E2507"/>
      <c r="F2507"/>
      <c r="G2507"/>
    </row>
    <row r="2508" spans="4:7" x14ac:dyDescent="0.25">
      <c r="D2508"/>
      <c r="E2508"/>
      <c r="F2508"/>
      <c r="G2508"/>
    </row>
    <row r="2509" spans="4:7" x14ac:dyDescent="0.25">
      <c r="D2509"/>
      <c r="E2509"/>
      <c r="F2509"/>
      <c r="G2509"/>
    </row>
    <row r="2510" spans="4:7" x14ac:dyDescent="0.25">
      <c r="D2510"/>
      <c r="E2510"/>
      <c r="F2510"/>
      <c r="G2510"/>
    </row>
    <row r="2511" spans="4:7" x14ac:dyDescent="0.25">
      <c r="D2511"/>
      <c r="E2511"/>
      <c r="F2511"/>
      <c r="G2511"/>
    </row>
    <row r="2512" spans="4:7" x14ac:dyDescent="0.25">
      <c r="D2512"/>
      <c r="E2512"/>
      <c r="F2512"/>
      <c r="G2512"/>
    </row>
    <row r="2513" spans="4:7" x14ac:dyDescent="0.25">
      <c r="D2513"/>
      <c r="E2513"/>
      <c r="F2513"/>
      <c r="G2513"/>
    </row>
    <row r="2514" spans="4:7" x14ac:dyDescent="0.25">
      <c r="D2514"/>
      <c r="E2514"/>
      <c r="F2514"/>
      <c r="G2514"/>
    </row>
    <row r="2515" spans="4:7" x14ac:dyDescent="0.25">
      <c r="D2515"/>
      <c r="E2515"/>
      <c r="F2515"/>
      <c r="G2515"/>
    </row>
    <row r="2516" spans="4:7" x14ac:dyDescent="0.25">
      <c r="D2516"/>
      <c r="E2516"/>
      <c r="F2516"/>
      <c r="G2516"/>
    </row>
    <row r="2517" spans="4:7" x14ac:dyDescent="0.25">
      <c r="D2517"/>
      <c r="E2517"/>
      <c r="F2517"/>
      <c r="G2517"/>
    </row>
    <row r="2518" spans="4:7" x14ac:dyDescent="0.25">
      <c r="D2518"/>
      <c r="E2518"/>
      <c r="F2518"/>
      <c r="G2518"/>
    </row>
    <row r="2519" spans="4:7" x14ac:dyDescent="0.25">
      <c r="D2519"/>
      <c r="E2519"/>
      <c r="F2519"/>
      <c r="G2519"/>
    </row>
    <row r="2520" spans="4:7" x14ac:dyDescent="0.25">
      <c r="D2520"/>
      <c r="E2520"/>
      <c r="F2520"/>
      <c r="G2520"/>
    </row>
    <row r="2521" spans="4:7" x14ac:dyDescent="0.25">
      <c r="D2521"/>
      <c r="E2521"/>
      <c r="F2521"/>
      <c r="G2521"/>
    </row>
    <row r="2522" spans="4:7" x14ac:dyDescent="0.25">
      <c r="D2522"/>
      <c r="E2522"/>
      <c r="F2522"/>
      <c r="G2522"/>
    </row>
    <row r="2523" spans="4:7" x14ac:dyDescent="0.25">
      <c r="D2523"/>
      <c r="E2523"/>
      <c r="F2523"/>
      <c r="G2523"/>
    </row>
    <row r="2524" spans="4:7" x14ac:dyDescent="0.25">
      <c r="D2524"/>
      <c r="E2524"/>
      <c r="F2524"/>
      <c r="G2524"/>
    </row>
    <row r="2525" spans="4:7" x14ac:dyDescent="0.25">
      <c r="D2525"/>
      <c r="E2525"/>
      <c r="F2525"/>
      <c r="G2525"/>
    </row>
    <row r="2526" spans="4:7" x14ac:dyDescent="0.25">
      <c r="D2526"/>
      <c r="E2526"/>
      <c r="F2526"/>
      <c r="G2526"/>
    </row>
    <row r="2527" spans="4:7" x14ac:dyDescent="0.25">
      <c r="D2527"/>
      <c r="E2527"/>
      <c r="F2527"/>
      <c r="G2527"/>
    </row>
    <row r="2528" spans="4:7" x14ac:dyDescent="0.25">
      <c r="D2528"/>
      <c r="E2528"/>
      <c r="F2528"/>
      <c r="G2528"/>
    </row>
    <row r="2529" spans="4:7" x14ac:dyDescent="0.25">
      <c r="D2529"/>
      <c r="E2529"/>
      <c r="F2529"/>
      <c r="G2529"/>
    </row>
    <row r="2530" spans="4:7" x14ac:dyDescent="0.25">
      <c r="D2530"/>
      <c r="E2530"/>
      <c r="F2530"/>
      <c r="G2530"/>
    </row>
    <row r="2531" spans="4:7" x14ac:dyDescent="0.25">
      <c r="D2531"/>
      <c r="E2531"/>
      <c r="F2531"/>
      <c r="G2531"/>
    </row>
    <row r="2532" spans="4:7" x14ac:dyDescent="0.25">
      <c r="D2532"/>
      <c r="E2532"/>
      <c r="F2532"/>
      <c r="G2532"/>
    </row>
    <row r="2533" spans="4:7" x14ac:dyDescent="0.25">
      <c r="D2533"/>
      <c r="E2533"/>
      <c r="F2533"/>
      <c r="G2533"/>
    </row>
    <row r="2534" spans="4:7" x14ac:dyDescent="0.25">
      <c r="D2534"/>
      <c r="E2534"/>
      <c r="F2534"/>
      <c r="G2534"/>
    </row>
    <row r="2535" spans="4:7" x14ac:dyDescent="0.25">
      <c r="D2535"/>
      <c r="E2535"/>
      <c r="F2535"/>
      <c r="G2535"/>
    </row>
    <row r="2536" spans="4:7" x14ac:dyDescent="0.25">
      <c r="D2536"/>
      <c r="E2536"/>
      <c r="F2536"/>
      <c r="G2536"/>
    </row>
    <row r="2537" spans="4:7" x14ac:dyDescent="0.25">
      <c r="D2537"/>
      <c r="E2537"/>
      <c r="F2537"/>
      <c r="G2537"/>
    </row>
    <row r="2538" spans="4:7" x14ac:dyDescent="0.25">
      <c r="D2538"/>
      <c r="E2538"/>
      <c r="F2538"/>
      <c r="G2538"/>
    </row>
    <row r="2539" spans="4:7" x14ac:dyDescent="0.25">
      <c r="D2539"/>
      <c r="E2539"/>
      <c r="F2539"/>
      <c r="G2539"/>
    </row>
    <row r="2540" spans="4:7" x14ac:dyDescent="0.25">
      <c r="D2540"/>
      <c r="E2540"/>
      <c r="F2540"/>
      <c r="G2540"/>
    </row>
    <row r="2541" spans="4:7" x14ac:dyDescent="0.25">
      <c r="D2541"/>
      <c r="E2541"/>
      <c r="F2541"/>
      <c r="G2541"/>
    </row>
    <row r="2542" spans="4:7" x14ac:dyDescent="0.25">
      <c r="D2542"/>
      <c r="E2542"/>
      <c r="F2542"/>
      <c r="G2542"/>
    </row>
    <row r="2543" spans="4:7" x14ac:dyDescent="0.25">
      <c r="D2543"/>
      <c r="E2543"/>
      <c r="F2543"/>
      <c r="G2543"/>
    </row>
    <row r="2544" spans="4:7" x14ac:dyDescent="0.25">
      <c r="D2544"/>
      <c r="E2544"/>
      <c r="F2544"/>
      <c r="G2544"/>
    </row>
    <row r="2545" spans="4:7" x14ac:dyDescent="0.25">
      <c r="D2545"/>
      <c r="E2545"/>
      <c r="F2545"/>
      <c r="G2545"/>
    </row>
    <row r="2546" spans="4:7" x14ac:dyDescent="0.25">
      <c r="D2546"/>
      <c r="E2546"/>
      <c r="F2546"/>
      <c r="G2546"/>
    </row>
    <row r="2547" spans="4:7" x14ac:dyDescent="0.25">
      <c r="D2547"/>
      <c r="E2547"/>
      <c r="F2547"/>
      <c r="G2547"/>
    </row>
    <row r="2548" spans="4:7" x14ac:dyDescent="0.25">
      <c r="D2548"/>
      <c r="E2548"/>
      <c r="F2548"/>
      <c r="G2548"/>
    </row>
    <row r="2549" spans="4:7" x14ac:dyDescent="0.25">
      <c r="D2549"/>
      <c r="E2549"/>
      <c r="F2549"/>
      <c r="G2549"/>
    </row>
    <row r="2550" spans="4:7" x14ac:dyDescent="0.25">
      <c r="D2550"/>
      <c r="E2550"/>
      <c r="F2550"/>
      <c r="G2550"/>
    </row>
    <row r="2551" spans="4:7" x14ac:dyDescent="0.25">
      <c r="D2551"/>
      <c r="E2551"/>
      <c r="F2551"/>
      <c r="G2551"/>
    </row>
    <row r="2552" spans="4:7" x14ac:dyDescent="0.25">
      <c r="D2552"/>
      <c r="E2552"/>
      <c r="F2552"/>
      <c r="G2552"/>
    </row>
    <row r="2553" spans="4:7" x14ac:dyDescent="0.25">
      <c r="D2553"/>
      <c r="E2553"/>
      <c r="F2553"/>
      <c r="G2553"/>
    </row>
    <row r="2554" spans="4:7" x14ac:dyDescent="0.25">
      <c r="D2554"/>
      <c r="E2554"/>
      <c r="F2554"/>
      <c r="G2554"/>
    </row>
    <row r="2555" spans="4:7" x14ac:dyDescent="0.25">
      <c r="D2555"/>
      <c r="E2555"/>
      <c r="F2555"/>
      <c r="G2555"/>
    </row>
    <row r="2556" spans="4:7" x14ac:dyDescent="0.25">
      <c r="D2556"/>
      <c r="E2556"/>
      <c r="F2556"/>
      <c r="G2556"/>
    </row>
    <row r="2557" spans="4:7" x14ac:dyDescent="0.25">
      <c r="D2557"/>
      <c r="E2557"/>
      <c r="F2557"/>
      <c r="G2557"/>
    </row>
    <row r="2558" spans="4:7" x14ac:dyDescent="0.25">
      <c r="D2558"/>
      <c r="E2558"/>
      <c r="F2558"/>
      <c r="G2558"/>
    </row>
    <row r="2559" spans="4:7" x14ac:dyDescent="0.25">
      <c r="D2559"/>
      <c r="E2559"/>
      <c r="F2559"/>
      <c r="G2559"/>
    </row>
    <row r="2560" spans="4:7" x14ac:dyDescent="0.25">
      <c r="D2560"/>
      <c r="E2560"/>
      <c r="F2560"/>
      <c r="G2560"/>
    </row>
    <row r="2561" spans="4:7" x14ac:dyDescent="0.25">
      <c r="D2561"/>
      <c r="E2561"/>
      <c r="F2561"/>
      <c r="G2561"/>
    </row>
    <row r="2562" spans="4:7" x14ac:dyDescent="0.25">
      <c r="D2562"/>
      <c r="E2562"/>
      <c r="F2562"/>
      <c r="G2562"/>
    </row>
    <row r="2563" spans="4:7" x14ac:dyDescent="0.25">
      <c r="D2563"/>
      <c r="E2563"/>
      <c r="F2563"/>
      <c r="G2563"/>
    </row>
    <row r="2564" spans="4:7" x14ac:dyDescent="0.25">
      <c r="D2564"/>
      <c r="E2564"/>
      <c r="F2564"/>
      <c r="G2564"/>
    </row>
    <row r="2565" spans="4:7" x14ac:dyDescent="0.25">
      <c r="D2565"/>
      <c r="E2565"/>
      <c r="F2565"/>
      <c r="G2565"/>
    </row>
    <row r="2566" spans="4:7" x14ac:dyDescent="0.25">
      <c r="D2566"/>
      <c r="E2566"/>
      <c r="F2566"/>
      <c r="G2566"/>
    </row>
    <row r="2567" spans="4:7" x14ac:dyDescent="0.25">
      <c r="D2567"/>
      <c r="E2567"/>
      <c r="F2567"/>
      <c r="G2567"/>
    </row>
    <row r="2568" spans="4:7" x14ac:dyDescent="0.25">
      <c r="D2568"/>
      <c r="E2568"/>
      <c r="F2568"/>
      <c r="G2568"/>
    </row>
    <row r="2569" spans="4:7" x14ac:dyDescent="0.25">
      <c r="D2569"/>
      <c r="E2569"/>
      <c r="F2569"/>
      <c r="G2569"/>
    </row>
    <row r="2570" spans="4:7" x14ac:dyDescent="0.25">
      <c r="D2570"/>
      <c r="E2570"/>
      <c r="F2570"/>
      <c r="G2570"/>
    </row>
    <row r="2571" spans="4:7" x14ac:dyDescent="0.25">
      <c r="D2571"/>
      <c r="E2571"/>
      <c r="F2571"/>
      <c r="G2571"/>
    </row>
    <row r="2572" spans="4:7" x14ac:dyDescent="0.25">
      <c r="D2572"/>
      <c r="E2572"/>
      <c r="F2572"/>
      <c r="G2572"/>
    </row>
    <row r="2573" spans="4:7" x14ac:dyDescent="0.25">
      <c r="D2573"/>
      <c r="E2573"/>
      <c r="F2573"/>
      <c r="G2573"/>
    </row>
    <row r="2574" spans="4:7" x14ac:dyDescent="0.25">
      <c r="D2574"/>
      <c r="E2574"/>
      <c r="F2574"/>
      <c r="G2574"/>
    </row>
    <row r="2575" spans="4:7" x14ac:dyDescent="0.25">
      <c r="D2575"/>
      <c r="E2575"/>
      <c r="F2575"/>
      <c r="G2575"/>
    </row>
    <row r="2576" spans="4:7" x14ac:dyDescent="0.25">
      <c r="D2576"/>
      <c r="E2576"/>
      <c r="F2576"/>
      <c r="G2576"/>
    </row>
    <row r="2577" spans="4:7" x14ac:dyDescent="0.25">
      <c r="D2577"/>
      <c r="E2577"/>
      <c r="F2577"/>
      <c r="G2577"/>
    </row>
    <row r="2578" spans="4:7" x14ac:dyDescent="0.25">
      <c r="D2578"/>
      <c r="E2578"/>
      <c r="F2578"/>
      <c r="G2578"/>
    </row>
    <row r="2579" spans="4:7" x14ac:dyDescent="0.25">
      <c r="D2579"/>
      <c r="E2579"/>
      <c r="F2579"/>
      <c r="G2579"/>
    </row>
    <row r="2580" spans="4:7" x14ac:dyDescent="0.25">
      <c r="D2580"/>
      <c r="E2580"/>
      <c r="F2580"/>
      <c r="G2580"/>
    </row>
    <row r="2581" spans="4:7" x14ac:dyDescent="0.25">
      <c r="D2581"/>
      <c r="E2581"/>
      <c r="F2581"/>
      <c r="G2581"/>
    </row>
    <row r="2582" spans="4:7" x14ac:dyDescent="0.25">
      <c r="D2582"/>
      <c r="E2582"/>
      <c r="F2582"/>
      <c r="G2582"/>
    </row>
    <row r="2583" spans="4:7" x14ac:dyDescent="0.25">
      <c r="D2583"/>
      <c r="E2583"/>
      <c r="F2583"/>
      <c r="G2583"/>
    </row>
    <row r="2584" spans="4:7" x14ac:dyDescent="0.25">
      <c r="D2584"/>
      <c r="E2584"/>
      <c r="F2584"/>
      <c r="G2584"/>
    </row>
    <row r="2585" spans="4:7" x14ac:dyDescent="0.25">
      <c r="D2585"/>
      <c r="E2585"/>
      <c r="F2585"/>
      <c r="G2585"/>
    </row>
    <row r="2586" spans="4:7" x14ac:dyDescent="0.25">
      <c r="D2586"/>
      <c r="E2586"/>
      <c r="F2586"/>
      <c r="G2586"/>
    </row>
    <row r="2587" spans="4:7" x14ac:dyDescent="0.25">
      <c r="D2587"/>
      <c r="E2587"/>
      <c r="F2587"/>
      <c r="G2587"/>
    </row>
    <row r="2588" spans="4:7" x14ac:dyDescent="0.25">
      <c r="D2588"/>
      <c r="E2588"/>
      <c r="F2588"/>
      <c r="G2588"/>
    </row>
    <row r="2589" spans="4:7" x14ac:dyDescent="0.25">
      <c r="D2589"/>
      <c r="E2589"/>
      <c r="F2589"/>
      <c r="G2589"/>
    </row>
    <row r="2590" spans="4:7" x14ac:dyDescent="0.25">
      <c r="D2590"/>
      <c r="E2590"/>
      <c r="F2590"/>
      <c r="G2590"/>
    </row>
    <row r="2591" spans="4:7" x14ac:dyDescent="0.25">
      <c r="D2591"/>
      <c r="E2591"/>
      <c r="F2591"/>
      <c r="G2591"/>
    </row>
    <row r="2592" spans="4:7" x14ac:dyDescent="0.25">
      <c r="D2592"/>
      <c r="E2592"/>
      <c r="F2592"/>
      <c r="G2592"/>
    </row>
    <row r="2593" spans="4:7" x14ac:dyDescent="0.25">
      <c r="D2593"/>
      <c r="E2593"/>
      <c r="F2593"/>
      <c r="G2593"/>
    </row>
    <row r="2594" spans="4:7" x14ac:dyDescent="0.25">
      <c r="D2594"/>
      <c r="E2594"/>
      <c r="F2594"/>
      <c r="G2594"/>
    </row>
    <row r="2595" spans="4:7" x14ac:dyDescent="0.25">
      <c r="D2595"/>
      <c r="E2595"/>
      <c r="F2595"/>
      <c r="G2595"/>
    </row>
    <row r="2596" spans="4:7" x14ac:dyDescent="0.25">
      <c r="D2596"/>
      <c r="E2596"/>
      <c r="F2596"/>
      <c r="G2596"/>
    </row>
    <row r="2597" spans="4:7" x14ac:dyDescent="0.25">
      <c r="D2597"/>
      <c r="E2597"/>
      <c r="F2597"/>
      <c r="G2597"/>
    </row>
    <row r="2598" spans="4:7" x14ac:dyDescent="0.25">
      <c r="D2598"/>
      <c r="E2598"/>
      <c r="F2598"/>
      <c r="G2598"/>
    </row>
    <row r="2599" spans="4:7" x14ac:dyDescent="0.25">
      <c r="D2599"/>
      <c r="E2599"/>
      <c r="F2599"/>
      <c r="G2599"/>
    </row>
    <row r="2600" spans="4:7" x14ac:dyDescent="0.25">
      <c r="D2600"/>
      <c r="E2600"/>
      <c r="F2600"/>
      <c r="G2600"/>
    </row>
    <row r="2601" spans="4:7" x14ac:dyDescent="0.25">
      <c r="D2601"/>
      <c r="E2601"/>
      <c r="F2601"/>
      <c r="G2601"/>
    </row>
    <row r="2602" spans="4:7" x14ac:dyDescent="0.25">
      <c r="D2602"/>
      <c r="E2602"/>
      <c r="F2602"/>
      <c r="G2602"/>
    </row>
    <row r="2603" spans="4:7" x14ac:dyDescent="0.25">
      <c r="D2603"/>
      <c r="E2603"/>
      <c r="F2603"/>
      <c r="G2603"/>
    </row>
    <row r="2604" spans="4:7" x14ac:dyDescent="0.25">
      <c r="D2604"/>
      <c r="E2604"/>
      <c r="F2604"/>
      <c r="G2604"/>
    </row>
    <row r="2605" spans="4:7" x14ac:dyDescent="0.25">
      <c r="D2605"/>
      <c r="E2605"/>
      <c r="F2605"/>
      <c r="G2605"/>
    </row>
    <row r="2606" spans="4:7" x14ac:dyDescent="0.25">
      <c r="D2606"/>
      <c r="E2606"/>
      <c r="F2606"/>
      <c r="G2606"/>
    </row>
    <row r="2607" spans="4:7" x14ac:dyDescent="0.25">
      <c r="D2607"/>
      <c r="E2607"/>
      <c r="F2607"/>
      <c r="G2607"/>
    </row>
    <row r="2608" spans="4:7" x14ac:dyDescent="0.25">
      <c r="D2608"/>
      <c r="E2608"/>
      <c r="F2608"/>
      <c r="G2608"/>
    </row>
    <row r="2609" spans="4:7" x14ac:dyDescent="0.25">
      <c r="D2609"/>
      <c r="E2609"/>
      <c r="F2609"/>
      <c r="G2609"/>
    </row>
    <row r="2610" spans="4:7" x14ac:dyDescent="0.25">
      <c r="D2610"/>
      <c r="E2610"/>
      <c r="F2610"/>
      <c r="G2610"/>
    </row>
    <row r="2611" spans="4:7" x14ac:dyDescent="0.25">
      <c r="D2611"/>
      <c r="E2611"/>
      <c r="F2611"/>
      <c r="G2611"/>
    </row>
    <row r="2612" spans="4:7" x14ac:dyDescent="0.25">
      <c r="D2612"/>
      <c r="E2612"/>
      <c r="F2612"/>
      <c r="G2612"/>
    </row>
    <row r="2613" spans="4:7" x14ac:dyDescent="0.25">
      <c r="D2613"/>
      <c r="E2613"/>
      <c r="F2613"/>
      <c r="G2613"/>
    </row>
    <row r="2614" spans="4:7" x14ac:dyDescent="0.25">
      <c r="D2614"/>
      <c r="E2614"/>
      <c r="F2614"/>
      <c r="G2614"/>
    </row>
    <row r="2615" spans="4:7" x14ac:dyDescent="0.25">
      <c r="D2615"/>
      <c r="E2615"/>
      <c r="F2615"/>
      <c r="G2615"/>
    </row>
    <row r="2616" spans="4:7" x14ac:dyDescent="0.25">
      <c r="D2616"/>
      <c r="E2616"/>
      <c r="F2616"/>
      <c r="G2616"/>
    </row>
    <row r="2617" spans="4:7" x14ac:dyDescent="0.25">
      <c r="D2617"/>
      <c r="E2617"/>
      <c r="F2617"/>
      <c r="G2617"/>
    </row>
    <row r="2618" spans="4:7" x14ac:dyDescent="0.25">
      <c r="D2618"/>
      <c r="E2618"/>
      <c r="F2618"/>
      <c r="G2618"/>
    </row>
    <row r="2619" spans="4:7" x14ac:dyDescent="0.25">
      <c r="D2619"/>
      <c r="E2619"/>
      <c r="F2619"/>
      <c r="G2619"/>
    </row>
    <row r="2620" spans="4:7" x14ac:dyDescent="0.25">
      <c r="D2620"/>
      <c r="E2620"/>
      <c r="F2620"/>
      <c r="G2620"/>
    </row>
    <row r="2621" spans="4:7" x14ac:dyDescent="0.25">
      <c r="D2621"/>
      <c r="E2621"/>
      <c r="F2621"/>
      <c r="G2621"/>
    </row>
    <row r="2622" spans="4:7" x14ac:dyDescent="0.25">
      <c r="D2622"/>
      <c r="E2622"/>
      <c r="F2622"/>
      <c r="G2622"/>
    </row>
    <row r="2623" spans="4:7" x14ac:dyDescent="0.25">
      <c r="D2623"/>
      <c r="E2623"/>
      <c r="F2623"/>
      <c r="G2623"/>
    </row>
    <row r="2624" spans="4:7" x14ac:dyDescent="0.25">
      <c r="D2624"/>
      <c r="E2624"/>
      <c r="F2624"/>
      <c r="G2624"/>
    </row>
    <row r="2625" spans="4:7" x14ac:dyDescent="0.25">
      <c r="D2625"/>
      <c r="E2625"/>
      <c r="F2625"/>
      <c r="G2625"/>
    </row>
    <row r="2626" spans="4:7" x14ac:dyDescent="0.25">
      <c r="D2626"/>
      <c r="E2626"/>
      <c r="F2626"/>
      <c r="G2626"/>
    </row>
    <row r="2627" spans="4:7" x14ac:dyDescent="0.25">
      <c r="D2627"/>
      <c r="E2627"/>
      <c r="F2627"/>
      <c r="G2627"/>
    </row>
    <row r="2628" spans="4:7" x14ac:dyDescent="0.25">
      <c r="D2628"/>
      <c r="E2628"/>
      <c r="F2628"/>
      <c r="G2628"/>
    </row>
    <row r="2629" spans="4:7" x14ac:dyDescent="0.25">
      <c r="D2629"/>
      <c r="E2629"/>
      <c r="F2629"/>
      <c r="G2629"/>
    </row>
    <row r="2630" spans="4:7" x14ac:dyDescent="0.25">
      <c r="D2630"/>
      <c r="E2630"/>
      <c r="F2630"/>
      <c r="G2630"/>
    </row>
    <row r="2631" spans="4:7" x14ac:dyDescent="0.25">
      <c r="D2631"/>
      <c r="E2631"/>
      <c r="F2631"/>
      <c r="G2631"/>
    </row>
    <row r="2632" spans="4:7" x14ac:dyDescent="0.25">
      <c r="D2632"/>
      <c r="E2632"/>
      <c r="F2632"/>
      <c r="G2632"/>
    </row>
    <row r="2633" spans="4:7" x14ac:dyDescent="0.25">
      <c r="D2633"/>
      <c r="E2633"/>
      <c r="F2633"/>
      <c r="G2633"/>
    </row>
    <row r="2634" spans="4:7" x14ac:dyDescent="0.25">
      <c r="D2634"/>
      <c r="E2634"/>
      <c r="F2634"/>
      <c r="G2634"/>
    </row>
    <row r="2635" spans="4:7" x14ac:dyDescent="0.25">
      <c r="D2635"/>
      <c r="E2635"/>
      <c r="F2635"/>
      <c r="G2635"/>
    </row>
    <row r="2636" spans="4:7" x14ac:dyDescent="0.25">
      <c r="D2636"/>
      <c r="E2636"/>
      <c r="F2636"/>
      <c r="G2636"/>
    </row>
    <row r="2637" spans="4:7" x14ac:dyDescent="0.25">
      <c r="D2637"/>
      <c r="E2637"/>
      <c r="F2637"/>
      <c r="G2637"/>
    </row>
    <row r="2638" spans="4:7" x14ac:dyDescent="0.25">
      <c r="D2638"/>
      <c r="E2638"/>
      <c r="F2638"/>
      <c r="G2638"/>
    </row>
    <row r="2639" spans="4:7" x14ac:dyDescent="0.25">
      <c r="D2639"/>
      <c r="E2639"/>
      <c r="F2639"/>
      <c r="G2639"/>
    </row>
    <row r="2640" spans="4:7" x14ac:dyDescent="0.25">
      <c r="D2640"/>
      <c r="E2640"/>
      <c r="F2640"/>
      <c r="G2640"/>
    </row>
    <row r="2641" spans="4:7" x14ac:dyDescent="0.25">
      <c r="D2641"/>
      <c r="E2641"/>
      <c r="F2641"/>
      <c r="G2641"/>
    </row>
    <row r="2642" spans="4:7" x14ac:dyDescent="0.25">
      <c r="D2642"/>
      <c r="E2642"/>
      <c r="F2642"/>
      <c r="G2642"/>
    </row>
    <row r="2643" spans="4:7" x14ac:dyDescent="0.25">
      <c r="D2643"/>
      <c r="E2643"/>
      <c r="F2643"/>
      <c r="G2643"/>
    </row>
    <row r="2644" spans="4:7" x14ac:dyDescent="0.25">
      <c r="D2644"/>
      <c r="E2644"/>
      <c r="F2644"/>
      <c r="G2644"/>
    </row>
    <row r="2645" spans="4:7" x14ac:dyDescent="0.25">
      <c r="D2645"/>
      <c r="E2645"/>
      <c r="F2645"/>
      <c r="G2645"/>
    </row>
    <row r="2646" spans="4:7" x14ac:dyDescent="0.25">
      <c r="D2646"/>
      <c r="E2646"/>
      <c r="F2646"/>
      <c r="G2646"/>
    </row>
    <row r="2647" spans="4:7" x14ac:dyDescent="0.25">
      <c r="D2647"/>
      <c r="E2647"/>
      <c r="F2647"/>
      <c r="G2647"/>
    </row>
    <row r="2648" spans="4:7" x14ac:dyDescent="0.25">
      <c r="D2648"/>
      <c r="E2648"/>
      <c r="F2648"/>
      <c r="G2648"/>
    </row>
    <row r="2649" spans="4:7" x14ac:dyDescent="0.25">
      <c r="D2649"/>
      <c r="E2649"/>
      <c r="F2649"/>
      <c r="G2649"/>
    </row>
    <row r="2650" spans="4:7" x14ac:dyDescent="0.25">
      <c r="D2650"/>
      <c r="E2650"/>
      <c r="F2650"/>
      <c r="G2650"/>
    </row>
    <row r="2651" spans="4:7" x14ac:dyDescent="0.25">
      <c r="D2651"/>
      <c r="E2651"/>
      <c r="F2651"/>
      <c r="G2651"/>
    </row>
    <row r="2652" spans="4:7" x14ac:dyDescent="0.25">
      <c r="D2652"/>
      <c r="E2652"/>
      <c r="F2652"/>
      <c r="G2652"/>
    </row>
    <row r="2653" spans="4:7" x14ac:dyDescent="0.25">
      <c r="D2653"/>
      <c r="E2653"/>
      <c r="F2653"/>
      <c r="G2653"/>
    </row>
    <row r="2654" spans="4:7" x14ac:dyDescent="0.25">
      <c r="D2654"/>
      <c r="E2654"/>
      <c r="F2654"/>
      <c r="G2654"/>
    </row>
    <row r="2655" spans="4:7" x14ac:dyDescent="0.25">
      <c r="D2655"/>
      <c r="E2655"/>
      <c r="F2655"/>
      <c r="G2655"/>
    </row>
    <row r="2656" spans="4:7" x14ac:dyDescent="0.25">
      <c r="D2656"/>
      <c r="E2656"/>
      <c r="F2656"/>
      <c r="G2656"/>
    </row>
    <row r="2657" spans="4:7" x14ac:dyDescent="0.25">
      <c r="D2657"/>
      <c r="E2657"/>
      <c r="F2657"/>
      <c r="G2657"/>
    </row>
    <row r="2658" spans="4:7" x14ac:dyDescent="0.25">
      <c r="D2658"/>
      <c r="E2658"/>
      <c r="F2658"/>
      <c r="G2658"/>
    </row>
    <row r="2659" spans="4:7" x14ac:dyDescent="0.25">
      <c r="D2659"/>
      <c r="E2659"/>
      <c r="F2659"/>
      <c r="G2659"/>
    </row>
    <row r="2660" spans="4:7" x14ac:dyDescent="0.25">
      <c r="D2660"/>
      <c r="E2660"/>
      <c r="F2660"/>
      <c r="G2660"/>
    </row>
    <row r="2661" spans="4:7" x14ac:dyDescent="0.25">
      <c r="D2661"/>
      <c r="E2661"/>
      <c r="F2661"/>
      <c r="G2661"/>
    </row>
    <row r="2662" spans="4:7" x14ac:dyDescent="0.25">
      <c r="D2662"/>
      <c r="E2662"/>
      <c r="F2662"/>
      <c r="G2662"/>
    </row>
    <row r="2663" spans="4:7" x14ac:dyDescent="0.25">
      <c r="D2663"/>
      <c r="E2663"/>
      <c r="F2663"/>
      <c r="G2663"/>
    </row>
    <row r="2664" spans="4:7" x14ac:dyDescent="0.25">
      <c r="D2664"/>
      <c r="E2664"/>
      <c r="F2664"/>
      <c r="G2664"/>
    </row>
    <row r="2665" spans="4:7" x14ac:dyDescent="0.25">
      <c r="D2665"/>
      <c r="E2665"/>
      <c r="F2665"/>
      <c r="G2665"/>
    </row>
    <row r="2666" spans="4:7" x14ac:dyDescent="0.25">
      <c r="D2666"/>
      <c r="E2666"/>
      <c r="F2666"/>
      <c r="G2666"/>
    </row>
    <row r="2667" spans="4:7" x14ac:dyDescent="0.25">
      <c r="D2667"/>
      <c r="E2667"/>
      <c r="F2667"/>
      <c r="G2667"/>
    </row>
    <row r="2668" spans="4:7" x14ac:dyDescent="0.25">
      <c r="D2668"/>
      <c r="E2668"/>
      <c r="F2668"/>
      <c r="G2668"/>
    </row>
    <row r="2669" spans="4:7" x14ac:dyDescent="0.25">
      <c r="D2669"/>
      <c r="E2669"/>
      <c r="F2669"/>
      <c r="G2669"/>
    </row>
    <row r="2670" spans="4:7" x14ac:dyDescent="0.25">
      <c r="D2670"/>
      <c r="E2670"/>
      <c r="F2670"/>
      <c r="G2670"/>
    </row>
    <row r="2671" spans="4:7" x14ac:dyDescent="0.25">
      <c r="D2671"/>
      <c r="E2671"/>
      <c r="F2671"/>
      <c r="G2671"/>
    </row>
    <row r="2672" spans="4:7" x14ac:dyDescent="0.25">
      <c r="D2672"/>
      <c r="E2672"/>
      <c r="F2672"/>
      <c r="G2672"/>
    </row>
    <row r="2673" spans="4:7" x14ac:dyDescent="0.25">
      <c r="D2673"/>
      <c r="E2673"/>
      <c r="F2673"/>
      <c r="G2673"/>
    </row>
    <row r="2674" spans="4:7" x14ac:dyDescent="0.25">
      <c r="D2674"/>
      <c r="E2674"/>
      <c r="F2674"/>
      <c r="G2674"/>
    </row>
    <row r="2675" spans="4:7" x14ac:dyDescent="0.25">
      <c r="D2675"/>
      <c r="E2675"/>
      <c r="F2675"/>
      <c r="G2675"/>
    </row>
    <row r="2676" spans="4:7" x14ac:dyDescent="0.25">
      <c r="D2676"/>
      <c r="E2676"/>
      <c r="F2676"/>
      <c r="G2676"/>
    </row>
    <row r="2677" spans="4:7" x14ac:dyDescent="0.25">
      <c r="D2677"/>
      <c r="E2677"/>
      <c r="F2677"/>
      <c r="G2677"/>
    </row>
    <row r="2678" spans="4:7" x14ac:dyDescent="0.25">
      <c r="D2678"/>
      <c r="E2678"/>
      <c r="F2678"/>
      <c r="G2678"/>
    </row>
    <row r="2679" spans="4:7" x14ac:dyDescent="0.25">
      <c r="D2679"/>
      <c r="E2679"/>
      <c r="F2679"/>
      <c r="G2679"/>
    </row>
    <row r="2680" spans="4:7" x14ac:dyDescent="0.25">
      <c r="D2680"/>
      <c r="E2680"/>
      <c r="F2680"/>
      <c r="G2680"/>
    </row>
    <row r="2681" spans="4:7" x14ac:dyDescent="0.25">
      <c r="D2681"/>
      <c r="E2681"/>
      <c r="F2681"/>
      <c r="G2681"/>
    </row>
    <row r="2682" spans="4:7" x14ac:dyDescent="0.25">
      <c r="D2682"/>
      <c r="E2682"/>
      <c r="F2682"/>
      <c r="G2682"/>
    </row>
    <row r="2683" spans="4:7" x14ac:dyDescent="0.25">
      <c r="D2683"/>
      <c r="E2683"/>
      <c r="F2683"/>
      <c r="G2683"/>
    </row>
    <row r="2684" spans="4:7" x14ac:dyDescent="0.25">
      <c r="D2684"/>
      <c r="E2684"/>
      <c r="F2684"/>
      <c r="G2684"/>
    </row>
    <row r="2685" spans="4:7" x14ac:dyDescent="0.25">
      <c r="D2685"/>
      <c r="E2685"/>
      <c r="F2685"/>
      <c r="G2685"/>
    </row>
    <row r="2686" spans="4:7" x14ac:dyDescent="0.25">
      <c r="D2686"/>
      <c r="E2686"/>
      <c r="F2686"/>
      <c r="G2686"/>
    </row>
    <row r="2687" spans="4:7" x14ac:dyDescent="0.25">
      <c r="D2687"/>
      <c r="E2687"/>
      <c r="F2687"/>
      <c r="G2687"/>
    </row>
    <row r="2688" spans="4:7" x14ac:dyDescent="0.25">
      <c r="D2688"/>
      <c r="E2688"/>
      <c r="F2688"/>
      <c r="G2688"/>
    </row>
    <row r="2689" spans="4:7" x14ac:dyDescent="0.25">
      <c r="D2689"/>
      <c r="E2689"/>
      <c r="F2689"/>
      <c r="G2689"/>
    </row>
    <row r="2690" spans="4:7" x14ac:dyDescent="0.25">
      <c r="D2690"/>
      <c r="E2690"/>
      <c r="F2690"/>
      <c r="G2690"/>
    </row>
    <row r="2691" spans="4:7" x14ac:dyDescent="0.25">
      <c r="D2691"/>
      <c r="E2691"/>
      <c r="F2691"/>
      <c r="G2691"/>
    </row>
    <row r="2692" spans="4:7" x14ac:dyDescent="0.25">
      <c r="D2692"/>
      <c r="E2692"/>
      <c r="F2692"/>
      <c r="G2692"/>
    </row>
    <row r="2693" spans="4:7" x14ac:dyDescent="0.25">
      <c r="D2693"/>
      <c r="E2693"/>
      <c r="F2693"/>
      <c r="G2693"/>
    </row>
    <row r="2694" spans="4:7" x14ac:dyDescent="0.25">
      <c r="D2694"/>
      <c r="E2694"/>
      <c r="F2694"/>
      <c r="G2694"/>
    </row>
    <row r="2695" spans="4:7" x14ac:dyDescent="0.25">
      <c r="D2695"/>
      <c r="E2695"/>
      <c r="F2695"/>
      <c r="G2695"/>
    </row>
    <row r="2696" spans="4:7" x14ac:dyDescent="0.25">
      <c r="D2696"/>
      <c r="E2696"/>
      <c r="F2696"/>
      <c r="G2696"/>
    </row>
    <row r="2697" spans="4:7" x14ac:dyDescent="0.25">
      <c r="D2697"/>
      <c r="E2697"/>
      <c r="F2697"/>
      <c r="G2697"/>
    </row>
    <row r="2698" spans="4:7" x14ac:dyDescent="0.25">
      <c r="D2698"/>
      <c r="E2698"/>
      <c r="F2698"/>
      <c r="G2698"/>
    </row>
    <row r="2699" spans="4:7" x14ac:dyDescent="0.25">
      <c r="D2699"/>
      <c r="E2699"/>
      <c r="F2699"/>
      <c r="G2699"/>
    </row>
    <row r="2700" spans="4:7" x14ac:dyDescent="0.25">
      <c r="D2700"/>
      <c r="E2700"/>
      <c r="F2700"/>
      <c r="G2700"/>
    </row>
    <row r="2701" spans="4:7" x14ac:dyDescent="0.25">
      <c r="D2701"/>
      <c r="E2701"/>
      <c r="F2701"/>
      <c r="G2701"/>
    </row>
    <row r="2702" spans="4:7" x14ac:dyDescent="0.25">
      <c r="D2702"/>
      <c r="E2702"/>
      <c r="F2702"/>
      <c r="G2702"/>
    </row>
    <row r="2703" spans="4:7" x14ac:dyDescent="0.25">
      <c r="D2703"/>
      <c r="E2703"/>
      <c r="F2703"/>
      <c r="G2703"/>
    </row>
    <row r="2704" spans="4:7" x14ac:dyDescent="0.25">
      <c r="D2704"/>
      <c r="E2704"/>
      <c r="F2704"/>
      <c r="G2704"/>
    </row>
    <row r="2705" spans="4:7" x14ac:dyDescent="0.25">
      <c r="D2705"/>
      <c r="E2705"/>
      <c r="F2705"/>
      <c r="G2705"/>
    </row>
    <row r="2706" spans="4:7" x14ac:dyDescent="0.25">
      <c r="D2706"/>
      <c r="E2706"/>
      <c r="F2706"/>
      <c r="G2706"/>
    </row>
    <row r="2707" spans="4:7" x14ac:dyDescent="0.25">
      <c r="D2707"/>
      <c r="E2707"/>
      <c r="F2707"/>
      <c r="G2707"/>
    </row>
    <row r="2708" spans="4:7" x14ac:dyDescent="0.25">
      <c r="D2708"/>
      <c r="E2708"/>
      <c r="F2708"/>
      <c r="G2708"/>
    </row>
    <row r="2709" spans="4:7" x14ac:dyDescent="0.25">
      <c r="D2709"/>
      <c r="E2709"/>
      <c r="F2709"/>
      <c r="G2709"/>
    </row>
    <row r="2710" spans="4:7" x14ac:dyDescent="0.25">
      <c r="D2710"/>
      <c r="E2710"/>
      <c r="F2710"/>
      <c r="G2710"/>
    </row>
    <row r="2711" spans="4:7" x14ac:dyDescent="0.25">
      <c r="D2711"/>
      <c r="E2711"/>
      <c r="F2711"/>
      <c r="G2711"/>
    </row>
    <row r="2712" spans="4:7" x14ac:dyDescent="0.25">
      <c r="D2712"/>
      <c r="E2712"/>
      <c r="F2712"/>
      <c r="G2712"/>
    </row>
    <row r="2713" spans="4:7" x14ac:dyDescent="0.25">
      <c r="D2713"/>
      <c r="E2713"/>
      <c r="F2713"/>
      <c r="G2713"/>
    </row>
    <row r="2714" spans="4:7" x14ac:dyDescent="0.25">
      <c r="D2714"/>
      <c r="E2714"/>
      <c r="F2714"/>
      <c r="G2714"/>
    </row>
    <row r="2715" spans="4:7" x14ac:dyDescent="0.25">
      <c r="D2715"/>
      <c r="E2715"/>
      <c r="F2715"/>
      <c r="G2715"/>
    </row>
    <row r="2716" spans="4:7" x14ac:dyDescent="0.25">
      <c r="D2716"/>
      <c r="E2716"/>
      <c r="F2716"/>
      <c r="G2716"/>
    </row>
    <row r="2717" spans="4:7" x14ac:dyDescent="0.25">
      <c r="D2717"/>
      <c r="E2717"/>
      <c r="F2717"/>
      <c r="G2717"/>
    </row>
    <row r="2718" spans="4:7" x14ac:dyDescent="0.25">
      <c r="D2718"/>
      <c r="E2718"/>
      <c r="F2718"/>
      <c r="G2718"/>
    </row>
    <row r="2719" spans="4:7" x14ac:dyDescent="0.25">
      <c r="D2719"/>
      <c r="E2719"/>
      <c r="F2719"/>
      <c r="G2719"/>
    </row>
    <row r="2720" spans="4:7" x14ac:dyDescent="0.25">
      <c r="D2720"/>
      <c r="E2720"/>
      <c r="F2720"/>
      <c r="G2720"/>
    </row>
    <row r="2721" spans="4:7" x14ac:dyDescent="0.25">
      <c r="D2721"/>
      <c r="E2721"/>
      <c r="F2721"/>
      <c r="G2721"/>
    </row>
    <row r="2722" spans="4:7" x14ac:dyDescent="0.25">
      <c r="D2722"/>
      <c r="E2722"/>
      <c r="F2722"/>
      <c r="G2722"/>
    </row>
    <row r="2723" spans="4:7" x14ac:dyDescent="0.25">
      <c r="D2723"/>
      <c r="E2723"/>
      <c r="F2723"/>
      <c r="G2723"/>
    </row>
    <row r="2724" spans="4:7" x14ac:dyDescent="0.25">
      <c r="D2724"/>
      <c r="E2724"/>
      <c r="F2724"/>
      <c r="G2724"/>
    </row>
    <row r="2725" spans="4:7" x14ac:dyDescent="0.25">
      <c r="D2725"/>
      <c r="E2725"/>
      <c r="F2725"/>
      <c r="G2725"/>
    </row>
    <row r="2726" spans="4:7" x14ac:dyDescent="0.25">
      <c r="D2726"/>
      <c r="E2726"/>
      <c r="F2726"/>
      <c r="G2726"/>
    </row>
    <row r="2727" spans="4:7" x14ac:dyDescent="0.25">
      <c r="D2727"/>
      <c r="E2727"/>
      <c r="F2727"/>
      <c r="G2727"/>
    </row>
    <row r="2728" spans="4:7" x14ac:dyDescent="0.25">
      <c r="D2728"/>
      <c r="E2728"/>
      <c r="F2728"/>
      <c r="G2728"/>
    </row>
    <row r="2729" spans="4:7" x14ac:dyDescent="0.25">
      <c r="D2729"/>
      <c r="E2729"/>
      <c r="F2729"/>
      <c r="G2729"/>
    </row>
    <row r="2730" spans="4:7" x14ac:dyDescent="0.25">
      <c r="D2730"/>
      <c r="E2730"/>
      <c r="F2730"/>
      <c r="G2730"/>
    </row>
    <row r="2731" spans="4:7" x14ac:dyDescent="0.25">
      <c r="D2731"/>
      <c r="E2731"/>
      <c r="F2731"/>
      <c r="G2731"/>
    </row>
    <row r="2732" spans="4:7" x14ac:dyDescent="0.25">
      <c r="D2732"/>
      <c r="E2732"/>
      <c r="F2732"/>
      <c r="G2732"/>
    </row>
    <row r="2733" spans="4:7" x14ac:dyDescent="0.25">
      <c r="D2733"/>
      <c r="E2733"/>
      <c r="F2733"/>
      <c r="G2733"/>
    </row>
    <row r="2734" spans="4:7" x14ac:dyDescent="0.25">
      <c r="D2734"/>
      <c r="E2734"/>
      <c r="F2734"/>
      <c r="G2734"/>
    </row>
    <row r="2735" spans="4:7" x14ac:dyDescent="0.25">
      <c r="D2735"/>
      <c r="E2735"/>
      <c r="F2735"/>
      <c r="G2735"/>
    </row>
    <row r="2736" spans="4:7" x14ac:dyDescent="0.25">
      <c r="D2736"/>
      <c r="E2736"/>
      <c r="F2736"/>
      <c r="G2736"/>
    </row>
    <row r="2737" spans="4:7" x14ac:dyDescent="0.25">
      <c r="D2737"/>
      <c r="E2737"/>
      <c r="F2737"/>
      <c r="G2737"/>
    </row>
    <row r="2738" spans="4:7" x14ac:dyDescent="0.25">
      <c r="D2738"/>
      <c r="E2738"/>
      <c r="F2738"/>
      <c r="G2738"/>
    </row>
    <row r="2739" spans="4:7" x14ac:dyDescent="0.25">
      <c r="D2739"/>
      <c r="E2739"/>
      <c r="F2739"/>
      <c r="G2739"/>
    </row>
    <row r="2740" spans="4:7" x14ac:dyDescent="0.25">
      <c r="D2740"/>
      <c r="E2740"/>
      <c r="F2740"/>
      <c r="G2740"/>
    </row>
    <row r="2741" spans="4:7" x14ac:dyDescent="0.25">
      <c r="D2741"/>
      <c r="E2741"/>
      <c r="F2741"/>
      <c r="G2741"/>
    </row>
    <row r="2742" spans="4:7" x14ac:dyDescent="0.25">
      <c r="D2742"/>
      <c r="E2742"/>
      <c r="F2742"/>
      <c r="G2742"/>
    </row>
    <row r="2743" spans="4:7" x14ac:dyDescent="0.25">
      <c r="D2743"/>
      <c r="E2743"/>
      <c r="F2743"/>
      <c r="G2743"/>
    </row>
    <row r="2744" spans="4:7" x14ac:dyDescent="0.25">
      <c r="D2744"/>
      <c r="E2744"/>
      <c r="F2744"/>
      <c r="G2744"/>
    </row>
    <row r="2745" spans="4:7" x14ac:dyDescent="0.25">
      <c r="D2745"/>
      <c r="E2745"/>
      <c r="F2745"/>
      <c r="G2745"/>
    </row>
    <row r="2746" spans="4:7" x14ac:dyDescent="0.25">
      <c r="D2746"/>
      <c r="E2746"/>
      <c r="F2746"/>
      <c r="G2746"/>
    </row>
    <row r="2747" spans="4:7" x14ac:dyDescent="0.25">
      <c r="D2747"/>
      <c r="E2747"/>
      <c r="F2747"/>
      <c r="G2747"/>
    </row>
    <row r="2748" spans="4:7" x14ac:dyDescent="0.25">
      <c r="D2748"/>
      <c r="E2748"/>
      <c r="F2748"/>
      <c r="G2748"/>
    </row>
    <row r="2749" spans="4:7" x14ac:dyDescent="0.25">
      <c r="D2749"/>
      <c r="E2749"/>
      <c r="F2749"/>
      <c r="G2749"/>
    </row>
    <row r="2750" spans="4:7" x14ac:dyDescent="0.25">
      <c r="D2750"/>
      <c r="E2750"/>
      <c r="F2750"/>
      <c r="G2750"/>
    </row>
    <row r="2751" spans="4:7" x14ac:dyDescent="0.25">
      <c r="D2751"/>
      <c r="E2751"/>
      <c r="F2751"/>
      <c r="G2751"/>
    </row>
    <row r="2752" spans="4:7" x14ac:dyDescent="0.25">
      <c r="D2752"/>
      <c r="E2752"/>
      <c r="F2752"/>
      <c r="G2752"/>
    </row>
    <row r="2753" spans="4:7" x14ac:dyDescent="0.25">
      <c r="D2753"/>
      <c r="E2753"/>
      <c r="F2753"/>
      <c r="G2753"/>
    </row>
    <row r="2754" spans="4:7" x14ac:dyDescent="0.25">
      <c r="D2754"/>
      <c r="E2754"/>
      <c r="F2754"/>
      <c r="G2754"/>
    </row>
    <row r="2755" spans="4:7" x14ac:dyDescent="0.25">
      <c r="D2755"/>
      <c r="E2755"/>
      <c r="F2755"/>
      <c r="G2755"/>
    </row>
    <row r="2756" spans="4:7" x14ac:dyDescent="0.25">
      <c r="D2756"/>
      <c r="E2756"/>
      <c r="F2756"/>
      <c r="G2756"/>
    </row>
    <row r="2757" spans="4:7" x14ac:dyDescent="0.25">
      <c r="D2757"/>
      <c r="E2757"/>
      <c r="F2757"/>
      <c r="G2757"/>
    </row>
    <row r="2758" spans="4:7" x14ac:dyDescent="0.25">
      <c r="D2758"/>
      <c r="E2758"/>
      <c r="F2758"/>
      <c r="G2758"/>
    </row>
    <row r="2759" spans="4:7" x14ac:dyDescent="0.25">
      <c r="D2759"/>
      <c r="E2759"/>
      <c r="F2759"/>
      <c r="G2759"/>
    </row>
    <row r="2760" spans="4:7" x14ac:dyDescent="0.25">
      <c r="D2760"/>
      <c r="E2760"/>
      <c r="F2760"/>
      <c r="G2760"/>
    </row>
    <row r="2761" spans="4:7" x14ac:dyDescent="0.25">
      <c r="D2761"/>
      <c r="E2761"/>
      <c r="F2761"/>
      <c r="G2761"/>
    </row>
    <row r="2762" spans="4:7" x14ac:dyDescent="0.25">
      <c r="D2762"/>
      <c r="E2762"/>
      <c r="F2762"/>
      <c r="G2762"/>
    </row>
    <row r="2763" spans="4:7" x14ac:dyDescent="0.25">
      <c r="D2763"/>
      <c r="E2763"/>
      <c r="F2763"/>
      <c r="G2763"/>
    </row>
    <row r="2764" spans="4:7" x14ac:dyDescent="0.25">
      <c r="D2764"/>
      <c r="E2764"/>
      <c r="F2764"/>
      <c r="G2764"/>
    </row>
    <row r="2765" spans="4:7" x14ac:dyDescent="0.25">
      <c r="D2765"/>
      <c r="E2765"/>
      <c r="F2765"/>
      <c r="G2765"/>
    </row>
    <row r="2766" spans="4:7" x14ac:dyDescent="0.25">
      <c r="D2766"/>
      <c r="E2766"/>
      <c r="F2766"/>
      <c r="G2766"/>
    </row>
    <row r="2767" spans="4:7" x14ac:dyDescent="0.25">
      <c r="D2767"/>
      <c r="E2767"/>
      <c r="F2767"/>
      <c r="G2767"/>
    </row>
    <row r="2768" spans="4:7" x14ac:dyDescent="0.25">
      <c r="D2768"/>
      <c r="E2768"/>
      <c r="F2768"/>
      <c r="G2768"/>
    </row>
    <row r="2769" spans="4:7" x14ac:dyDescent="0.25">
      <c r="D2769"/>
      <c r="E2769"/>
      <c r="F2769"/>
      <c r="G2769"/>
    </row>
    <row r="2770" spans="4:7" x14ac:dyDescent="0.25">
      <c r="D2770"/>
      <c r="E2770"/>
      <c r="F2770"/>
      <c r="G2770"/>
    </row>
    <row r="2771" spans="4:7" x14ac:dyDescent="0.25">
      <c r="D2771"/>
      <c r="E2771"/>
      <c r="F2771"/>
      <c r="G2771"/>
    </row>
    <row r="2772" spans="4:7" x14ac:dyDescent="0.25">
      <c r="D2772"/>
      <c r="E2772"/>
      <c r="F2772"/>
      <c r="G2772"/>
    </row>
    <row r="2773" spans="4:7" x14ac:dyDescent="0.25">
      <c r="D2773"/>
      <c r="E2773"/>
      <c r="F2773"/>
      <c r="G2773"/>
    </row>
    <row r="2774" spans="4:7" x14ac:dyDescent="0.25">
      <c r="D2774"/>
      <c r="E2774"/>
      <c r="F2774"/>
      <c r="G2774"/>
    </row>
    <row r="2775" spans="4:7" x14ac:dyDescent="0.25">
      <c r="D2775"/>
      <c r="E2775"/>
      <c r="F2775"/>
      <c r="G2775"/>
    </row>
    <row r="2776" spans="4:7" x14ac:dyDescent="0.25">
      <c r="D2776"/>
      <c r="E2776"/>
      <c r="F2776"/>
      <c r="G2776"/>
    </row>
    <row r="2777" spans="4:7" x14ac:dyDescent="0.25">
      <c r="D2777"/>
      <c r="E2777"/>
      <c r="F2777"/>
      <c r="G2777"/>
    </row>
    <row r="2778" spans="4:7" x14ac:dyDescent="0.25">
      <c r="D2778"/>
      <c r="E2778"/>
      <c r="F2778"/>
      <c r="G2778"/>
    </row>
    <row r="2779" spans="4:7" x14ac:dyDescent="0.25">
      <c r="D2779"/>
      <c r="E2779"/>
      <c r="F2779"/>
      <c r="G2779"/>
    </row>
    <row r="2780" spans="4:7" x14ac:dyDescent="0.25">
      <c r="D2780"/>
      <c r="E2780"/>
      <c r="F2780"/>
      <c r="G2780"/>
    </row>
    <row r="2781" spans="4:7" x14ac:dyDescent="0.25">
      <c r="D2781"/>
      <c r="E2781"/>
      <c r="F2781"/>
      <c r="G2781"/>
    </row>
    <row r="2782" spans="4:7" x14ac:dyDescent="0.25">
      <c r="D2782"/>
      <c r="E2782"/>
      <c r="F2782"/>
      <c r="G2782"/>
    </row>
    <row r="2783" spans="4:7" x14ac:dyDescent="0.25">
      <c r="D2783"/>
      <c r="E2783"/>
      <c r="F2783"/>
      <c r="G2783"/>
    </row>
    <row r="2784" spans="4:7" x14ac:dyDescent="0.25">
      <c r="D2784"/>
      <c r="E2784"/>
      <c r="F2784"/>
      <c r="G2784"/>
    </row>
    <row r="2785" spans="4:7" x14ac:dyDescent="0.25">
      <c r="D2785"/>
      <c r="E2785"/>
      <c r="F2785"/>
      <c r="G2785"/>
    </row>
    <row r="2786" spans="4:7" x14ac:dyDescent="0.25">
      <c r="D2786"/>
      <c r="E2786"/>
      <c r="F2786"/>
      <c r="G2786"/>
    </row>
    <row r="2787" spans="4:7" x14ac:dyDescent="0.25">
      <c r="D2787"/>
      <c r="E2787"/>
      <c r="F2787"/>
      <c r="G2787"/>
    </row>
    <row r="2788" spans="4:7" x14ac:dyDescent="0.25">
      <c r="D2788"/>
      <c r="E2788"/>
      <c r="F2788"/>
      <c r="G2788"/>
    </row>
    <row r="2789" spans="4:7" x14ac:dyDescent="0.25">
      <c r="D2789"/>
      <c r="E2789"/>
      <c r="F2789"/>
      <c r="G2789"/>
    </row>
    <row r="2790" spans="4:7" x14ac:dyDescent="0.25">
      <c r="D2790"/>
      <c r="E2790"/>
      <c r="F2790"/>
      <c r="G2790"/>
    </row>
    <row r="2791" spans="4:7" x14ac:dyDescent="0.25">
      <c r="D2791"/>
      <c r="E2791"/>
      <c r="F2791"/>
      <c r="G2791"/>
    </row>
    <row r="2792" spans="4:7" x14ac:dyDescent="0.25">
      <c r="D2792"/>
      <c r="E2792"/>
      <c r="F2792"/>
      <c r="G2792"/>
    </row>
    <row r="2793" spans="4:7" x14ac:dyDescent="0.25">
      <c r="D2793"/>
      <c r="E2793"/>
      <c r="F2793"/>
      <c r="G2793"/>
    </row>
    <row r="2794" spans="4:7" x14ac:dyDescent="0.25">
      <c r="D2794"/>
      <c r="E2794"/>
      <c r="F2794"/>
      <c r="G2794"/>
    </row>
    <row r="2795" spans="4:7" x14ac:dyDescent="0.25">
      <c r="D2795"/>
      <c r="E2795"/>
      <c r="F2795"/>
      <c r="G2795"/>
    </row>
    <row r="2796" spans="4:7" x14ac:dyDescent="0.25">
      <c r="D2796"/>
      <c r="E2796"/>
      <c r="F2796"/>
      <c r="G2796"/>
    </row>
    <row r="2797" spans="4:7" x14ac:dyDescent="0.25">
      <c r="D2797"/>
      <c r="E2797"/>
      <c r="F2797"/>
      <c r="G2797"/>
    </row>
    <row r="2798" spans="4:7" x14ac:dyDescent="0.25">
      <c r="D2798"/>
      <c r="E2798"/>
      <c r="F2798"/>
      <c r="G2798"/>
    </row>
    <row r="2799" spans="4:7" x14ac:dyDescent="0.25">
      <c r="D2799"/>
      <c r="E2799"/>
      <c r="F2799"/>
      <c r="G2799"/>
    </row>
    <row r="2800" spans="4:7" x14ac:dyDescent="0.25">
      <c r="D2800"/>
      <c r="E2800"/>
      <c r="F2800"/>
      <c r="G2800"/>
    </row>
    <row r="2801" spans="4:7" x14ac:dyDescent="0.25">
      <c r="D2801"/>
      <c r="E2801"/>
      <c r="F2801"/>
      <c r="G2801"/>
    </row>
    <row r="2802" spans="4:7" x14ac:dyDescent="0.25">
      <c r="D2802"/>
      <c r="E2802"/>
      <c r="F2802"/>
      <c r="G2802"/>
    </row>
    <row r="2803" spans="4:7" x14ac:dyDescent="0.25">
      <c r="D2803"/>
      <c r="E2803"/>
      <c r="F2803"/>
      <c r="G2803"/>
    </row>
    <row r="2804" spans="4:7" x14ac:dyDescent="0.25">
      <c r="D2804"/>
      <c r="E2804"/>
      <c r="F2804"/>
      <c r="G2804"/>
    </row>
    <row r="2805" spans="4:7" x14ac:dyDescent="0.25">
      <c r="D2805"/>
      <c r="E2805"/>
      <c r="F2805"/>
      <c r="G2805"/>
    </row>
    <row r="2806" spans="4:7" x14ac:dyDescent="0.25">
      <c r="D2806"/>
      <c r="E2806"/>
      <c r="F2806"/>
      <c r="G2806"/>
    </row>
    <row r="2807" spans="4:7" x14ac:dyDescent="0.25">
      <c r="D2807"/>
      <c r="E2807"/>
      <c r="F2807"/>
      <c r="G2807"/>
    </row>
    <row r="2808" spans="4:7" x14ac:dyDescent="0.25">
      <c r="D2808"/>
      <c r="E2808"/>
      <c r="F2808"/>
      <c r="G2808"/>
    </row>
    <row r="2809" spans="4:7" x14ac:dyDescent="0.25">
      <c r="D2809"/>
      <c r="E2809"/>
      <c r="F2809"/>
      <c r="G2809"/>
    </row>
    <row r="2810" spans="4:7" x14ac:dyDescent="0.25">
      <c r="D2810"/>
      <c r="E2810"/>
      <c r="F2810"/>
      <c r="G2810"/>
    </row>
    <row r="2811" spans="4:7" x14ac:dyDescent="0.25">
      <c r="D2811"/>
      <c r="E2811"/>
      <c r="F2811"/>
      <c r="G2811"/>
    </row>
    <row r="2812" spans="4:7" x14ac:dyDescent="0.25">
      <c r="D2812"/>
      <c r="E2812"/>
      <c r="F2812"/>
      <c r="G2812"/>
    </row>
    <row r="2813" spans="4:7" x14ac:dyDescent="0.25">
      <c r="D2813"/>
      <c r="E2813"/>
      <c r="F2813"/>
      <c r="G2813"/>
    </row>
    <row r="2814" spans="4:7" x14ac:dyDescent="0.25">
      <c r="D2814"/>
      <c r="E2814"/>
      <c r="F2814"/>
      <c r="G2814"/>
    </row>
    <row r="2815" spans="4:7" x14ac:dyDescent="0.25">
      <c r="D2815"/>
      <c r="E2815"/>
      <c r="F2815"/>
      <c r="G2815"/>
    </row>
    <row r="2816" spans="4:7" x14ac:dyDescent="0.25">
      <c r="D2816"/>
      <c r="E2816"/>
      <c r="F2816"/>
      <c r="G2816"/>
    </row>
    <row r="2817" spans="4:7" x14ac:dyDescent="0.25">
      <c r="D2817"/>
      <c r="E2817"/>
      <c r="F2817"/>
      <c r="G2817"/>
    </row>
    <row r="2818" spans="4:7" x14ac:dyDescent="0.25">
      <c r="D2818"/>
      <c r="E2818"/>
      <c r="F2818"/>
      <c r="G2818"/>
    </row>
    <row r="2819" spans="4:7" x14ac:dyDescent="0.25">
      <c r="D2819"/>
      <c r="E2819"/>
      <c r="F2819"/>
      <c r="G2819"/>
    </row>
    <row r="2820" spans="4:7" x14ac:dyDescent="0.25">
      <c r="D2820"/>
      <c r="E2820"/>
      <c r="F2820"/>
      <c r="G2820"/>
    </row>
    <row r="2821" spans="4:7" x14ac:dyDescent="0.25">
      <c r="D2821"/>
      <c r="E2821"/>
      <c r="F2821"/>
      <c r="G2821"/>
    </row>
    <row r="2822" spans="4:7" x14ac:dyDescent="0.25">
      <c r="D2822"/>
      <c r="E2822"/>
      <c r="F2822"/>
      <c r="G2822"/>
    </row>
    <row r="2823" spans="4:7" x14ac:dyDescent="0.25">
      <c r="D2823"/>
      <c r="E2823"/>
      <c r="F2823"/>
      <c r="G2823"/>
    </row>
    <row r="2824" spans="4:7" x14ac:dyDescent="0.25">
      <c r="D2824"/>
      <c r="E2824"/>
      <c r="F2824"/>
      <c r="G2824"/>
    </row>
    <row r="2825" spans="4:7" x14ac:dyDescent="0.25">
      <c r="D2825"/>
      <c r="E2825"/>
      <c r="F2825"/>
      <c r="G2825"/>
    </row>
    <row r="2826" spans="4:7" x14ac:dyDescent="0.25">
      <c r="D2826"/>
      <c r="E2826"/>
      <c r="F2826"/>
      <c r="G2826"/>
    </row>
    <row r="2827" spans="4:7" x14ac:dyDescent="0.25">
      <c r="D2827"/>
      <c r="E2827"/>
      <c r="F2827"/>
      <c r="G2827"/>
    </row>
    <row r="2828" spans="4:7" x14ac:dyDescent="0.25">
      <c r="D2828"/>
      <c r="E2828"/>
      <c r="F2828"/>
      <c r="G2828"/>
    </row>
    <row r="2829" spans="4:7" x14ac:dyDescent="0.25">
      <c r="D2829"/>
      <c r="E2829"/>
      <c r="F2829"/>
      <c r="G2829"/>
    </row>
    <row r="2830" spans="4:7" x14ac:dyDescent="0.25">
      <c r="D2830"/>
      <c r="E2830"/>
      <c r="F2830"/>
      <c r="G2830"/>
    </row>
    <row r="2831" spans="4:7" x14ac:dyDescent="0.25">
      <c r="D2831"/>
      <c r="E2831"/>
      <c r="F2831"/>
      <c r="G2831"/>
    </row>
    <row r="2832" spans="4:7" x14ac:dyDescent="0.25">
      <c r="D2832"/>
      <c r="E2832"/>
      <c r="F2832"/>
      <c r="G2832"/>
    </row>
    <row r="2833" spans="4:7" x14ac:dyDescent="0.25">
      <c r="D2833"/>
      <c r="E2833"/>
      <c r="F2833"/>
      <c r="G2833"/>
    </row>
    <row r="2834" spans="4:7" x14ac:dyDescent="0.25">
      <c r="D2834"/>
      <c r="E2834"/>
      <c r="F2834"/>
      <c r="G2834"/>
    </row>
    <row r="2835" spans="4:7" x14ac:dyDescent="0.25">
      <c r="D2835"/>
      <c r="E2835"/>
      <c r="F2835"/>
      <c r="G2835"/>
    </row>
    <row r="2836" spans="4:7" x14ac:dyDescent="0.25">
      <c r="D2836"/>
      <c r="E2836"/>
      <c r="F2836"/>
      <c r="G2836"/>
    </row>
    <row r="2837" spans="4:7" x14ac:dyDescent="0.25">
      <c r="D2837"/>
      <c r="E2837"/>
      <c r="F2837"/>
      <c r="G2837"/>
    </row>
    <row r="2838" spans="4:7" x14ac:dyDescent="0.25">
      <c r="D2838"/>
      <c r="E2838"/>
      <c r="F2838"/>
      <c r="G2838"/>
    </row>
    <row r="2839" spans="4:7" x14ac:dyDescent="0.25">
      <c r="D2839"/>
      <c r="E2839"/>
      <c r="F2839"/>
      <c r="G2839"/>
    </row>
    <row r="2840" spans="4:7" x14ac:dyDescent="0.25">
      <c r="D2840"/>
      <c r="E2840"/>
      <c r="F2840"/>
      <c r="G2840"/>
    </row>
    <row r="2841" spans="4:7" x14ac:dyDescent="0.25">
      <c r="D2841"/>
      <c r="E2841"/>
      <c r="F2841"/>
      <c r="G2841"/>
    </row>
    <row r="2842" spans="4:7" x14ac:dyDescent="0.25">
      <c r="D2842"/>
      <c r="E2842"/>
      <c r="F2842"/>
      <c r="G2842"/>
    </row>
    <row r="2843" spans="4:7" x14ac:dyDescent="0.25">
      <c r="D2843"/>
      <c r="E2843"/>
      <c r="F2843"/>
      <c r="G2843"/>
    </row>
    <row r="2844" spans="4:7" x14ac:dyDescent="0.25">
      <c r="D2844"/>
      <c r="E2844"/>
      <c r="F2844"/>
      <c r="G2844"/>
    </row>
    <row r="2845" spans="4:7" x14ac:dyDescent="0.25">
      <c r="D2845"/>
      <c r="E2845"/>
      <c r="F2845"/>
      <c r="G2845"/>
    </row>
    <row r="2846" spans="4:7" x14ac:dyDescent="0.25">
      <c r="D2846"/>
      <c r="E2846"/>
      <c r="F2846"/>
      <c r="G2846"/>
    </row>
    <row r="2847" spans="4:7" x14ac:dyDescent="0.25">
      <c r="D2847"/>
      <c r="E2847"/>
      <c r="F2847"/>
      <c r="G2847"/>
    </row>
    <row r="2848" spans="4:7" x14ac:dyDescent="0.25">
      <c r="D2848"/>
      <c r="E2848"/>
      <c r="F2848"/>
      <c r="G2848"/>
    </row>
    <row r="2849" spans="4:7" x14ac:dyDescent="0.25">
      <c r="D2849"/>
      <c r="E2849"/>
      <c r="F2849"/>
      <c r="G2849"/>
    </row>
    <row r="2850" spans="4:7" x14ac:dyDescent="0.25">
      <c r="D2850"/>
      <c r="E2850"/>
      <c r="F2850"/>
      <c r="G2850"/>
    </row>
    <row r="2851" spans="4:7" x14ac:dyDescent="0.25">
      <c r="D2851"/>
      <c r="E2851"/>
      <c r="F2851"/>
      <c r="G2851"/>
    </row>
    <row r="2852" spans="4:7" x14ac:dyDescent="0.25">
      <c r="D2852"/>
      <c r="E2852"/>
      <c r="F2852"/>
      <c r="G2852"/>
    </row>
    <row r="2853" spans="4:7" x14ac:dyDescent="0.25">
      <c r="D2853"/>
      <c r="E2853"/>
      <c r="F2853"/>
      <c r="G2853"/>
    </row>
    <row r="2854" spans="4:7" x14ac:dyDescent="0.25">
      <c r="D2854"/>
      <c r="E2854"/>
      <c r="F2854"/>
      <c r="G2854"/>
    </row>
    <row r="2855" spans="4:7" x14ac:dyDescent="0.25">
      <c r="D2855"/>
      <c r="E2855"/>
      <c r="F2855"/>
      <c r="G2855"/>
    </row>
    <row r="2856" spans="4:7" x14ac:dyDescent="0.25">
      <c r="D2856"/>
      <c r="E2856"/>
      <c r="F2856"/>
      <c r="G2856"/>
    </row>
    <row r="2857" spans="4:7" x14ac:dyDescent="0.25">
      <c r="D2857"/>
      <c r="E2857"/>
      <c r="F2857"/>
      <c r="G2857"/>
    </row>
    <row r="2858" spans="4:7" x14ac:dyDescent="0.25">
      <c r="D2858"/>
      <c r="E2858"/>
      <c r="F2858"/>
      <c r="G2858"/>
    </row>
    <row r="2859" spans="4:7" x14ac:dyDescent="0.25">
      <c r="D2859"/>
      <c r="E2859"/>
      <c r="F2859"/>
      <c r="G2859"/>
    </row>
    <row r="2860" spans="4:7" x14ac:dyDescent="0.25">
      <c r="D2860"/>
      <c r="E2860"/>
      <c r="F2860"/>
      <c r="G2860"/>
    </row>
    <row r="2861" spans="4:7" x14ac:dyDescent="0.25">
      <c r="D2861"/>
      <c r="E2861"/>
      <c r="F2861"/>
      <c r="G2861"/>
    </row>
    <row r="2862" spans="4:7" x14ac:dyDescent="0.25">
      <c r="D2862"/>
      <c r="E2862"/>
      <c r="F2862"/>
      <c r="G2862"/>
    </row>
    <row r="2863" spans="4:7" x14ac:dyDescent="0.25">
      <c r="D2863"/>
      <c r="E2863"/>
      <c r="F2863"/>
      <c r="G2863"/>
    </row>
    <row r="2864" spans="4:7" x14ac:dyDescent="0.25">
      <c r="D2864"/>
      <c r="E2864"/>
      <c r="F2864"/>
      <c r="G2864"/>
    </row>
    <row r="2865" spans="4:7" x14ac:dyDescent="0.25">
      <c r="D2865"/>
      <c r="E2865"/>
      <c r="F2865"/>
      <c r="G2865"/>
    </row>
    <row r="2866" spans="4:7" x14ac:dyDescent="0.25">
      <c r="D2866"/>
      <c r="E2866"/>
      <c r="F2866"/>
      <c r="G2866"/>
    </row>
    <row r="2867" spans="4:7" x14ac:dyDescent="0.25">
      <c r="D2867"/>
      <c r="E2867"/>
      <c r="F2867"/>
      <c r="G2867"/>
    </row>
    <row r="2868" spans="4:7" x14ac:dyDescent="0.25">
      <c r="D2868"/>
      <c r="E2868"/>
      <c r="F2868"/>
      <c r="G2868"/>
    </row>
    <row r="2869" spans="4:7" x14ac:dyDescent="0.25">
      <c r="D2869"/>
      <c r="E2869"/>
      <c r="F2869"/>
      <c r="G2869"/>
    </row>
    <row r="2870" spans="4:7" x14ac:dyDescent="0.25">
      <c r="D2870"/>
      <c r="E2870"/>
      <c r="F2870"/>
      <c r="G2870"/>
    </row>
    <row r="2871" spans="4:7" x14ac:dyDescent="0.25">
      <c r="D2871"/>
      <c r="E2871"/>
      <c r="F2871"/>
      <c r="G2871"/>
    </row>
    <row r="2872" spans="4:7" x14ac:dyDescent="0.25">
      <c r="D2872"/>
      <c r="E2872"/>
      <c r="F2872"/>
      <c r="G2872"/>
    </row>
    <row r="2873" spans="4:7" x14ac:dyDescent="0.25">
      <c r="D2873"/>
      <c r="E2873"/>
      <c r="F2873"/>
      <c r="G2873"/>
    </row>
    <row r="2874" spans="4:7" x14ac:dyDescent="0.25">
      <c r="D2874"/>
      <c r="E2874"/>
      <c r="F2874"/>
      <c r="G2874"/>
    </row>
    <row r="2875" spans="4:7" x14ac:dyDescent="0.25">
      <c r="D2875"/>
      <c r="E2875"/>
      <c r="F2875"/>
      <c r="G2875"/>
    </row>
    <row r="2876" spans="4:7" x14ac:dyDescent="0.25">
      <c r="D2876"/>
      <c r="E2876"/>
      <c r="F2876"/>
      <c r="G2876"/>
    </row>
    <row r="2877" spans="4:7" x14ac:dyDescent="0.25">
      <c r="D2877"/>
      <c r="E2877"/>
      <c r="F2877"/>
      <c r="G2877"/>
    </row>
    <row r="2878" spans="4:7" x14ac:dyDescent="0.25">
      <c r="D2878"/>
      <c r="E2878"/>
      <c r="F2878"/>
      <c r="G2878"/>
    </row>
    <row r="2879" spans="4:7" x14ac:dyDescent="0.25">
      <c r="D2879"/>
      <c r="E2879"/>
      <c r="F2879"/>
      <c r="G2879"/>
    </row>
    <row r="2880" spans="4:7" x14ac:dyDescent="0.25">
      <c r="D2880"/>
      <c r="E2880"/>
      <c r="F2880"/>
      <c r="G2880"/>
    </row>
    <row r="2881" spans="4:7" x14ac:dyDescent="0.25">
      <c r="D2881"/>
      <c r="E2881"/>
      <c r="F2881"/>
      <c r="G2881"/>
    </row>
    <row r="2882" spans="4:7" x14ac:dyDescent="0.25">
      <c r="D2882"/>
      <c r="E2882"/>
      <c r="F2882"/>
      <c r="G2882"/>
    </row>
    <row r="2883" spans="4:7" x14ac:dyDescent="0.25">
      <c r="D2883"/>
      <c r="E2883"/>
      <c r="F2883"/>
      <c r="G2883"/>
    </row>
    <row r="2884" spans="4:7" x14ac:dyDescent="0.25">
      <c r="D2884"/>
      <c r="E2884"/>
      <c r="F2884"/>
      <c r="G2884"/>
    </row>
    <row r="2885" spans="4:7" x14ac:dyDescent="0.25">
      <c r="D2885"/>
      <c r="E2885"/>
      <c r="F2885"/>
      <c r="G2885"/>
    </row>
    <row r="2886" spans="4:7" x14ac:dyDescent="0.25">
      <c r="D2886"/>
      <c r="E2886"/>
      <c r="F2886"/>
      <c r="G2886"/>
    </row>
    <row r="2887" spans="4:7" x14ac:dyDescent="0.25">
      <c r="D2887"/>
      <c r="E2887"/>
      <c r="F2887"/>
      <c r="G2887"/>
    </row>
    <row r="2888" spans="4:7" x14ac:dyDescent="0.25">
      <c r="D2888"/>
      <c r="E2888"/>
      <c r="F2888"/>
      <c r="G2888"/>
    </row>
    <row r="2889" spans="4:7" x14ac:dyDescent="0.25">
      <c r="D2889"/>
      <c r="E2889"/>
      <c r="F2889"/>
      <c r="G2889"/>
    </row>
    <row r="2890" spans="4:7" x14ac:dyDescent="0.25">
      <c r="D2890"/>
      <c r="E2890"/>
      <c r="F2890"/>
      <c r="G2890"/>
    </row>
    <row r="2891" spans="4:7" x14ac:dyDescent="0.25">
      <c r="D2891"/>
      <c r="E2891"/>
      <c r="F2891"/>
      <c r="G2891"/>
    </row>
    <row r="2892" spans="4:7" x14ac:dyDescent="0.25">
      <c r="D2892"/>
      <c r="E2892"/>
      <c r="F2892"/>
      <c r="G2892"/>
    </row>
    <row r="2893" spans="4:7" x14ac:dyDescent="0.25">
      <c r="D2893"/>
      <c r="E2893"/>
      <c r="F2893"/>
      <c r="G2893"/>
    </row>
    <row r="2894" spans="4:7" x14ac:dyDescent="0.25">
      <c r="D2894"/>
      <c r="E2894"/>
      <c r="F2894"/>
      <c r="G2894"/>
    </row>
    <row r="2895" spans="4:7" x14ac:dyDescent="0.25">
      <c r="F2895"/>
      <c r="G2895"/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6" r:id="rId3" name="Reset">
          <controlPr defaultSize="0" autoLine="0" r:id="rId4">
            <anchor moveWithCells="1">
              <from>
                <xdr:col>3</xdr:col>
                <xdr:colOff>9525</xdr:colOff>
                <xdr:row>11</xdr:row>
                <xdr:rowOff>9525</xdr:rowOff>
              </from>
              <to>
                <xdr:col>5</xdr:col>
                <xdr:colOff>9525</xdr:colOff>
                <xdr:row>13</xdr:row>
                <xdr:rowOff>9525</xdr:rowOff>
              </to>
            </anchor>
          </controlPr>
        </control>
      </mc:Choice>
      <mc:Fallback>
        <control shapeId="1036" r:id="rId3" name="Reset"/>
      </mc:Fallback>
    </mc:AlternateContent>
    <mc:AlternateContent xmlns:mc="http://schemas.openxmlformats.org/markup-compatibility/2006">
      <mc:Choice Requires="x14">
        <control shapeId="1035" r:id="rId5" name="BestFit">
          <controlPr defaultSize="0" autoLine="0" r:id="rId6">
            <anchor moveWithCells="1">
              <from>
                <xdr:col>3</xdr:col>
                <xdr:colOff>0</xdr:colOff>
                <xdr:row>0</xdr:row>
                <xdr:rowOff>9525</xdr:rowOff>
              </from>
              <to>
                <xdr:col>5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35" r:id="rId5" name="BestFit"/>
      </mc:Fallback>
    </mc:AlternateContent>
    <mc:AlternateContent xmlns:mc="http://schemas.openxmlformats.org/markup-compatibility/2006">
      <mc:Choice Requires="x14">
        <control shapeId="1034" r:id="rId7" name="CommandButton2">
          <controlPr autoLine="0" r:id="rId8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171450</xdr:rowOff>
              </to>
            </anchor>
          </controlPr>
        </control>
      </mc:Choice>
      <mc:Fallback>
        <control shapeId="1034" r:id="rId7" name="CommandButton2"/>
      </mc:Fallback>
    </mc:AlternateContent>
    <mc:AlternateContent xmlns:mc="http://schemas.openxmlformats.org/markup-compatibility/2006">
      <mc:Choice Requires="x14">
        <control shapeId="1025" r:id="rId9" name="Test">
          <controlPr autoLine="0" r:id="rId10">
            <anchor moveWithCells="1">
              <from>
                <xdr:col>3</xdr:col>
                <xdr:colOff>0</xdr:colOff>
                <xdr:row>1</xdr:row>
                <xdr:rowOff>152400</xdr:rowOff>
              </from>
              <to>
                <xdr:col>5</xdr:col>
                <xdr:colOff>9525</xdr:colOff>
                <xdr:row>6</xdr:row>
                <xdr:rowOff>200025</xdr:rowOff>
              </to>
            </anchor>
          </controlPr>
        </control>
      </mc:Choice>
      <mc:Fallback>
        <control shapeId="1025" r:id="rId9" name="Test"/>
      </mc:Fallback>
    </mc:AlternateContent>
    <mc:AlternateContent xmlns:mc="http://schemas.openxmlformats.org/markup-compatibility/2006">
      <mc:Choice Requires="x14">
        <control shapeId="1039" r:id="rId11" name="ExportData">
          <controlPr defaultSize="0" autoLine="0" r:id="rId12">
            <anchor moveWithCells="1">
              <from>
                <xdr:col>3</xdr:col>
                <xdr:colOff>9525</xdr:colOff>
                <xdr:row>8</xdr:row>
                <xdr:rowOff>180975</xdr:rowOff>
              </from>
              <to>
                <xdr:col>5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39" r:id="rId11" name="ExportData"/>
      </mc:Fallback>
    </mc:AlternateContent>
    <mc:AlternateContent xmlns:mc="http://schemas.openxmlformats.org/markup-compatibility/2006">
      <mc:Choice Requires="x14">
        <control shapeId="1041" r:id="rId13" name="Graph">
          <controlPr autoLine="0" r:id="rId14">
            <anchor moveWithCells="1">
              <from>
                <xdr:col>5</xdr:col>
                <xdr:colOff>9525</xdr:colOff>
                <xdr:row>0</xdr:row>
                <xdr:rowOff>0</xdr:rowOff>
              </from>
              <to>
                <xdr:col>7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41" r:id="rId13" name="Graph"/>
      </mc:Fallback>
    </mc:AlternateContent>
    <mc:AlternateContent xmlns:mc="http://schemas.openxmlformats.org/markup-compatibility/2006">
      <mc:Choice Requires="x14">
        <control shapeId="1043" r:id="rId15" name="CommandButton1">
          <controlPr defaultSize="0" autoLine="0" r:id="rId16">
            <anchor moveWithCells="1">
              <from>
                <xdr:col>5</xdr:col>
                <xdr:colOff>28575</xdr:colOff>
                <xdr:row>1</xdr:row>
                <xdr:rowOff>171450</xdr:rowOff>
              </from>
              <to>
                <xdr:col>7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1043" r:id="rId1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45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D16" sqref="D16:E45"/>
    </sheetView>
  </sheetViews>
  <sheetFormatPr defaultRowHeight="15" x14ac:dyDescent="0.25"/>
  <cols>
    <col min="1" max="1" width="47.7109375" bestFit="1" customWidth="1"/>
    <col min="2" max="2" width="19.140625" customWidth="1"/>
    <col min="3" max="3" width="12.28515625" hidden="1" customWidth="1"/>
    <col min="4" max="4" width="20.7109375" bestFit="1" customWidth="1"/>
    <col min="5" max="6" width="20.5703125" customWidth="1"/>
    <col min="7" max="8" width="20.7109375" customWidth="1"/>
    <col min="9" max="9" width="16.140625" hidden="1" customWidth="1"/>
    <col min="10" max="11" width="20.7109375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53</v>
      </c>
      <c r="D1" s="1"/>
      <c r="E1" s="1"/>
      <c r="F1">
        <f>($D1)^2 * $B$2 + $D1 * $B$3 + $B$4</f>
        <v>-4.3780112225876793E-13</v>
      </c>
      <c r="G1">
        <f>(F1-E1)^2</f>
        <v>1.9166982265103668E-25</v>
      </c>
      <c r="H1" s="29" t="b">
        <v>1</v>
      </c>
    </row>
    <row r="2" spans="1:11" ht="15" customHeight="1" thickTop="1" thickBot="1" x14ac:dyDescent="0.3">
      <c r="A2" s="16" t="s">
        <v>6</v>
      </c>
      <c r="B2" s="16">
        <v>0.99999999999999856</v>
      </c>
      <c r="D2" s="1"/>
      <c r="H2" s="29"/>
    </row>
    <row r="3" spans="1:11" ht="15" customHeight="1" thickTop="1" thickBot="1" x14ac:dyDescent="0.3">
      <c r="A3" s="16" t="s">
        <v>1</v>
      </c>
      <c r="B3" s="16">
        <v>5.4182229309310239E-14</v>
      </c>
      <c r="D3" s="1"/>
    </row>
    <row r="4" spans="1:11" ht="15" customHeight="1" thickTop="1" thickBot="1" x14ac:dyDescent="0.3">
      <c r="A4" s="16" t="s">
        <v>7</v>
      </c>
      <c r="B4" s="16">
        <v>-4.3780112225876793E-13</v>
      </c>
      <c r="D4" s="1"/>
    </row>
    <row r="5" spans="1:11" ht="15" hidden="1" customHeight="1" thickTop="1" thickBot="1" x14ac:dyDescent="0.3">
      <c r="A5" s="16"/>
      <c r="B5" s="16"/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1.0000000000000002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5.8977362570600788E-25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1.481590357715176E-25</v>
      </c>
    </row>
    <row r="12" spans="1:11" ht="15" customHeight="1" thickTop="1" thickBot="1" x14ac:dyDescent="0.3">
      <c r="A12" s="16" t="s">
        <v>10</v>
      </c>
      <c r="B12" s="16">
        <v>30</v>
      </c>
    </row>
    <row r="13" spans="1:11" ht="15" customHeight="1" thickTop="1" thickBot="1" x14ac:dyDescent="0.3">
      <c r="A13" s="16" t="s">
        <v>9</v>
      </c>
      <c r="B13" s="16">
        <f>B12-B14</f>
        <v>30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56</v>
      </c>
      <c r="E15" s="1" t="s">
        <v>57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" customHeight="1" thickTop="1" x14ac:dyDescent="0.25">
      <c r="D16">
        <v>1</v>
      </c>
      <c r="E16">
        <v>1</v>
      </c>
      <c r="F16">
        <f t="shared" ref="F16:F46" si="0">($D16)^2 * $B$2 + $D16 * $B$3 + $B$4</f>
        <v>0.99999999999961509</v>
      </c>
      <c r="G16">
        <f t="shared" ref="G16:G46" si="1">(F16-E16)^2</f>
        <v>1.481590357715176E-25</v>
      </c>
    </row>
    <row r="17" spans="4:20" x14ac:dyDescent="0.25">
      <c r="D17">
        <v>2</v>
      </c>
      <c r="E17">
        <v>4</v>
      </c>
      <c r="F17">
        <f t="shared" si="0"/>
        <v>3.9999999999996652</v>
      </c>
      <c r="G17">
        <f t="shared" si="1"/>
        <v>1.1212001159815719E-25</v>
      </c>
    </row>
    <row r="18" spans="4:20" x14ac:dyDescent="0.25">
      <c r="D18">
        <v>3</v>
      </c>
      <c r="E18">
        <v>9</v>
      </c>
      <c r="F18">
        <f t="shared" si="0"/>
        <v>8.999999999999714</v>
      </c>
      <c r="G18">
        <f t="shared" si="1"/>
        <v>8.1792254096935388E-26</v>
      </c>
    </row>
    <row r="19" spans="4:20" x14ac:dyDescent="0.25">
      <c r="D19">
        <v>4</v>
      </c>
      <c r="E19">
        <v>16</v>
      </c>
      <c r="F19">
        <f t="shared" si="0"/>
        <v>15.999999999999758</v>
      </c>
      <c r="G19">
        <f t="shared" si="1"/>
        <v>5.8363085211871337E-26</v>
      </c>
    </row>
    <row r="20" spans="4:20" x14ac:dyDescent="0.25">
      <c r="D20">
        <v>5</v>
      </c>
      <c r="E20">
        <v>25</v>
      </c>
      <c r="F20">
        <f t="shared" si="0"/>
        <v>24.999999999999797</v>
      </c>
      <c r="G20">
        <f t="shared" si="1"/>
        <v>4.1008145297009078E-26</v>
      </c>
      <c r="T20" s="4"/>
    </row>
    <row r="21" spans="4:20" x14ac:dyDescent="0.25">
      <c r="D21">
        <v>6</v>
      </c>
      <c r="E21">
        <v>36</v>
      </c>
      <c r="F21">
        <f t="shared" si="0"/>
        <v>35.999999999999837</v>
      </c>
      <c r="G21">
        <f t="shared" si="1"/>
        <v>2.6707674807162576E-26</v>
      </c>
    </row>
    <row r="22" spans="4:20" x14ac:dyDescent="0.25">
      <c r="D22">
        <v>7</v>
      </c>
      <c r="E22">
        <v>49</v>
      </c>
      <c r="F22">
        <f t="shared" si="0"/>
        <v>48.999999999999865</v>
      </c>
      <c r="G22">
        <f t="shared" si="1"/>
        <v>1.8225842354226257E-26</v>
      </c>
    </row>
    <row r="23" spans="4:20" x14ac:dyDescent="0.25">
      <c r="D23">
        <v>8</v>
      </c>
      <c r="E23">
        <v>64</v>
      </c>
      <c r="F23">
        <f t="shared" si="0"/>
        <v>63.999999999999901</v>
      </c>
      <c r="G23">
        <f t="shared" si="1"/>
        <v>9.8954711950923721E-27</v>
      </c>
    </row>
    <row r="24" spans="4:20" x14ac:dyDescent="0.25">
      <c r="D24">
        <v>9</v>
      </c>
      <c r="E24">
        <v>81</v>
      </c>
      <c r="F24">
        <f t="shared" si="0"/>
        <v>80.999999999999929</v>
      </c>
      <c r="G24">
        <f t="shared" si="1"/>
        <v>5.0487097934144756E-27</v>
      </c>
    </row>
    <row r="25" spans="4:20" x14ac:dyDescent="0.25">
      <c r="D25">
        <v>10</v>
      </c>
      <c r="E25">
        <v>100</v>
      </c>
      <c r="F25">
        <f t="shared" si="0"/>
        <v>99.999999999999957</v>
      </c>
      <c r="G25">
        <f t="shared" si="1"/>
        <v>1.8175355256292112E-27</v>
      </c>
    </row>
    <row r="26" spans="4:20" x14ac:dyDescent="0.25">
      <c r="D26">
        <v>11</v>
      </c>
      <c r="E26">
        <v>121</v>
      </c>
      <c r="F26">
        <f t="shared" si="0"/>
        <v>120.99999999999999</v>
      </c>
      <c r="G26">
        <f t="shared" si="1"/>
        <v>2.0194839173657902E-28</v>
      </c>
    </row>
    <row r="27" spans="4:20" x14ac:dyDescent="0.25">
      <c r="D27">
        <v>12</v>
      </c>
      <c r="E27">
        <v>144</v>
      </c>
      <c r="F27">
        <f t="shared" si="0"/>
        <v>144.00000000000003</v>
      </c>
      <c r="G27">
        <f t="shared" si="1"/>
        <v>8.0779356694631609E-28</v>
      </c>
    </row>
    <row r="28" spans="4:20" x14ac:dyDescent="0.25">
      <c r="D28">
        <v>13</v>
      </c>
      <c r="E28">
        <v>169</v>
      </c>
      <c r="F28">
        <f t="shared" si="0"/>
        <v>169.00000000000003</v>
      </c>
      <c r="G28">
        <f t="shared" si="1"/>
        <v>8.0779356694631609E-28</v>
      </c>
    </row>
    <row r="29" spans="4:20" x14ac:dyDescent="0.25">
      <c r="D29">
        <v>14</v>
      </c>
      <c r="E29">
        <v>196</v>
      </c>
      <c r="F29">
        <f t="shared" si="0"/>
        <v>196.00000000000006</v>
      </c>
      <c r="G29">
        <f t="shared" si="1"/>
        <v>3.2311742677852644E-27</v>
      </c>
    </row>
    <row r="30" spans="4:20" x14ac:dyDescent="0.25">
      <c r="D30">
        <v>15</v>
      </c>
      <c r="E30">
        <v>225</v>
      </c>
      <c r="F30">
        <f t="shared" si="0"/>
        <v>225.00000000000009</v>
      </c>
      <c r="G30">
        <f t="shared" si="1"/>
        <v>7.2701421025168448E-27</v>
      </c>
    </row>
    <row r="31" spans="4:20" x14ac:dyDescent="0.25">
      <c r="D31">
        <v>16</v>
      </c>
      <c r="E31">
        <v>256</v>
      </c>
      <c r="F31">
        <f t="shared" si="0"/>
        <v>256.00000000000006</v>
      </c>
      <c r="G31">
        <f t="shared" si="1"/>
        <v>3.2311742677852644E-27</v>
      </c>
    </row>
    <row r="32" spans="4:20" x14ac:dyDescent="0.25">
      <c r="D32">
        <v>17</v>
      </c>
      <c r="E32">
        <v>289</v>
      </c>
      <c r="F32">
        <f t="shared" si="0"/>
        <v>289.00000000000006</v>
      </c>
      <c r="G32">
        <f t="shared" si="1"/>
        <v>3.2311742677852644E-27</v>
      </c>
    </row>
    <row r="33" spans="4:7" x14ac:dyDescent="0.25">
      <c r="D33">
        <v>18</v>
      </c>
      <c r="E33">
        <v>324</v>
      </c>
      <c r="F33">
        <f t="shared" si="0"/>
        <v>324.00000000000006</v>
      </c>
      <c r="G33">
        <f t="shared" si="1"/>
        <v>3.2311742677852644E-27</v>
      </c>
    </row>
    <row r="34" spans="4:7" x14ac:dyDescent="0.25">
      <c r="D34">
        <v>19</v>
      </c>
      <c r="E34">
        <v>361</v>
      </c>
      <c r="F34">
        <f t="shared" si="0"/>
        <v>361.00000000000006</v>
      </c>
      <c r="G34">
        <f t="shared" si="1"/>
        <v>3.2311742677852644E-27</v>
      </c>
    </row>
    <row r="35" spans="4:7" x14ac:dyDescent="0.25">
      <c r="D35">
        <v>20</v>
      </c>
      <c r="E35">
        <v>400</v>
      </c>
      <c r="F35">
        <f t="shared" si="0"/>
        <v>400.00000000000006</v>
      </c>
      <c r="G35">
        <f t="shared" si="1"/>
        <v>3.2311742677852644E-27</v>
      </c>
    </row>
    <row r="36" spans="4:7" x14ac:dyDescent="0.25">
      <c r="D36">
        <v>21</v>
      </c>
      <c r="E36">
        <v>441</v>
      </c>
      <c r="F36">
        <f t="shared" si="0"/>
        <v>441.00000000000006</v>
      </c>
      <c r="G36">
        <f t="shared" si="1"/>
        <v>3.2311742677852644E-27</v>
      </c>
    </row>
    <row r="37" spans="4:7" x14ac:dyDescent="0.25">
      <c r="D37">
        <v>22</v>
      </c>
      <c r="E37">
        <v>484</v>
      </c>
      <c r="F37">
        <f t="shared" si="0"/>
        <v>484.00000000000006</v>
      </c>
      <c r="G37">
        <f t="shared" si="1"/>
        <v>3.2311742677852644E-27</v>
      </c>
    </row>
    <row r="38" spans="4:7" x14ac:dyDescent="0.25">
      <c r="D38">
        <v>23</v>
      </c>
      <c r="E38">
        <v>529</v>
      </c>
      <c r="F38">
        <f t="shared" si="0"/>
        <v>529</v>
      </c>
      <c r="G38">
        <f t="shared" si="1"/>
        <v>0</v>
      </c>
    </row>
    <row r="39" spans="4:7" x14ac:dyDescent="0.25">
      <c r="D39">
        <v>24</v>
      </c>
      <c r="E39">
        <v>576</v>
      </c>
      <c r="F39">
        <f t="shared" si="0"/>
        <v>576</v>
      </c>
      <c r="G39">
        <f t="shared" si="1"/>
        <v>0</v>
      </c>
    </row>
    <row r="40" spans="4:7" x14ac:dyDescent="0.25">
      <c r="D40">
        <v>25</v>
      </c>
      <c r="E40">
        <v>625</v>
      </c>
      <c r="F40">
        <f t="shared" si="0"/>
        <v>625</v>
      </c>
      <c r="G40">
        <f t="shared" si="1"/>
        <v>0</v>
      </c>
    </row>
    <row r="41" spans="4:7" x14ac:dyDescent="0.25">
      <c r="D41">
        <v>26</v>
      </c>
      <c r="E41">
        <v>676</v>
      </c>
      <c r="F41">
        <f t="shared" si="0"/>
        <v>675.99999999999989</v>
      </c>
      <c r="G41">
        <f t="shared" si="1"/>
        <v>1.2924697071141057E-26</v>
      </c>
    </row>
    <row r="42" spans="4:7" x14ac:dyDescent="0.25">
      <c r="D42">
        <v>27</v>
      </c>
      <c r="E42">
        <v>729</v>
      </c>
      <c r="F42">
        <f t="shared" si="0"/>
        <v>729</v>
      </c>
      <c r="G42">
        <f t="shared" si="1"/>
        <v>0</v>
      </c>
    </row>
    <row r="43" spans="4:7" x14ac:dyDescent="0.25">
      <c r="D43">
        <v>28</v>
      </c>
      <c r="E43">
        <v>784</v>
      </c>
      <c r="F43">
        <f t="shared" si="0"/>
        <v>783.99999999999989</v>
      </c>
      <c r="G43">
        <f t="shared" si="1"/>
        <v>1.2924697071141057E-26</v>
      </c>
    </row>
    <row r="44" spans="4:7" x14ac:dyDescent="0.25">
      <c r="D44">
        <v>29</v>
      </c>
      <c r="E44">
        <v>841</v>
      </c>
      <c r="F44">
        <f t="shared" si="0"/>
        <v>840.99999999999989</v>
      </c>
      <c r="G44">
        <f t="shared" si="1"/>
        <v>1.2924697071141057E-26</v>
      </c>
    </row>
    <row r="45" spans="4:7" x14ac:dyDescent="0.25">
      <c r="D45">
        <v>30</v>
      </c>
      <c r="E45">
        <v>900</v>
      </c>
      <c r="F45">
        <f t="shared" si="0"/>
        <v>899.99999999999989</v>
      </c>
      <c r="G45">
        <f t="shared" si="1"/>
        <v>1.2924697071141057E-26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Test">
          <controlPr autoLine="0" r:id="rId4">
            <anchor moveWithCells="1">
              <from>
                <xdr:col>3</xdr:col>
                <xdr:colOff>0</xdr:colOff>
                <xdr:row>1</xdr:row>
                <xdr:rowOff>180975</xdr:rowOff>
              </from>
              <to>
                <xdr:col>5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16385" r:id="rId3" name="Test"/>
      </mc:Fallback>
    </mc:AlternateContent>
    <mc:AlternateContent xmlns:mc="http://schemas.openxmlformats.org/markup-compatibility/2006">
      <mc:Choice Requires="x14">
        <control shapeId="16386" r:id="rId5" name="CommandButton2">
          <controlPr autoLine="0" autoPict="0" r:id="rId6">
            <anchor moveWithCells="1">
              <from>
                <xdr:col>2</xdr:col>
                <xdr:colOff>0</xdr:colOff>
                <xdr:row>6</xdr:row>
                <xdr:rowOff>28575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6386" r:id="rId5" name="CommandButton2"/>
      </mc:Fallback>
    </mc:AlternateContent>
    <mc:AlternateContent xmlns:mc="http://schemas.openxmlformats.org/markup-compatibility/2006">
      <mc:Choice Requires="x14">
        <control shapeId="16387" r:id="rId7" name="BestFit">
          <controlPr defaultSize="0" autoLine="0" r:id="rId8">
            <anchor moveWithCells="1">
              <from>
                <xdr:col>3</xdr:col>
                <xdr:colOff>0</xdr:colOff>
                <xdr:row>0</xdr:row>
                <xdr:rowOff>9525</xdr:rowOff>
              </from>
              <to>
                <xdr:col>5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16387" r:id="rId7" name="BestFit"/>
      </mc:Fallback>
    </mc:AlternateContent>
    <mc:AlternateContent xmlns:mc="http://schemas.openxmlformats.org/markup-compatibility/2006">
      <mc:Choice Requires="x14">
        <control shapeId="16388" r:id="rId9" name="Reset">
          <controlPr defaultSize="0" autoLine="0" r:id="rId10">
            <anchor moveWithCells="1">
              <from>
                <xdr:col>3</xdr:col>
                <xdr:colOff>0</xdr:colOff>
                <xdr:row>10</xdr:row>
                <xdr:rowOff>9525</xdr:rowOff>
              </from>
              <to>
                <xdr:col>5</xdr:col>
                <xdr:colOff>9525</xdr:colOff>
                <xdr:row>12</xdr:row>
                <xdr:rowOff>0</xdr:rowOff>
              </to>
            </anchor>
          </controlPr>
        </control>
      </mc:Choice>
      <mc:Fallback>
        <control shapeId="16388" r:id="rId9" name="Reset"/>
      </mc:Fallback>
    </mc:AlternateContent>
    <mc:AlternateContent xmlns:mc="http://schemas.openxmlformats.org/markup-compatibility/2006">
      <mc:Choice Requires="x14">
        <control shapeId="16389" r:id="rId11" name="ExportData">
          <controlPr defaultSize="0" autoLine="0" autoPict="0" r:id="rId12">
            <anchor moveWithCells="1">
              <from>
                <xdr:col>1</xdr:col>
                <xdr:colOff>1266825</xdr:colOff>
                <xdr:row>7</xdr:row>
                <xdr:rowOff>209550</xdr:rowOff>
              </from>
              <to>
                <xdr:col>5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6389" r:id="rId11" name="ExportData"/>
      </mc:Fallback>
    </mc:AlternateContent>
    <mc:AlternateContent xmlns:mc="http://schemas.openxmlformats.org/markup-compatibility/2006">
      <mc:Choice Requires="x14">
        <control shapeId="16390" r:id="rId13" name="Graph">
          <controlPr defaultSize="0" autoLine="0" r:id="rId14">
            <anchor moveWithCells="1">
              <from>
                <xdr:col>5</xdr:col>
                <xdr:colOff>19050</xdr:colOff>
                <xdr:row>0</xdr:row>
                <xdr:rowOff>19050</xdr:rowOff>
              </from>
              <to>
                <xdr:col>6</xdr:col>
                <xdr:colOff>1352550</xdr:colOff>
                <xdr:row>2</xdr:row>
                <xdr:rowOff>19050</xdr:rowOff>
              </to>
            </anchor>
          </controlPr>
        </control>
      </mc:Choice>
      <mc:Fallback>
        <control shapeId="16390" r:id="rId13" name="Graph"/>
      </mc:Fallback>
    </mc:AlternateContent>
    <mc:AlternateContent xmlns:mc="http://schemas.openxmlformats.org/markup-compatibility/2006">
      <mc:Choice Requires="x14">
        <control shapeId="16391" r:id="rId15" name="CommandButton1">
          <controlPr defaultSize="0" autoLine="0" r:id="rId16">
            <anchor moveWithCells="1">
              <from>
                <xdr:col>5</xdr:col>
                <xdr:colOff>9525</xdr:colOff>
                <xdr:row>1</xdr:row>
                <xdr:rowOff>171450</xdr:rowOff>
              </from>
              <to>
                <xdr:col>6</xdr:col>
                <xdr:colOff>1371600</xdr:colOff>
                <xdr:row>6</xdr:row>
                <xdr:rowOff>19050</xdr:rowOff>
              </to>
            </anchor>
          </controlPr>
        </control>
      </mc:Choice>
      <mc:Fallback>
        <control shapeId="16391" r:id="rId1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45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D16" sqref="D16:E45"/>
    </sheetView>
  </sheetViews>
  <sheetFormatPr defaultRowHeight="15" x14ac:dyDescent="0.25"/>
  <cols>
    <col min="1" max="1" width="47.7109375" bestFit="1" customWidth="1"/>
    <col min="2" max="2" width="18.85546875" bestFit="1" customWidth="1"/>
    <col min="3" max="3" width="12.28515625" hidden="1" customWidth="1"/>
    <col min="4" max="4" width="20.7109375" customWidth="1"/>
    <col min="5" max="6" width="20.5703125" customWidth="1"/>
    <col min="7" max="8" width="20.7109375" customWidth="1"/>
    <col min="9" max="9" width="16.140625" hidden="1" customWidth="1"/>
    <col min="10" max="11" width="20.7109375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52</v>
      </c>
      <c r="D1" s="1"/>
      <c r="E1" s="1"/>
      <c r="F1">
        <f>($D1)^3 * $B$2 + ($D1 )^2* $B$3 + ($D1) * $B$4 + $B$5</f>
        <v>-2.0011714319890037E-12</v>
      </c>
      <c r="G1">
        <f>(F1-E1)^2</f>
        <v>4.0046871002089199E-24</v>
      </c>
      <c r="H1" s="29" t="b">
        <v>1</v>
      </c>
    </row>
    <row r="2" spans="1:11" ht="15" customHeight="1" thickTop="1" thickBot="1" x14ac:dyDescent="0.3">
      <c r="A2" s="16" t="s">
        <v>6</v>
      </c>
      <c r="B2" s="16">
        <v>0</v>
      </c>
      <c r="D2" s="1"/>
      <c r="H2" s="29"/>
    </row>
    <row r="3" spans="1:11" ht="15" customHeight="1" thickTop="1" thickBot="1" x14ac:dyDescent="0.3">
      <c r="A3" s="16" t="s">
        <v>1</v>
      </c>
      <c r="B3" s="16">
        <v>0.99999999999995404</v>
      </c>
      <c r="D3" s="1"/>
    </row>
    <row r="4" spans="1:11" ht="15" customHeight="1" thickTop="1" thickBot="1" x14ac:dyDescent="0.3">
      <c r="A4" s="16" t="s">
        <v>7</v>
      </c>
      <c r="B4" s="16">
        <v>6.2740285354077929E-13</v>
      </c>
      <c r="D4" s="1"/>
    </row>
    <row r="5" spans="1:11" ht="15" customHeight="1" thickTop="1" thickBot="1" x14ac:dyDescent="0.3">
      <c r="A5" s="16" t="s">
        <v>15</v>
      </c>
      <c r="B5" s="16">
        <v>-2.0011714319890037E-12</v>
      </c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1.0000000000000002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3.0962220717080685E-21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6.0301466655115717E-22</v>
      </c>
    </row>
    <row r="12" spans="1:11" ht="15" customHeight="1" thickTop="1" thickBot="1" x14ac:dyDescent="0.3">
      <c r="A12" s="16" t="s">
        <v>10</v>
      </c>
      <c r="B12" s="16">
        <v>30</v>
      </c>
    </row>
    <row r="13" spans="1:11" ht="15" customHeight="1" thickTop="1" thickBot="1" x14ac:dyDescent="0.3">
      <c r="A13" s="16" t="s">
        <v>9</v>
      </c>
      <c r="B13" s="16">
        <f>B12-B14</f>
        <v>30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56</v>
      </c>
      <c r="E15" s="1" t="s">
        <v>57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.75" thickTop="1" x14ac:dyDescent="0.25">
      <c r="D16">
        <v>1</v>
      </c>
      <c r="E16">
        <v>1</v>
      </c>
      <c r="F16">
        <f t="shared" ref="F16:F46" si="0">($D16)^3 * $B$2 + ($D16 )^2* $B$3 + ($D16) * $B$4 + $B$5</f>
        <v>0.99999999999858036</v>
      </c>
      <c r="G16">
        <f t="shared" ref="G16:G46" si="1">(F16-E16)^2</f>
        <v>2.0153839237444688E-24</v>
      </c>
    </row>
    <row r="17" spans="4:20" x14ac:dyDescent="0.25">
      <c r="D17">
        <v>2</v>
      </c>
      <c r="E17">
        <v>4</v>
      </c>
      <c r="F17">
        <f t="shared" si="0"/>
        <v>3.9999999999990701</v>
      </c>
      <c r="G17">
        <f t="shared" si="1"/>
        <v>8.6475642405142013E-25</v>
      </c>
    </row>
    <row r="18" spans="4:20" x14ac:dyDescent="0.25">
      <c r="D18">
        <v>3</v>
      </c>
      <c r="E18">
        <v>9</v>
      </c>
      <c r="F18">
        <f t="shared" si="0"/>
        <v>8.9999999999994671</v>
      </c>
      <c r="G18">
        <f t="shared" si="1"/>
        <v>2.8398992587956425E-25</v>
      </c>
    </row>
    <row r="19" spans="4:20" x14ac:dyDescent="0.25">
      <c r="D19">
        <v>4</v>
      </c>
      <c r="E19">
        <v>16</v>
      </c>
      <c r="F19">
        <f t="shared" si="0"/>
        <v>15.999999999999771</v>
      </c>
      <c r="G19">
        <f t="shared" si="1"/>
        <v>5.250973729513143E-26</v>
      </c>
    </row>
    <row r="20" spans="4:20" x14ac:dyDescent="0.25">
      <c r="D20">
        <v>5</v>
      </c>
      <c r="E20">
        <v>25</v>
      </c>
      <c r="F20">
        <f t="shared" si="0"/>
        <v>24.999999999999989</v>
      </c>
      <c r="G20">
        <f t="shared" si="1"/>
        <v>1.135959703518257E-28</v>
      </c>
      <c r="T20" s="4"/>
    </row>
    <row r="21" spans="4:20" x14ac:dyDescent="0.25">
      <c r="D21">
        <v>6</v>
      </c>
      <c r="E21">
        <v>36</v>
      </c>
      <c r="F21">
        <f t="shared" si="0"/>
        <v>36.000000000000107</v>
      </c>
      <c r="G21">
        <f t="shared" si="1"/>
        <v>1.135959703518257E-26</v>
      </c>
    </row>
    <row r="22" spans="4:20" x14ac:dyDescent="0.25">
      <c r="D22">
        <v>7</v>
      </c>
      <c r="E22">
        <v>49</v>
      </c>
      <c r="F22">
        <f t="shared" si="0"/>
        <v>49.000000000000135</v>
      </c>
      <c r="G22">
        <f t="shared" si="1"/>
        <v>1.8225842354226257E-26</v>
      </c>
    </row>
    <row r="23" spans="4:20" x14ac:dyDescent="0.25">
      <c r="D23">
        <v>8</v>
      </c>
      <c r="E23">
        <v>64</v>
      </c>
      <c r="F23">
        <f t="shared" si="0"/>
        <v>64.000000000000071</v>
      </c>
      <c r="G23">
        <f t="shared" si="1"/>
        <v>5.0487097934144756E-27</v>
      </c>
    </row>
    <row r="24" spans="4:20" x14ac:dyDescent="0.25">
      <c r="D24">
        <v>9</v>
      </c>
      <c r="E24">
        <v>81</v>
      </c>
      <c r="F24">
        <f t="shared" si="0"/>
        <v>80.999999999999915</v>
      </c>
      <c r="G24">
        <f t="shared" si="1"/>
        <v>7.2701421025168448E-27</v>
      </c>
    </row>
    <row r="25" spans="4:20" x14ac:dyDescent="0.25">
      <c r="D25">
        <v>10</v>
      </c>
      <c r="E25">
        <v>100</v>
      </c>
      <c r="F25">
        <f t="shared" si="0"/>
        <v>99.999999999999673</v>
      </c>
      <c r="G25">
        <f t="shared" si="1"/>
        <v>1.068306992286503E-25</v>
      </c>
    </row>
    <row r="26" spans="4:20" x14ac:dyDescent="0.25">
      <c r="D26">
        <v>11</v>
      </c>
      <c r="E26">
        <v>121</v>
      </c>
      <c r="F26">
        <f t="shared" si="0"/>
        <v>120.99999999999935</v>
      </c>
      <c r="G26">
        <f t="shared" si="1"/>
        <v>4.2732279691460121E-25</v>
      </c>
    </row>
    <row r="27" spans="4:20" x14ac:dyDescent="0.25">
      <c r="D27">
        <v>12</v>
      </c>
      <c r="E27">
        <v>144</v>
      </c>
      <c r="F27">
        <f t="shared" si="0"/>
        <v>143.99999999999892</v>
      </c>
      <c r="G27">
        <f t="shared" si="1"/>
        <v>1.1664539106704804E-24</v>
      </c>
    </row>
    <row r="28" spans="4:20" x14ac:dyDescent="0.25">
      <c r="D28">
        <v>13</v>
      </c>
      <c r="E28">
        <v>169</v>
      </c>
      <c r="F28">
        <f t="shared" si="0"/>
        <v>168.99999999999841</v>
      </c>
      <c r="G28">
        <f t="shared" si="1"/>
        <v>2.5332406259436473E-24</v>
      </c>
    </row>
    <row r="29" spans="4:20" x14ac:dyDescent="0.25">
      <c r="D29">
        <v>14</v>
      </c>
      <c r="E29">
        <v>196</v>
      </c>
      <c r="F29">
        <f t="shared" si="0"/>
        <v>195.99999999999778</v>
      </c>
      <c r="G29">
        <f t="shared" si="1"/>
        <v>4.9146160613013871E-24</v>
      </c>
    </row>
    <row r="30" spans="4:20" x14ac:dyDescent="0.25">
      <c r="D30">
        <v>15</v>
      </c>
      <c r="E30">
        <v>225</v>
      </c>
      <c r="F30">
        <f t="shared" si="0"/>
        <v>224.99999999999707</v>
      </c>
      <c r="G30">
        <f t="shared" si="1"/>
        <v>8.5698819517334674E-24</v>
      </c>
    </row>
    <row r="31" spans="4:20" x14ac:dyDescent="0.25">
      <c r="D31">
        <v>16</v>
      </c>
      <c r="E31">
        <v>256</v>
      </c>
      <c r="F31">
        <f t="shared" si="0"/>
        <v>255.99999999999628</v>
      </c>
      <c r="G31">
        <f t="shared" si="1"/>
        <v>1.386254540236573E-23</v>
      </c>
    </row>
    <row r="32" spans="4:20" x14ac:dyDescent="0.25">
      <c r="D32">
        <v>17</v>
      </c>
      <c r="E32">
        <v>289</v>
      </c>
      <c r="F32">
        <f t="shared" si="0"/>
        <v>288.9999999999954</v>
      </c>
      <c r="G32">
        <f t="shared" si="1"/>
        <v>2.1199734370939119E-23</v>
      </c>
    </row>
    <row r="33" spans="4:7" x14ac:dyDescent="0.25">
      <c r="D33">
        <v>18</v>
      </c>
      <c r="E33">
        <v>324</v>
      </c>
      <c r="F33">
        <f t="shared" si="0"/>
        <v>323.99999999999443</v>
      </c>
      <c r="G33">
        <f t="shared" si="1"/>
        <v>3.1032197667809679E-23</v>
      </c>
    </row>
    <row r="34" spans="4:7" x14ac:dyDescent="0.25">
      <c r="D34">
        <v>19</v>
      </c>
      <c r="E34">
        <v>361</v>
      </c>
      <c r="F34">
        <f t="shared" si="0"/>
        <v>360.99999999999335</v>
      </c>
      <c r="G34">
        <f t="shared" si="1"/>
        <v>4.4231544551712484E-23</v>
      </c>
    </row>
    <row r="35" spans="4:7" x14ac:dyDescent="0.25">
      <c r="D35">
        <v>20</v>
      </c>
      <c r="E35">
        <v>400</v>
      </c>
      <c r="F35">
        <f t="shared" si="0"/>
        <v>399.99999999999221</v>
      </c>
      <c r="G35">
        <f t="shared" si="1"/>
        <v>6.0645909832061627E-23</v>
      </c>
    </row>
    <row r="36" spans="4:7" x14ac:dyDescent="0.25">
      <c r="D36">
        <v>21</v>
      </c>
      <c r="E36">
        <v>441</v>
      </c>
      <c r="F36">
        <f t="shared" si="0"/>
        <v>440.99999999999091</v>
      </c>
      <c r="G36">
        <f t="shared" si="1"/>
        <v>8.2718061255302767E-23</v>
      </c>
    </row>
    <row r="37" spans="4:7" x14ac:dyDescent="0.25">
      <c r="D37">
        <v>22</v>
      </c>
      <c r="E37">
        <v>484</v>
      </c>
      <c r="F37">
        <f t="shared" si="0"/>
        <v>483.9999999999896</v>
      </c>
      <c r="G37">
        <f t="shared" si="1"/>
        <v>1.0820879505386072E-22</v>
      </c>
    </row>
    <row r="38" spans="4:7" x14ac:dyDescent="0.25">
      <c r="D38">
        <v>23</v>
      </c>
      <c r="E38">
        <v>529</v>
      </c>
      <c r="F38">
        <f t="shared" si="0"/>
        <v>528.99999999998806</v>
      </c>
      <c r="G38">
        <f t="shared" si="1"/>
        <v>1.4249478520933016E-22</v>
      </c>
    </row>
    <row r="39" spans="4:7" x14ac:dyDescent="0.25">
      <c r="D39">
        <v>24</v>
      </c>
      <c r="E39">
        <v>576</v>
      </c>
      <c r="F39">
        <f t="shared" si="0"/>
        <v>575.99999999998647</v>
      </c>
      <c r="G39">
        <f t="shared" si="1"/>
        <v>1.8302663522442851E-22</v>
      </c>
    </row>
    <row r="40" spans="4:7" x14ac:dyDescent="0.25">
      <c r="D40">
        <v>25</v>
      </c>
      <c r="E40">
        <v>625</v>
      </c>
      <c r="F40">
        <f t="shared" si="0"/>
        <v>624.99999999998488</v>
      </c>
      <c r="G40">
        <f t="shared" si="1"/>
        <v>2.2862496649141416E-22</v>
      </c>
    </row>
    <row r="41" spans="4:7" x14ac:dyDescent="0.25">
      <c r="D41">
        <v>26</v>
      </c>
      <c r="E41">
        <v>676</v>
      </c>
      <c r="F41">
        <f t="shared" si="0"/>
        <v>675.99999999998317</v>
      </c>
      <c r="G41">
        <f t="shared" si="1"/>
        <v>2.8310256464627372E-22</v>
      </c>
    </row>
    <row r="42" spans="4:7" x14ac:dyDescent="0.25">
      <c r="D42">
        <v>27</v>
      </c>
      <c r="E42">
        <v>729</v>
      </c>
      <c r="F42">
        <f t="shared" si="0"/>
        <v>728.99999999998136</v>
      </c>
      <c r="G42">
        <f t="shared" si="1"/>
        <v>3.4762265242540988E-22</v>
      </c>
    </row>
    <row r="43" spans="4:7" x14ac:dyDescent="0.25">
      <c r="D43">
        <v>28</v>
      </c>
      <c r="E43">
        <v>784</v>
      </c>
      <c r="F43">
        <f t="shared" si="0"/>
        <v>783.99999999997954</v>
      </c>
      <c r="G43">
        <f t="shared" si="1"/>
        <v>4.1876018510497026E-22</v>
      </c>
    </row>
    <row r="44" spans="4:7" x14ac:dyDescent="0.25">
      <c r="D44">
        <v>29</v>
      </c>
      <c r="E44">
        <v>841</v>
      </c>
      <c r="F44">
        <f t="shared" si="0"/>
        <v>840.99999999997749</v>
      </c>
      <c r="G44">
        <f t="shared" si="1"/>
        <v>5.0669982397701402E-22</v>
      </c>
    </row>
    <row r="45" spans="4:7" x14ac:dyDescent="0.25">
      <c r="D45">
        <v>30</v>
      </c>
      <c r="E45">
        <v>900</v>
      </c>
      <c r="F45">
        <f t="shared" si="0"/>
        <v>899.99999999997544</v>
      </c>
      <c r="G45">
        <f t="shared" si="1"/>
        <v>6.0301466655115717E-22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Test">
          <controlPr autoLine="0" autoPict="0" r:id="rId4">
            <anchor moveWithCells="1">
              <from>
                <xdr:col>2</xdr:col>
                <xdr:colOff>0</xdr:colOff>
                <xdr:row>2</xdr:row>
                <xdr:rowOff>9525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7409" r:id="rId3" name="Test"/>
      </mc:Fallback>
    </mc:AlternateContent>
    <mc:AlternateContent xmlns:mc="http://schemas.openxmlformats.org/markup-compatibility/2006">
      <mc:Choice Requires="x14">
        <control shapeId="17410" r:id="rId5" name="CommandButton2">
          <controlPr autoLine="0" r:id="rId6">
            <anchor moveWithCells="1">
              <from>
                <xdr:col>3</xdr:col>
                <xdr:colOff>0</xdr:colOff>
                <xdr:row>4</xdr:row>
                <xdr:rowOff>9525</xdr:rowOff>
              </from>
              <to>
                <xdr:col>5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17410" r:id="rId5" name="CommandButton2"/>
      </mc:Fallback>
    </mc:AlternateContent>
    <mc:AlternateContent xmlns:mc="http://schemas.openxmlformats.org/markup-compatibility/2006">
      <mc:Choice Requires="x14">
        <control shapeId="17411" r:id="rId7" name="BestFit">
          <controlPr defaultSize="0" autoLine="0" r:id="rId8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7411" r:id="rId7" name="BestFit"/>
      </mc:Fallback>
    </mc:AlternateContent>
    <mc:AlternateContent xmlns:mc="http://schemas.openxmlformats.org/markup-compatibility/2006">
      <mc:Choice Requires="x14">
        <control shapeId="17412" r:id="rId9" name="Reset">
          <controlPr defaultSize="0" autoLine="0" r:id="rId10">
            <anchor moveWithCells="1">
              <from>
                <xdr:col>3</xdr:col>
                <xdr:colOff>0</xdr:colOff>
                <xdr:row>9</xdr:row>
                <xdr:rowOff>19050</xdr:rowOff>
              </from>
              <to>
                <xdr:col>5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17412" r:id="rId9" name="Reset"/>
      </mc:Fallback>
    </mc:AlternateContent>
    <mc:AlternateContent xmlns:mc="http://schemas.openxmlformats.org/markup-compatibility/2006">
      <mc:Choice Requires="x14">
        <control shapeId="17413" r:id="rId11" name="ExportData">
          <controlPr defaultSize="0" autoLine="0" r:id="rId12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7413" r:id="rId11" name="ExportData"/>
      </mc:Fallback>
    </mc:AlternateContent>
    <mc:AlternateContent xmlns:mc="http://schemas.openxmlformats.org/markup-compatibility/2006">
      <mc:Choice Requires="x14">
        <control shapeId="17414" r:id="rId13" name="Graph">
          <controlPr defaultSize="0" autoLine="0" r:id="rId14">
            <anchor moveWithCells="1">
              <from>
                <xdr:col>5</xdr:col>
                <xdr:colOff>19050</xdr:colOff>
                <xdr:row>0</xdr:row>
                <xdr:rowOff>19050</xdr:rowOff>
              </from>
              <to>
                <xdr:col>6</xdr:col>
                <xdr:colOff>1371600</xdr:colOff>
                <xdr:row>2</xdr:row>
                <xdr:rowOff>9525</xdr:rowOff>
              </to>
            </anchor>
          </controlPr>
        </control>
      </mc:Choice>
      <mc:Fallback>
        <control shapeId="17414" r:id="rId13" name="Graph"/>
      </mc:Fallback>
    </mc:AlternateContent>
    <mc:AlternateContent xmlns:mc="http://schemas.openxmlformats.org/markup-compatibility/2006">
      <mc:Choice Requires="x14">
        <control shapeId="17415" r:id="rId15" name="CommandButton1">
          <controlPr defaultSize="0" autoLine="0" r:id="rId16">
            <anchor moveWithCells="1">
              <from>
                <xdr:col>5</xdr:col>
                <xdr:colOff>19050</xdr:colOff>
                <xdr:row>1</xdr:row>
                <xdr:rowOff>180975</xdr:rowOff>
              </from>
              <to>
                <xdr:col>6</xdr:col>
                <xdr:colOff>1371600</xdr:colOff>
                <xdr:row>4</xdr:row>
                <xdr:rowOff>38100</xdr:rowOff>
              </to>
            </anchor>
          </controlPr>
        </control>
      </mc:Choice>
      <mc:Fallback>
        <control shapeId="17415" r:id="rId1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45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D16" sqref="D16:E45"/>
    </sheetView>
  </sheetViews>
  <sheetFormatPr defaultRowHeight="15" x14ac:dyDescent="0.25"/>
  <cols>
    <col min="1" max="1" width="47.7109375" bestFit="1" customWidth="1"/>
    <col min="2" max="2" width="19.140625" customWidth="1"/>
    <col min="3" max="3" width="12.28515625" hidden="1" customWidth="1"/>
    <col min="4" max="4" width="20.7109375" bestFit="1" customWidth="1"/>
    <col min="5" max="6" width="20.5703125" customWidth="1"/>
    <col min="7" max="8" width="20.7109375" customWidth="1"/>
    <col min="9" max="9" width="16.140625" hidden="1" customWidth="1"/>
    <col min="10" max="11" width="20.7109375" customWidth="1"/>
    <col min="20" max="20" width="16.42578125" customWidth="1"/>
  </cols>
  <sheetData>
    <row r="1" spans="1:11" ht="16.5" customHeight="1" thickTop="1" thickBot="1" x14ac:dyDescent="0.4">
      <c r="A1" s="16" t="s">
        <v>0</v>
      </c>
      <c r="B1" s="16" t="s">
        <v>61</v>
      </c>
      <c r="D1" s="1"/>
      <c r="E1" s="1"/>
      <c r="F1" t="e">
        <f>LOG($D1)/LOG($B$3)*$B$2 + $B$4</f>
        <v>#NUM!</v>
      </c>
      <c r="G1" t="e">
        <f>(F1-E1)^2</f>
        <v>#NUM!</v>
      </c>
      <c r="H1" s="29" t="b">
        <v>1</v>
      </c>
    </row>
    <row r="2" spans="1:11" ht="15" customHeight="1" thickTop="1" thickBot="1" x14ac:dyDescent="0.3">
      <c r="A2" s="16" t="s">
        <v>6</v>
      </c>
      <c r="B2" s="16">
        <v>559.66633092355119</v>
      </c>
      <c r="D2" s="1"/>
      <c r="H2" s="29"/>
    </row>
    <row r="3" spans="1:11" ht="15" customHeight="1" thickTop="1" thickBot="1" x14ac:dyDescent="0.3">
      <c r="A3" s="16" t="s">
        <v>1</v>
      </c>
      <c r="B3" s="16">
        <v>8.0412687953058803</v>
      </c>
      <c r="D3" s="1"/>
    </row>
    <row r="4" spans="1:11" ht="15" customHeight="1" thickTop="1" thickBot="1" x14ac:dyDescent="0.3">
      <c r="A4" s="16" t="s">
        <v>7</v>
      </c>
      <c r="B4" s="16">
        <v>-352.97053161484138</v>
      </c>
      <c r="D4" s="1"/>
    </row>
    <row r="5" spans="1:11" ht="15" hidden="1" customHeight="1" thickTop="1" thickBot="1" x14ac:dyDescent="0.3">
      <c r="A5" s="16"/>
      <c r="B5" s="16"/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0.81179024343347328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782279.67642794619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125295.13725169342</v>
      </c>
    </row>
    <row r="12" spans="1:11" ht="15" customHeight="1" thickTop="1" thickBot="1" x14ac:dyDescent="0.3">
      <c r="A12" s="16" t="s">
        <v>10</v>
      </c>
      <c r="B12" s="16">
        <v>30</v>
      </c>
    </row>
    <row r="13" spans="1:11" ht="15" customHeight="1" thickTop="1" thickBot="1" x14ac:dyDescent="0.3">
      <c r="A13" s="16" t="s">
        <v>9</v>
      </c>
      <c r="B13" s="16">
        <f>B12-B14</f>
        <v>30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56</v>
      </c>
      <c r="E15" s="1" t="s">
        <v>57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" customHeight="1" thickTop="1" x14ac:dyDescent="0.25">
      <c r="D16">
        <v>1</v>
      </c>
      <c r="E16">
        <v>1</v>
      </c>
      <c r="F16">
        <f t="shared" ref="F16:F46" si="0">LOG($D16)/LOG($B$3)*$B$2 + $B$4</f>
        <v>-352.97053161484138</v>
      </c>
      <c r="G16">
        <f t="shared" ref="G16:G46" si="1">(F16-E16)^2</f>
        <v>125295.13725169342</v>
      </c>
    </row>
    <row r="17" spans="4:20" x14ac:dyDescent="0.25">
      <c r="D17">
        <v>2</v>
      </c>
      <c r="E17">
        <v>4</v>
      </c>
      <c r="F17">
        <f t="shared" si="0"/>
        <v>-166.87555862480008</v>
      </c>
      <c r="G17">
        <f t="shared" si="1"/>
        <v>29198.456535337489</v>
      </c>
    </row>
    <row r="18" spans="4:20" x14ac:dyDescent="0.25">
      <c r="D18">
        <v>3</v>
      </c>
      <c r="E18">
        <v>9</v>
      </c>
      <c r="F18">
        <f t="shared" si="0"/>
        <v>-58.016977852909463</v>
      </c>
      <c r="G18">
        <f t="shared" si="1"/>
        <v>4491.2753205373574</v>
      </c>
    </row>
    <row r="19" spans="4:20" x14ac:dyDescent="0.25">
      <c r="D19">
        <v>4</v>
      </c>
      <c r="E19">
        <v>16</v>
      </c>
      <c r="F19">
        <f t="shared" si="0"/>
        <v>19.219414365241221</v>
      </c>
      <c r="G19">
        <f t="shared" si="1"/>
        <v>10.364628855121532</v>
      </c>
    </row>
    <row r="20" spans="4:20" x14ac:dyDescent="0.25">
      <c r="D20">
        <v>5</v>
      </c>
      <c r="E20">
        <v>25</v>
      </c>
      <c r="F20">
        <f t="shared" si="0"/>
        <v>79.128614488040398</v>
      </c>
      <c r="G20">
        <f t="shared" si="1"/>
        <v>2929.9069063948969</v>
      </c>
      <c r="T20" s="4"/>
    </row>
    <row r="21" spans="4:20" x14ac:dyDescent="0.25">
      <c r="D21">
        <v>6</v>
      </c>
      <c r="E21">
        <v>36</v>
      </c>
      <c r="F21">
        <f t="shared" si="0"/>
        <v>128.07799513713184</v>
      </c>
      <c r="G21">
        <f t="shared" si="1"/>
        <v>8478.3571884736739</v>
      </c>
    </row>
    <row r="22" spans="4:20" x14ac:dyDescent="0.25">
      <c r="D22">
        <v>7</v>
      </c>
      <c r="E22">
        <v>49</v>
      </c>
      <c r="F22">
        <f t="shared" si="0"/>
        <v>169.46410677892794</v>
      </c>
      <c r="G22">
        <f t="shared" si="1"/>
        <v>14511.601022044953</v>
      </c>
    </row>
    <row r="23" spans="4:20" x14ac:dyDescent="0.25">
      <c r="D23">
        <v>8</v>
      </c>
      <c r="E23">
        <v>64</v>
      </c>
      <c r="F23">
        <f t="shared" si="0"/>
        <v>205.31438735528246</v>
      </c>
      <c r="G23">
        <f t="shared" si="1"/>
        <v>19969.756073598815</v>
      </c>
    </row>
    <row r="24" spans="4:20" x14ac:dyDescent="0.25">
      <c r="D24">
        <v>9</v>
      </c>
      <c r="E24">
        <v>81</v>
      </c>
      <c r="F24">
        <f t="shared" si="0"/>
        <v>236.93657590902245</v>
      </c>
      <c r="G24">
        <f t="shared" si="1"/>
        <v>24316.215706230319</v>
      </c>
    </row>
    <row r="25" spans="4:20" x14ac:dyDescent="0.25">
      <c r="D25">
        <v>10</v>
      </c>
      <c r="E25">
        <v>100</v>
      </c>
      <c r="F25">
        <f t="shared" si="0"/>
        <v>265.2235874780817</v>
      </c>
      <c r="G25">
        <f t="shared" si="1"/>
        <v>27298.833859127313</v>
      </c>
    </row>
    <row r="26" spans="4:20" x14ac:dyDescent="0.25">
      <c r="D26">
        <v>11</v>
      </c>
      <c r="E26">
        <v>121</v>
      </c>
      <c r="F26">
        <f t="shared" si="0"/>
        <v>290.81230201636134</v>
      </c>
      <c r="G26">
        <f t="shared" si="1"/>
        <v>28836.21791609592</v>
      </c>
    </row>
    <row r="27" spans="4:20" x14ac:dyDescent="0.25">
      <c r="D27">
        <v>12</v>
      </c>
      <c r="E27">
        <v>144</v>
      </c>
      <c r="F27">
        <f t="shared" si="0"/>
        <v>314.17296812717319</v>
      </c>
      <c r="G27">
        <f t="shared" si="1"/>
        <v>28958.839081211903</v>
      </c>
    </row>
    <row r="28" spans="4:20" x14ac:dyDescent="0.25">
      <c r="D28">
        <v>13</v>
      </c>
      <c r="E28">
        <v>169</v>
      </c>
      <c r="F28">
        <f t="shared" si="0"/>
        <v>335.66269778390125</v>
      </c>
      <c r="G28">
        <f t="shared" si="1"/>
        <v>27776.454832608004</v>
      </c>
    </row>
    <row r="29" spans="4:20" x14ac:dyDescent="0.25">
      <c r="D29">
        <v>14</v>
      </c>
      <c r="E29">
        <v>196</v>
      </c>
      <c r="F29">
        <f t="shared" si="0"/>
        <v>355.55907976896918</v>
      </c>
      <c r="G29">
        <f t="shared" si="1"/>
        <v>25459.099936720271</v>
      </c>
    </row>
    <row r="30" spans="4:20" x14ac:dyDescent="0.25">
      <c r="D30">
        <v>15</v>
      </c>
      <c r="E30">
        <v>225</v>
      </c>
      <c r="F30">
        <f t="shared" si="0"/>
        <v>374.08216824997231</v>
      </c>
      <c r="G30">
        <f t="shared" si="1"/>
        <v>22225.492890113052</v>
      </c>
    </row>
    <row r="31" spans="4:20" x14ac:dyDescent="0.25">
      <c r="D31">
        <v>16</v>
      </c>
      <c r="E31">
        <v>256</v>
      </c>
      <c r="F31">
        <f t="shared" si="0"/>
        <v>391.40936034532382</v>
      </c>
      <c r="G31">
        <f t="shared" si="1"/>
        <v>18335.694869129755</v>
      </c>
    </row>
    <row r="32" spans="4:20" x14ac:dyDescent="0.25">
      <c r="D32">
        <v>17</v>
      </c>
      <c r="E32">
        <v>289</v>
      </c>
      <c r="F32">
        <f t="shared" si="0"/>
        <v>407.685755425438</v>
      </c>
      <c r="G32">
        <f t="shared" si="1"/>
        <v>14086.308540906886</v>
      </c>
    </row>
    <row r="33" spans="4:7" x14ac:dyDescent="0.25">
      <c r="D33">
        <v>18</v>
      </c>
      <c r="E33">
        <v>324</v>
      </c>
      <c r="F33">
        <f t="shared" si="0"/>
        <v>423.03154889906358</v>
      </c>
      <c r="G33">
        <f t="shared" si="1"/>
        <v>9807.247677347621</v>
      </c>
    </row>
    <row r="34" spans="4:7" x14ac:dyDescent="0.25">
      <c r="D34">
        <v>19</v>
      </c>
      <c r="E34">
        <v>361</v>
      </c>
      <c r="F34">
        <f t="shared" si="0"/>
        <v>437.54742426309593</v>
      </c>
      <c r="G34">
        <f t="shared" si="1"/>
        <v>5859.5081613144084</v>
      </c>
    </row>
    <row r="35" spans="4:7" x14ac:dyDescent="0.25">
      <c r="D35">
        <v>20</v>
      </c>
      <c r="E35">
        <v>400</v>
      </c>
      <c r="F35">
        <f t="shared" si="0"/>
        <v>451.31856046812305</v>
      </c>
      <c r="G35">
        <f t="shared" si="1"/>
        <v>2633.5946485204022</v>
      </c>
    </row>
    <row r="36" spans="4:7" x14ac:dyDescent="0.25">
      <c r="D36">
        <v>21</v>
      </c>
      <c r="E36">
        <v>441</v>
      </c>
      <c r="F36">
        <f t="shared" si="0"/>
        <v>464.4176605408598</v>
      </c>
      <c r="G36">
        <f t="shared" si="1"/>
        <v>548.38682520694204</v>
      </c>
    </row>
    <row r="37" spans="4:7" x14ac:dyDescent="0.25">
      <c r="D37">
        <v>22</v>
      </c>
      <c r="E37">
        <v>484</v>
      </c>
      <c r="F37">
        <f t="shared" si="0"/>
        <v>476.90727500640259</v>
      </c>
      <c r="G37">
        <f t="shared" si="1"/>
        <v>50.306747834801442</v>
      </c>
    </row>
    <row r="38" spans="4:7" x14ac:dyDescent="0.25">
      <c r="D38">
        <v>23</v>
      </c>
      <c r="E38">
        <v>529</v>
      </c>
      <c r="F38">
        <f t="shared" si="0"/>
        <v>488.84160841636691</v>
      </c>
      <c r="G38">
        <f t="shared" si="1"/>
        <v>1612.6964145844131</v>
      </c>
    </row>
    <row r="39" spans="4:7" x14ac:dyDescent="0.25">
      <c r="D39">
        <v>24</v>
      </c>
      <c r="E39">
        <v>576</v>
      </c>
      <c r="F39">
        <f t="shared" si="0"/>
        <v>500.26794111721443</v>
      </c>
      <c r="G39">
        <f t="shared" si="1"/>
        <v>5735.3447426256998</v>
      </c>
    </row>
    <row r="40" spans="4:7" x14ac:dyDescent="0.25">
      <c r="D40">
        <v>25</v>
      </c>
      <c r="E40">
        <v>625</v>
      </c>
      <c r="F40">
        <f t="shared" si="0"/>
        <v>511.22776059092217</v>
      </c>
      <c r="G40">
        <f t="shared" si="1"/>
        <v>12944.122460156521</v>
      </c>
    </row>
    <row r="41" spans="4:7" x14ac:dyDescent="0.25">
      <c r="D41">
        <v>26</v>
      </c>
      <c r="E41">
        <v>676</v>
      </c>
      <c r="F41">
        <f t="shared" si="0"/>
        <v>521.75767077394266</v>
      </c>
      <c r="G41">
        <f t="shared" si="1"/>
        <v>23790.696125079459</v>
      </c>
    </row>
    <row r="42" spans="4:7" x14ac:dyDescent="0.25">
      <c r="D42">
        <v>27</v>
      </c>
      <c r="E42">
        <v>729</v>
      </c>
      <c r="F42">
        <f t="shared" si="0"/>
        <v>531.89012967095437</v>
      </c>
      <c r="G42">
        <f t="shared" si="1"/>
        <v>38852.300981133187</v>
      </c>
    </row>
    <row r="43" spans="4:7" x14ac:dyDescent="0.25">
      <c r="D43">
        <v>28</v>
      </c>
      <c r="E43">
        <v>784</v>
      </c>
      <c r="F43">
        <f t="shared" si="0"/>
        <v>541.65405275901071</v>
      </c>
      <c r="G43">
        <f t="shared" si="1"/>
        <v>58731.558144132367</v>
      </c>
    </row>
    <row r="44" spans="4:7" x14ac:dyDescent="0.25">
      <c r="D44">
        <v>29</v>
      </c>
      <c r="E44">
        <v>841</v>
      </c>
      <c r="F44">
        <f t="shared" si="0"/>
        <v>551.07531045955807</v>
      </c>
      <c r="G44">
        <f t="shared" si="1"/>
        <v>84056.325605121645</v>
      </c>
    </row>
    <row r="45" spans="4:7" x14ac:dyDescent="0.25">
      <c r="D45">
        <v>30</v>
      </c>
      <c r="E45">
        <v>900</v>
      </c>
      <c r="F45">
        <f t="shared" si="0"/>
        <v>560.1771412400135</v>
      </c>
      <c r="G45">
        <f t="shared" si="1"/>
        <v>115479.57533580973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Test">
          <controlPr autoLine="0" r:id="rId4">
            <anchor moveWithCells="1">
              <from>
                <xdr:col>3</xdr:col>
                <xdr:colOff>0</xdr:colOff>
                <xdr:row>1</xdr:row>
                <xdr:rowOff>180975</xdr:rowOff>
              </from>
              <to>
                <xdr:col>5</xdr:col>
                <xdr:colOff>9525</xdr:colOff>
                <xdr:row>6</xdr:row>
                <xdr:rowOff>0</xdr:rowOff>
              </to>
            </anchor>
          </controlPr>
        </control>
      </mc:Choice>
      <mc:Fallback>
        <control shapeId="18433" r:id="rId3" name="Test"/>
      </mc:Fallback>
    </mc:AlternateContent>
    <mc:AlternateContent xmlns:mc="http://schemas.openxmlformats.org/markup-compatibility/2006">
      <mc:Choice Requires="x14">
        <control shapeId="18434" r:id="rId5" name="CommandButton2">
          <controlPr autoLine="0" autoPict="0" r:id="rId6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5</xdr:col>
                <xdr:colOff>19050</xdr:colOff>
                <xdr:row>7</xdr:row>
                <xdr:rowOff>200025</xdr:rowOff>
              </to>
            </anchor>
          </controlPr>
        </control>
      </mc:Choice>
      <mc:Fallback>
        <control shapeId="18434" r:id="rId5" name="CommandButton2"/>
      </mc:Fallback>
    </mc:AlternateContent>
    <mc:AlternateContent xmlns:mc="http://schemas.openxmlformats.org/markup-compatibility/2006">
      <mc:Choice Requires="x14">
        <control shapeId="18435" r:id="rId7" name="BestFit">
          <controlPr defaultSize="0" autoLine="0" r:id="rId8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18435" r:id="rId7" name="BestFit"/>
      </mc:Fallback>
    </mc:AlternateContent>
    <mc:AlternateContent xmlns:mc="http://schemas.openxmlformats.org/markup-compatibility/2006">
      <mc:Choice Requires="x14">
        <control shapeId="18436" r:id="rId9" name="Reset">
          <controlPr defaultSize="0" autoLine="0" r:id="rId10">
            <anchor moveWithCells="1">
              <from>
                <xdr:col>3</xdr:col>
                <xdr:colOff>0</xdr:colOff>
                <xdr:row>10</xdr:row>
                <xdr:rowOff>9525</xdr:rowOff>
              </from>
              <to>
                <xdr:col>5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18436" r:id="rId9" name="Reset"/>
      </mc:Fallback>
    </mc:AlternateContent>
    <mc:AlternateContent xmlns:mc="http://schemas.openxmlformats.org/markup-compatibility/2006">
      <mc:Choice Requires="x14">
        <control shapeId="18437" r:id="rId11" name="ExportData">
          <controlPr defaultSize="0" autoLine="0" autoPict="0" r:id="rId12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5</xdr:col>
                <xdr:colOff>19050</xdr:colOff>
                <xdr:row>10</xdr:row>
                <xdr:rowOff>0</xdr:rowOff>
              </to>
            </anchor>
          </controlPr>
        </control>
      </mc:Choice>
      <mc:Fallback>
        <control shapeId="18437" r:id="rId11" name="ExportData"/>
      </mc:Fallback>
    </mc:AlternateContent>
    <mc:AlternateContent xmlns:mc="http://schemas.openxmlformats.org/markup-compatibility/2006">
      <mc:Choice Requires="x14">
        <control shapeId="18438" r:id="rId13" name="Graph">
          <controlPr defaultSize="0" autoLine="0" r:id="rId14">
            <anchor moveWithCells="1">
              <from>
                <xdr:col>5</xdr:col>
                <xdr:colOff>19050</xdr:colOff>
                <xdr:row>0</xdr:row>
                <xdr:rowOff>38100</xdr:rowOff>
              </from>
              <to>
                <xdr:col>7</xdr:col>
                <xdr:colOff>9525</xdr:colOff>
                <xdr:row>1</xdr:row>
                <xdr:rowOff>171450</xdr:rowOff>
              </to>
            </anchor>
          </controlPr>
        </control>
      </mc:Choice>
      <mc:Fallback>
        <control shapeId="18438" r:id="rId13" name="Graph"/>
      </mc:Fallback>
    </mc:AlternateContent>
    <mc:AlternateContent xmlns:mc="http://schemas.openxmlformats.org/markup-compatibility/2006">
      <mc:Choice Requires="x14">
        <control shapeId="18439" r:id="rId15" name="CommandButton1">
          <controlPr defaultSize="0" autoLine="0" r:id="rId16">
            <anchor moveWithCells="1">
              <from>
                <xdr:col>5</xdr:col>
                <xdr:colOff>9525</xdr:colOff>
                <xdr:row>1</xdr:row>
                <xdr:rowOff>152400</xdr:rowOff>
              </from>
              <to>
                <xdr:col>6</xdr:col>
                <xdr:colOff>1362075</xdr:colOff>
                <xdr:row>6</xdr:row>
                <xdr:rowOff>0</xdr:rowOff>
              </to>
            </anchor>
          </controlPr>
        </control>
      </mc:Choice>
      <mc:Fallback>
        <control shapeId="18439" r:id="rId1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45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D16" sqref="D16:E45"/>
    </sheetView>
  </sheetViews>
  <sheetFormatPr defaultRowHeight="15" x14ac:dyDescent="0.25"/>
  <cols>
    <col min="1" max="1" width="47.7109375" bestFit="1" customWidth="1"/>
    <col min="2" max="2" width="19.140625" customWidth="1"/>
    <col min="3" max="3" width="12.28515625" hidden="1" customWidth="1"/>
    <col min="4" max="4" width="20.7109375" bestFit="1" customWidth="1"/>
    <col min="5" max="8" width="20.5703125" customWidth="1"/>
    <col min="9" max="9" width="16.140625" hidden="1" customWidth="1"/>
    <col min="10" max="11" width="20.5703125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51</v>
      </c>
      <c r="D1" s="1"/>
      <c r="E1" s="1"/>
      <c r="F1">
        <f>($B$3^$D1)*$B$2 + $B$4</f>
        <v>-36.503551866439011</v>
      </c>
      <c r="G1">
        <f>(F1-E1)^2</f>
        <v>1332.509298865803</v>
      </c>
      <c r="H1" s="29" t="b">
        <v>1</v>
      </c>
    </row>
    <row r="2" spans="1:11" ht="15" customHeight="1" thickTop="1" thickBot="1" x14ac:dyDescent="0.3">
      <c r="A2" s="16" t="s">
        <v>6</v>
      </c>
      <c r="B2" s="16">
        <v>170.73052483555605</v>
      </c>
      <c r="D2" s="1"/>
      <c r="H2" s="29"/>
    </row>
    <row r="3" spans="1:11" ht="15" customHeight="1" thickTop="1" thickBot="1" x14ac:dyDescent="0.3">
      <c r="A3" s="16" t="s">
        <v>1</v>
      </c>
      <c r="B3" s="16">
        <v>1.0648865689128346</v>
      </c>
      <c r="D3" s="1"/>
    </row>
    <row r="4" spans="1:11" ht="15" customHeight="1" thickTop="1" thickBot="1" x14ac:dyDescent="0.3">
      <c r="A4" s="16" t="s">
        <v>7</v>
      </c>
      <c r="B4" s="16">
        <v>-207.23407670199506</v>
      </c>
      <c r="D4" s="1"/>
    </row>
    <row r="5" spans="1:11" ht="15" hidden="1" customHeight="1" thickTop="1" thickBot="1" x14ac:dyDescent="0.3">
      <c r="A5" s="16"/>
      <c r="B5" s="16"/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0.99927366991050548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3331.3347895490151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698.30355686522546</v>
      </c>
    </row>
    <row r="12" spans="1:11" ht="15" customHeight="1" thickTop="1" thickBot="1" x14ac:dyDescent="0.3">
      <c r="A12" s="16" t="s">
        <v>10</v>
      </c>
      <c r="B12" s="16">
        <v>30</v>
      </c>
    </row>
    <row r="13" spans="1:11" ht="15" customHeight="1" thickTop="1" thickBot="1" x14ac:dyDescent="0.3">
      <c r="A13" s="16" t="s">
        <v>9</v>
      </c>
      <c r="B13" s="16">
        <f>B12-B14</f>
        <v>30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56</v>
      </c>
      <c r="E15" s="1" t="s">
        <v>57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.75" thickTop="1" x14ac:dyDescent="0.25">
      <c r="D16">
        <v>1</v>
      </c>
      <c r="E16">
        <v>1</v>
      </c>
      <c r="F16">
        <f t="shared" ref="F16:F46" si="0">($B$3^$D16)*$B$2 + $B$4</f>
        <v>-25.425433901172283</v>
      </c>
      <c r="G16">
        <f t="shared" ref="G16:G46" si="1">(F16-E16)^2</f>
        <v>698.30355686522546</v>
      </c>
    </row>
    <row r="17" spans="4:20" x14ac:dyDescent="0.25">
      <c r="D17">
        <v>2</v>
      </c>
      <c r="E17">
        <v>4</v>
      </c>
      <c r="F17">
        <f t="shared" si="0"/>
        <v>-13.628494871127742</v>
      </c>
      <c r="G17">
        <f t="shared" si="1"/>
        <v>310.76383142137712</v>
      </c>
    </row>
    <row r="18" spans="4:20" x14ac:dyDescent="0.25">
      <c r="D18">
        <v>3</v>
      </c>
      <c r="E18">
        <v>9</v>
      </c>
      <c r="F18">
        <f t="shared" si="0"/>
        <v>-1.0660929437497373</v>
      </c>
      <c r="G18">
        <f t="shared" si="1"/>
        <v>101.32622715220825</v>
      </c>
    </row>
    <row r="19" spans="4:20" x14ac:dyDescent="0.25">
      <c r="D19">
        <v>4</v>
      </c>
      <c r="E19">
        <v>16</v>
      </c>
      <c r="F19">
        <f t="shared" si="0"/>
        <v>12.311440141999867</v>
      </c>
      <c r="G19">
        <f t="shared" si="1"/>
        <v>13.605473826049961</v>
      </c>
    </row>
    <row r="20" spans="4:20" x14ac:dyDescent="0.25">
      <c r="D20">
        <v>5</v>
      </c>
      <c r="E20">
        <v>25</v>
      </c>
      <c r="F20">
        <f t="shared" si="0"/>
        <v>26.55699545020164</v>
      </c>
      <c r="G20">
        <f t="shared" si="1"/>
        <v>2.424234831948608</v>
      </c>
      <c r="T20" s="4"/>
    </row>
    <row r="21" spans="4:20" x14ac:dyDescent="0.25">
      <c r="D21">
        <v>6</v>
      </c>
      <c r="E21">
        <v>36</v>
      </c>
      <c r="F21">
        <f t="shared" si="0"/>
        <v>41.726895964610634</v>
      </c>
      <c r="G21">
        <f t="shared" si="1"/>
        <v>32.797337389473562</v>
      </c>
    </row>
    <row r="22" spans="4:20" x14ac:dyDescent="0.25">
      <c r="D22">
        <v>7</v>
      </c>
      <c r="E22">
        <v>49</v>
      </c>
      <c r="F22">
        <f t="shared" si="0"/>
        <v>57.881119274148745</v>
      </c>
      <c r="G22">
        <f t="shared" si="1"/>
        <v>78.874279561656323</v>
      </c>
    </row>
    <row r="23" spans="4:20" x14ac:dyDescent="0.25">
      <c r="D23">
        <v>8</v>
      </c>
      <c r="E23">
        <v>64</v>
      </c>
      <c r="F23">
        <f t="shared" si="0"/>
        <v>75.08353470769444</v>
      </c>
      <c r="G23">
        <f t="shared" si="1"/>
        <v>122.84474161666728</v>
      </c>
    </row>
    <row r="24" spans="4:20" x14ac:dyDescent="0.25">
      <c r="D24">
        <v>9</v>
      </c>
      <c r="E24">
        <v>81</v>
      </c>
      <c r="F24">
        <f t="shared" si="0"/>
        <v>93.40215585573614</v>
      </c>
      <c r="G24">
        <f t="shared" si="1"/>
        <v>153.81346986997022</v>
      </c>
    </row>
    <row r="25" spans="4:20" x14ac:dyDescent="0.25">
      <c r="D25">
        <v>10</v>
      </c>
      <c r="E25">
        <v>100</v>
      </c>
      <c r="F25">
        <f t="shared" si="0"/>
        <v>112.90940947728839</v>
      </c>
      <c r="G25">
        <f t="shared" si="1"/>
        <v>166.65285305230336</v>
      </c>
    </row>
    <row r="26" spans="4:20" x14ac:dyDescent="0.25">
      <c r="D26">
        <v>11</v>
      </c>
      <c r="E26">
        <v>121</v>
      </c>
      <c r="F26">
        <f t="shared" si="0"/>
        <v>133.68242185525557</v>
      </c>
      <c r="G26">
        <f t="shared" si="1"/>
        <v>160.8438241146641</v>
      </c>
    </row>
    <row r="27" spans="4:20" x14ac:dyDescent="0.25">
      <c r="D27">
        <v>12</v>
      </c>
      <c r="E27">
        <v>144</v>
      </c>
      <c r="F27">
        <f t="shared" si="0"/>
        <v>155.80332373241291</v>
      </c>
      <c r="G27">
        <f t="shared" si="1"/>
        <v>139.31845113214175</v>
      </c>
    </row>
    <row r="28" spans="4:20" x14ac:dyDescent="0.25">
      <c r="D28">
        <v>13</v>
      </c>
      <c r="E28">
        <v>169</v>
      </c>
      <c r="F28">
        <f t="shared" si="0"/>
        <v>179.3595750336365</v>
      </c>
      <c r="G28">
        <f t="shared" si="1"/>
        <v>107.32079487754476</v>
      </c>
    </row>
    <row r="29" spans="4:20" x14ac:dyDescent="0.25">
      <c r="D29">
        <v>14</v>
      </c>
      <c r="E29">
        <v>196</v>
      </c>
      <c r="F29">
        <f t="shared" si="0"/>
        <v>204.44431065824492</v>
      </c>
      <c r="G29">
        <f t="shared" si="1"/>
        <v>71.306382492948686</v>
      </c>
    </row>
    <row r="30" spans="4:20" x14ac:dyDescent="0.25">
      <c r="D30">
        <v>15</v>
      </c>
      <c r="E30">
        <v>225</v>
      </c>
      <c r="F30">
        <f t="shared" si="0"/>
        <v>231.15670870961983</v>
      </c>
      <c r="G30">
        <f t="shared" si="1"/>
        <v>37.905062135108736</v>
      </c>
    </row>
    <row r="31" spans="4:20" x14ac:dyDescent="0.25">
      <c r="D31">
        <v>16</v>
      </c>
      <c r="E31">
        <v>256</v>
      </c>
      <c r="F31">
        <f t="shared" si="0"/>
        <v>259.60238261798224</v>
      </c>
      <c r="G31">
        <f t="shared" si="1"/>
        <v>12.977160526340603</v>
      </c>
    </row>
    <row r="32" spans="4:20" x14ac:dyDescent="0.25">
      <c r="D32">
        <v>17</v>
      </c>
      <c r="E32">
        <v>289</v>
      </c>
      <c r="F32">
        <f t="shared" si="0"/>
        <v>289.89379870667176</v>
      </c>
      <c r="G32">
        <f t="shared" si="1"/>
        <v>0.79887612804811026</v>
      </c>
    </row>
    <row r="33" spans="4:7" x14ac:dyDescent="0.25">
      <c r="D33">
        <v>18</v>
      </c>
      <c r="E33">
        <v>324</v>
      </c>
      <c r="F33">
        <f t="shared" si="0"/>
        <v>322.15072085286727</v>
      </c>
      <c r="G33">
        <f t="shared" si="1"/>
        <v>3.4198333640199707</v>
      </c>
    </row>
    <row r="34" spans="4:7" x14ac:dyDescent="0.25">
      <c r="D34">
        <v>19</v>
      </c>
      <c r="E34">
        <v>361</v>
      </c>
      <c r="F34">
        <f t="shared" si="0"/>
        <v>356.50068400081784</v>
      </c>
      <c r="G34">
        <f t="shared" si="1"/>
        <v>20.243844460496547</v>
      </c>
    </row>
    <row r="35" spans="4:7" x14ac:dyDescent="0.25">
      <c r="D35">
        <v>20</v>
      </c>
      <c r="E35">
        <v>400</v>
      </c>
      <c r="F35">
        <f t="shared" si="0"/>
        <v>393.07949839972139</v>
      </c>
      <c r="G35">
        <f t="shared" si="1"/>
        <v>47.893342399458838</v>
      </c>
    </row>
    <row r="36" spans="4:7" x14ac:dyDescent="0.25">
      <c r="D36">
        <v>21</v>
      </c>
      <c r="E36">
        <v>441</v>
      </c>
      <c r="F36">
        <f t="shared" si="0"/>
        <v>432.03178655986903</v>
      </c>
      <c r="G36">
        <f t="shared" si="1"/>
        <v>80.428852307745714</v>
      </c>
    </row>
    <row r="37" spans="4:7" x14ac:dyDescent="0.25">
      <c r="D37">
        <v>22</v>
      </c>
      <c r="E37">
        <v>484</v>
      </c>
      <c r="F37">
        <f t="shared" si="0"/>
        <v>473.51155505003271</v>
      </c>
      <c r="G37">
        <f t="shared" si="1"/>
        <v>110.00747746849432</v>
      </c>
    </row>
    <row r="38" spans="4:7" x14ac:dyDescent="0.25">
      <c r="D38">
        <v>23</v>
      </c>
      <c r="E38">
        <v>529</v>
      </c>
      <c r="F38">
        <f t="shared" si="0"/>
        <v>517.6828033968219</v>
      </c>
      <c r="G38">
        <f t="shared" si="1"/>
        <v>128.078938954986</v>
      </c>
    </row>
    <row r="39" spans="4:7" x14ac:dyDescent="0.25">
      <c r="D39">
        <v>24</v>
      </c>
      <c r="E39">
        <v>576</v>
      </c>
      <c r="F39">
        <f t="shared" si="0"/>
        <v>564.72017249343082</v>
      </c>
      <c r="G39">
        <f t="shared" si="1"/>
        <v>127.23450857795461</v>
      </c>
    </row>
    <row r="40" spans="4:7" x14ac:dyDescent="0.25">
      <c r="D40">
        <v>25</v>
      </c>
      <c r="E40">
        <v>625</v>
      </c>
      <c r="F40">
        <f t="shared" si="0"/>
        <v>614.80963508140542</v>
      </c>
      <c r="G40">
        <f t="shared" si="1"/>
        <v>103.84353717412317</v>
      </c>
    </row>
    <row r="41" spans="4:7" x14ac:dyDescent="0.25">
      <c r="D41">
        <v>26</v>
      </c>
      <c r="E41">
        <v>676</v>
      </c>
      <c r="F41">
        <f t="shared" si="0"/>
        <v>668.1492310354015</v>
      </c>
      <c r="G41">
        <f t="shared" si="1"/>
        <v>61.634573335503021</v>
      </c>
    </row>
    <row r="42" spans="4:7" x14ac:dyDescent="0.25">
      <c r="D42">
        <v>27</v>
      </c>
      <c r="E42">
        <v>729</v>
      </c>
      <c r="F42">
        <f t="shared" si="0"/>
        <v>724.94985035804916</v>
      </c>
      <c r="G42">
        <f t="shared" si="1"/>
        <v>16.403712122194506</v>
      </c>
    </row>
    <row r="43" spans="4:7" x14ac:dyDescent="0.25">
      <c r="D43">
        <v>28</v>
      </c>
      <c r="E43">
        <v>784</v>
      </c>
      <c r="F43">
        <f t="shared" si="0"/>
        <v>785.43606698066753</v>
      </c>
      <c r="G43">
        <f t="shared" si="1"/>
        <v>2.0622883729635655</v>
      </c>
    </row>
    <row r="44" spans="4:7" x14ac:dyDescent="0.25">
      <c r="D44">
        <v>29</v>
      </c>
      <c r="E44">
        <v>841</v>
      </c>
      <c r="F44">
        <f t="shared" si="0"/>
        <v>849.84702666644625</v>
      </c>
      <c r="G44">
        <f t="shared" si="1"/>
        <v>78.269880836811126</v>
      </c>
    </row>
    <row r="45" spans="4:7" x14ac:dyDescent="0.25">
      <c r="D45">
        <v>30</v>
      </c>
      <c r="E45">
        <v>900</v>
      </c>
      <c r="F45">
        <f t="shared" si="0"/>
        <v>918.43739252661794</v>
      </c>
      <c r="G45">
        <f t="shared" si="1"/>
        <v>339.93744318058714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Test">
          <controlPr autoLine="0" autoPict="0" r:id="rId4">
            <anchor moveWithCells="1">
              <from>
                <xdr:col>3</xdr:col>
                <xdr:colOff>28575</xdr:colOff>
                <xdr:row>2</xdr:row>
                <xdr:rowOff>0</xdr:rowOff>
              </from>
              <to>
                <xdr:col>5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19457" r:id="rId3" name="Test"/>
      </mc:Fallback>
    </mc:AlternateContent>
    <mc:AlternateContent xmlns:mc="http://schemas.openxmlformats.org/markup-compatibility/2006">
      <mc:Choice Requires="x14">
        <control shapeId="19458" r:id="rId5" name="CommandButton2">
          <controlPr autoLine="0" autoPict="0" r:id="rId6">
            <anchor moveWithCells="1">
              <from>
                <xdr:col>3</xdr:col>
                <xdr:colOff>19050</xdr:colOff>
                <xdr:row>6</xdr:row>
                <xdr:rowOff>28575</xdr:rowOff>
              </from>
              <to>
                <xdr:col>5</xdr:col>
                <xdr:colOff>0</xdr:colOff>
                <xdr:row>7</xdr:row>
                <xdr:rowOff>200025</xdr:rowOff>
              </to>
            </anchor>
          </controlPr>
        </control>
      </mc:Choice>
      <mc:Fallback>
        <control shapeId="19458" r:id="rId5" name="CommandButton2"/>
      </mc:Fallback>
    </mc:AlternateContent>
    <mc:AlternateContent xmlns:mc="http://schemas.openxmlformats.org/markup-compatibility/2006">
      <mc:Choice Requires="x14">
        <control shapeId="19459" r:id="rId7" name="BestFit">
          <controlPr defaultSize="0" autoLine="0" r:id="rId8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5</xdr:col>
                <xdr:colOff>28575</xdr:colOff>
                <xdr:row>2</xdr:row>
                <xdr:rowOff>0</xdr:rowOff>
              </to>
            </anchor>
          </controlPr>
        </control>
      </mc:Choice>
      <mc:Fallback>
        <control shapeId="19459" r:id="rId7" name="BestFit"/>
      </mc:Fallback>
    </mc:AlternateContent>
    <mc:AlternateContent xmlns:mc="http://schemas.openxmlformats.org/markup-compatibility/2006">
      <mc:Choice Requires="x14">
        <control shapeId="19460" r:id="rId9" name="Reset">
          <controlPr defaultSize="0" autoLine="0" autoPict="0" r:id="rId10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5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19460" r:id="rId9" name="Reset"/>
      </mc:Fallback>
    </mc:AlternateContent>
    <mc:AlternateContent xmlns:mc="http://schemas.openxmlformats.org/markup-compatibility/2006">
      <mc:Choice Requires="x14">
        <control shapeId="19461" r:id="rId11" name="ExportData">
          <controlPr defaultSize="0" autoLine="0" r:id="rId12">
            <anchor moveWithCells="1">
              <from>
                <xdr:col>3</xdr:col>
                <xdr:colOff>19050</xdr:colOff>
                <xdr:row>8</xdr:row>
                <xdr:rowOff>0</xdr:rowOff>
              </from>
              <to>
                <xdr:col>5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9461" r:id="rId11" name="ExportData"/>
      </mc:Fallback>
    </mc:AlternateContent>
    <mc:AlternateContent xmlns:mc="http://schemas.openxmlformats.org/markup-compatibility/2006">
      <mc:Choice Requires="x14">
        <control shapeId="19462" r:id="rId13" name="Graph">
          <controlPr defaultSize="0" autoLine="0" autoPict="0" r:id="rId14">
            <anchor moveWithCells="1">
              <from>
                <xdr:col>5</xdr:col>
                <xdr:colOff>19050</xdr:colOff>
                <xdr:row>0</xdr:row>
                <xdr:rowOff>9525</xdr:rowOff>
              </from>
              <to>
                <xdr:col>6</xdr:col>
                <xdr:colOff>1343025</xdr:colOff>
                <xdr:row>1</xdr:row>
                <xdr:rowOff>190500</xdr:rowOff>
              </to>
            </anchor>
          </controlPr>
        </control>
      </mc:Choice>
      <mc:Fallback>
        <control shapeId="19462" r:id="rId13" name="Graph"/>
      </mc:Fallback>
    </mc:AlternateContent>
    <mc:AlternateContent xmlns:mc="http://schemas.openxmlformats.org/markup-compatibility/2006">
      <mc:Choice Requires="x14">
        <control shapeId="19463" r:id="rId15" name="CommandButton1">
          <controlPr defaultSize="0" autoLine="0" r:id="rId16">
            <anchor moveWithCells="1">
              <from>
                <xdr:col>4</xdr:col>
                <xdr:colOff>1362075</xdr:colOff>
                <xdr:row>1</xdr:row>
                <xdr:rowOff>171450</xdr:rowOff>
              </from>
              <to>
                <xdr:col>6</xdr:col>
                <xdr:colOff>1352550</xdr:colOff>
                <xdr:row>6</xdr:row>
                <xdr:rowOff>19050</xdr:rowOff>
              </to>
            </anchor>
          </controlPr>
        </control>
      </mc:Choice>
      <mc:Fallback>
        <control shapeId="19463" r:id="rId1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45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D16" sqref="D16:E45"/>
    </sheetView>
  </sheetViews>
  <sheetFormatPr defaultRowHeight="15" x14ac:dyDescent="0.25"/>
  <cols>
    <col min="1" max="1" width="47.7109375" bestFit="1" customWidth="1"/>
    <col min="2" max="2" width="19.140625" customWidth="1"/>
    <col min="3" max="3" width="12.28515625" hidden="1" customWidth="1"/>
    <col min="4" max="4" width="20.7109375" customWidth="1"/>
    <col min="5" max="8" width="20.5703125" customWidth="1"/>
    <col min="9" max="9" width="16.140625" hidden="1" customWidth="1"/>
    <col min="10" max="11" width="20.5703125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50</v>
      </c>
      <c r="D1" s="1"/>
      <c r="E1" s="1"/>
      <c r="F1">
        <f>($D1^$B$3)*$B$2 + $B$4</f>
        <v>-2.0937836231266964E-7</v>
      </c>
      <c r="G1">
        <f>(F1-E1)^2</f>
        <v>4.3839298604735557E-14</v>
      </c>
      <c r="H1" s="29" t="b">
        <v>1</v>
      </c>
    </row>
    <row r="2" spans="1:11" ht="15" customHeight="1" thickTop="1" thickBot="1" x14ac:dyDescent="0.3">
      <c r="A2" s="16" t="s">
        <v>6</v>
      </c>
      <c r="B2" s="16">
        <v>1.0000000252348606</v>
      </c>
      <c r="D2" s="1"/>
      <c r="E2">
        <v>0</v>
      </c>
      <c r="H2" s="29"/>
    </row>
    <row r="3" spans="1:11" ht="15" customHeight="1" thickTop="1" thickBot="1" x14ac:dyDescent="0.3">
      <c r="A3" s="16" t="s">
        <v>1</v>
      </c>
      <c r="B3" s="16">
        <v>1.9999999922449496</v>
      </c>
      <c r="D3" s="1"/>
      <c r="H3" s="11"/>
    </row>
    <row r="4" spans="1:11" ht="15" customHeight="1" thickTop="1" thickBot="1" x14ac:dyDescent="0.3">
      <c r="A4" s="16" t="s">
        <v>7</v>
      </c>
      <c r="B4" s="16">
        <v>-2.0937836231266964E-7</v>
      </c>
      <c r="D4" s="1"/>
      <c r="H4" s="11"/>
    </row>
    <row r="5" spans="1:11" ht="15" hidden="1" customHeight="1" thickTop="1" thickBot="1" x14ac:dyDescent="0.3">
      <c r="A5" s="16"/>
      <c r="B5" s="16"/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0.99999999999999978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9.1862551315955506E-12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1.5297130902416075E-12</v>
      </c>
    </row>
    <row r="12" spans="1:11" ht="15" customHeight="1" thickTop="1" thickBot="1" x14ac:dyDescent="0.3">
      <c r="A12" s="16" t="s">
        <v>10</v>
      </c>
      <c r="B12" s="16">
        <v>30</v>
      </c>
    </row>
    <row r="13" spans="1:11" ht="15" customHeight="1" thickTop="1" thickBot="1" x14ac:dyDescent="0.3">
      <c r="A13" s="16" t="s">
        <v>9</v>
      </c>
      <c r="B13" s="16">
        <f>B12-B14</f>
        <v>30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56</v>
      </c>
      <c r="E15" s="1" t="s">
        <v>57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" customHeight="1" thickTop="1" x14ac:dyDescent="0.25">
      <c r="D16">
        <v>1</v>
      </c>
      <c r="E16">
        <v>1</v>
      </c>
      <c r="F16">
        <f t="shared" ref="F16:F46" si="0">($D16^$B$3)*$B$2 + $B$4</f>
        <v>0.99999981585649833</v>
      </c>
      <c r="G16">
        <f t="shared" ref="G16:G46" si="1">(F16-E16)^2</f>
        <v>3.3908829206985881E-14</v>
      </c>
    </row>
    <row r="17" spans="4:20" x14ac:dyDescent="0.25">
      <c r="D17">
        <v>2</v>
      </c>
      <c r="E17">
        <v>4</v>
      </c>
      <c r="F17">
        <f t="shared" si="0"/>
        <v>3.9999998700595145</v>
      </c>
      <c r="G17">
        <f t="shared" si="1"/>
        <v>1.6884529767466551E-14</v>
      </c>
    </row>
    <row r="18" spans="4:20" x14ac:dyDescent="0.25">
      <c r="D18">
        <v>3</v>
      </c>
      <c r="E18">
        <v>9</v>
      </c>
      <c r="F18">
        <f t="shared" si="0"/>
        <v>8.9999999410572418</v>
      </c>
      <c r="G18">
        <f t="shared" si="1"/>
        <v>3.4742487477388409E-15</v>
      </c>
    </row>
    <row r="19" spans="4:20" x14ac:dyDescent="0.25">
      <c r="D19">
        <v>4</v>
      </c>
      <c r="E19">
        <v>16</v>
      </c>
      <c r="F19">
        <f t="shared" si="0"/>
        <v>16.000000022366883</v>
      </c>
      <c r="G19">
        <f t="shared" si="1"/>
        <v>5.0027747555533518E-16</v>
      </c>
    </row>
    <row r="20" spans="4:20" x14ac:dyDescent="0.25">
      <c r="D20">
        <v>5</v>
      </c>
      <c r="E20">
        <v>25</v>
      </c>
      <c r="F20">
        <f t="shared" si="0"/>
        <v>25.00000010946134</v>
      </c>
      <c r="G20">
        <f t="shared" si="1"/>
        <v>1.1981784855649931E-14</v>
      </c>
      <c r="T20" s="4"/>
    </row>
    <row r="21" spans="4:20" x14ac:dyDescent="0.25">
      <c r="D21">
        <v>6</v>
      </c>
      <c r="E21">
        <v>36</v>
      </c>
      <c r="F21">
        <f t="shared" si="0"/>
        <v>36.000000198849946</v>
      </c>
      <c r="G21">
        <f t="shared" si="1"/>
        <v>3.9541301138274228E-14</v>
      </c>
    </row>
    <row r="22" spans="4:20" x14ac:dyDescent="0.25">
      <c r="D22">
        <v>7</v>
      </c>
      <c r="E22">
        <v>49</v>
      </c>
      <c r="F22">
        <f t="shared" si="0"/>
        <v>49.000000287688849</v>
      </c>
      <c r="G22">
        <f t="shared" si="1"/>
        <v>8.2764873691376572E-14</v>
      </c>
    </row>
    <row r="23" spans="4:20" x14ac:dyDescent="0.25">
      <c r="D23">
        <v>8</v>
      </c>
      <c r="E23">
        <v>64</v>
      </c>
      <c r="F23">
        <f t="shared" si="0"/>
        <v>64.000000373577535</v>
      </c>
      <c r="G23">
        <f t="shared" si="1"/>
        <v>1.3956017475290116E-13</v>
      </c>
    </row>
    <row r="24" spans="4:20" x14ac:dyDescent="0.25">
      <c r="D24">
        <v>9</v>
      </c>
      <c r="E24">
        <v>81</v>
      </c>
      <c r="F24">
        <f t="shared" si="0"/>
        <v>81.000000454438776</v>
      </c>
      <c r="G24">
        <f t="shared" si="1"/>
        <v>2.0651460148427577E-13</v>
      </c>
    </row>
    <row r="25" spans="4:20" x14ac:dyDescent="0.25">
      <c r="D25">
        <v>10</v>
      </c>
      <c r="E25">
        <v>100</v>
      </c>
      <c r="F25">
        <f t="shared" si="0"/>
        <v>100.00000052844135</v>
      </c>
      <c r="G25">
        <f t="shared" si="1"/>
        <v>2.7925025782079619E-13</v>
      </c>
    </row>
    <row r="26" spans="4:20" x14ac:dyDescent="0.25">
      <c r="D26">
        <v>11</v>
      </c>
      <c r="E26">
        <v>121</v>
      </c>
      <c r="F26">
        <f t="shared" si="0"/>
        <v>121.00000059394814</v>
      </c>
      <c r="G26">
        <f t="shared" si="1"/>
        <v>3.5277439776215316E-13</v>
      </c>
    </row>
    <row r="27" spans="4:20" x14ac:dyDescent="0.25">
      <c r="D27">
        <v>12</v>
      </c>
      <c r="E27">
        <v>144</v>
      </c>
      <c r="F27">
        <f t="shared" si="0"/>
        <v>144.00000064947855</v>
      </c>
      <c r="G27">
        <f t="shared" si="1"/>
        <v>4.2182238813155086E-13</v>
      </c>
    </row>
    <row r="28" spans="4:20" x14ac:dyDescent="0.25">
      <c r="D28">
        <v>13</v>
      </c>
      <c r="E28">
        <v>169</v>
      </c>
      <c r="F28">
        <f t="shared" si="0"/>
        <v>169.00000069368136</v>
      </c>
      <c r="G28">
        <f t="shared" si="1"/>
        <v>4.8119382600462588E-13</v>
      </c>
    </row>
    <row r="29" spans="4:20" x14ac:dyDescent="0.25">
      <c r="D29">
        <v>14</v>
      </c>
      <c r="E29">
        <v>196</v>
      </c>
      <c r="F29">
        <f t="shared" si="0"/>
        <v>196.00000072531375</v>
      </c>
      <c r="G29">
        <f t="shared" si="1"/>
        <v>5.2608004166391466E-13</v>
      </c>
    </row>
    <row r="30" spans="4:20" x14ac:dyDescent="0.25">
      <c r="D30">
        <v>15</v>
      </c>
      <c r="E30">
        <v>225</v>
      </c>
      <c r="F30">
        <f t="shared" si="0"/>
        <v>225.0000007432254</v>
      </c>
      <c r="G30">
        <f t="shared" si="1"/>
        <v>5.5238399438255951E-13</v>
      </c>
    </row>
    <row r="31" spans="4:20" x14ac:dyDescent="0.25">
      <c r="D31">
        <v>16</v>
      </c>
      <c r="E31">
        <v>256</v>
      </c>
      <c r="F31">
        <f t="shared" si="0"/>
        <v>256.00000074634522</v>
      </c>
      <c r="G31">
        <f t="shared" si="1"/>
        <v>5.5703119050532486E-13</v>
      </c>
    </row>
    <row r="32" spans="4:20" x14ac:dyDescent="0.25">
      <c r="D32">
        <v>17</v>
      </c>
      <c r="E32">
        <v>289</v>
      </c>
      <c r="F32">
        <f t="shared" si="0"/>
        <v>289.00000073367141</v>
      </c>
      <c r="G32">
        <f t="shared" si="1"/>
        <v>5.3827374284015002E-13</v>
      </c>
    </row>
    <row r="33" spans="4:7" x14ac:dyDescent="0.25">
      <c r="D33">
        <v>18</v>
      </c>
      <c r="E33">
        <v>324</v>
      </c>
      <c r="F33">
        <f t="shared" si="0"/>
        <v>324.0000007042633</v>
      </c>
      <c r="G33">
        <f t="shared" si="1"/>
        <v>4.9598679589868177E-13</v>
      </c>
    </row>
    <row r="34" spans="4:7" x14ac:dyDescent="0.25">
      <c r="D34">
        <v>19</v>
      </c>
      <c r="E34">
        <v>361</v>
      </c>
      <c r="F34">
        <f t="shared" si="0"/>
        <v>361.00000065723378</v>
      </c>
      <c r="G34">
        <f t="shared" si="1"/>
        <v>4.3195624662148294E-13</v>
      </c>
    </row>
    <row r="35" spans="4:7" x14ac:dyDescent="0.25">
      <c r="D35">
        <v>20</v>
      </c>
      <c r="E35">
        <v>400</v>
      </c>
      <c r="F35">
        <f t="shared" si="0"/>
        <v>400.00000059174386</v>
      </c>
      <c r="G35">
        <f t="shared" si="1"/>
        <v>3.5016079075100262E-13</v>
      </c>
    </row>
    <row r="36" spans="4:7" x14ac:dyDescent="0.25">
      <c r="D36">
        <v>21</v>
      </c>
      <c r="E36">
        <v>441</v>
      </c>
      <c r="F36">
        <f t="shared" si="0"/>
        <v>441.00000050699776</v>
      </c>
      <c r="G36">
        <f t="shared" si="1"/>
        <v>2.5704673337013533E-13</v>
      </c>
    </row>
    <row r="37" spans="4:7" x14ac:dyDescent="0.25">
      <c r="D37">
        <v>22</v>
      </c>
      <c r="E37">
        <v>484</v>
      </c>
      <c r="F37">
        <f t="shared" si="0"/>
        <v>484.00000040223813</v>
      </c>
      <c r="G37">
        <f t="shared" si="1"/>
        <v>1.6179551244310529E-13</v>
      </c>
    </row>
    <row r="38" spans="4:7" x14ac:dyDescent="0.25">
      <c r="D38">
        <v>23</v>
      </c>
      <c r="E38">
        <v>529</v>
      </c>
      <c r="F38">
        <f t="shared" si="0"/>
        <v>529.00000027674332</v>
      </c>
      <c r="G38">
        <f t="shared" si="1"/>
        <v>7.6586866045895474E-14</v>
      </c>
    </row>
    <row r="39" spans="4:7" x14ac:dyDescent="0.25">
      <c r="D39">
        <v>24</v>
      </c>
      <c r="E39">
        <v>576</v>
      </c>
      <c r="F39">
        <f t="shared" si="0"/>
        <v>576.00000012982366</v>
      </c>
      <c r="G39">
        <f t="shared" si="1"/>
        <v>1.6854182995599958E-14</v>
      </c>
    </row>
    <row r="40" spans="4:7" x14ac:dyDescent="0.25">
      <c r="D40">
        <v>25</v>
      </c>
      <c r="E40">
        <v>625</v>
      </c>
      <c r="F40">
        <f t="shared" si="0"/>
        <v>624.99999996081908</v>
      </c>
      <c r="G40">
        <f t="shared" si="1"/>
        <v>1.5351443404585608E-15</v>
      </c>
    </row>
    <row r="41" spans="4:7" x14ac:dyDescent="0.25">
      <c r="D41">
        <v>26</v>
      </c>
      <c r="E41">
        <v>676</v>
      </c>
      <c r="F41">
        <f t="shared" si="0"/>
        <v>675.99999976909635</v>
      </c>
      <c r="G41">
        <f t="shared" si="1"/>
        <v>5.3316496393557979E-14</v>
      </c>
    </row>
    <row r="42" spans="4:7" x14ac:dyDescent="0.25">
      <c r="D42">
        <v>27</v>
      </c>
      <c r="E42">
        <v>729</v>
      </c>
      <c r="F42">
        <f t="shared" si="0"/>
        <v>728.99999955404587</v>
      </c>
      <c r="G42">
        <f t="shared" si="1"/>
        <v>1.9887508493672768E-13</v>
      </c>
    </row>
    <row r="43" spans="4:7" x14ac:dyDescent="0.25">
      <c r="D43">
        <v>28</v>
      </c>
      <c r="E43">
        <v>784</v>
      </c>
      <c r="F43">
        <f t="shared" si="0"/>
        <v>783.99999931508376</v>
      </c>
      <c r="G43">
        <f t="shared" si="1"/>
        <v>4.6911026212896341E-13</v>
      </c>
    </row>
    <row r="44" spans="4:7" x14ac:dyDescent="0.25">
      <c r="D44">
        <v>29</v>
      </c>
      <c r="E44">
        <v>841</v>
      </c>
      <c r="F44">
        <f t="shared" si="0"/>
        <v>840.99999905164486</v>
      </c>
      <c r="G44">
        <f t="shared" si="1"/>
        <v>8.9937746519703238E-13</v>
      </c>
    </row>
    <row r="45" spans="4:7" x14ac:dyDescent="0.25">
      <c r="D45">
        <v>30</v>
      </c>
      <c r="E45">
        <v>900</v>
      </c>
      <c r="F45">
        <f t="shared" si="0"/>
        <v>899.99999876318429</v>
      </c>
      <c r="G45">
        <f t="shared" si="1"/>
        <v>1.5297130902416075E-12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Test">
          <controlPr autoLine="0" autoPict="0" r:id="rId4">
            <anchor moveWithCells="1">
              <from>
                <xdr:col>1</xdr:col>
                <xdr:colOff>1276350</xdr:colOff>
                <xdr:row>1</xdr:row>
                <xdr:rowOff>152400</xdr:rowOff>
              </from>
              <to>
                <xdr:col>5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20481" r:id="rId3" name="Test"/>
      </mc:Fallback>
    </mc:AlternateContent>
    <mc:AlternateContent xmlns:mc="http://schemas.openxmlformats.org/markup-compatibility/2006">
      <mc:Choice Requires="x14">
        <control shapeId="20482" r:id="rId5" name="CommandButton2">
          <controlPr autoLine="0" autoPict="0" r:id="rId6">
            <anchor moveWithCells="1">
              <from>
                <xdr:col>1</xdr:col>
                <xdr:colOff>1276350</xdr:colOff>
                <xdr:row>3</xdr:row>
                <xdr:rowOff>190500</xdr:rowOff>
              </from>
              <to>
                <xdr:col>5</xdr:col>
                <xdr:colOff>19050</xdr:colOff>
                <xdr:row>7</xdr:row>
                <xdr:rowOff>200025</xdr:rowOff>
              </to>
            </anchor>
          </controlPr>
        </control>
      </mc:Choice>
      <mc:Fallback>
        <control shapeId="20482" r:id="rId5" name="CommandButton2"/>
      </mc:Fallback>
    </mc:AlternateContent>
    <mc:AlternateContent xmlns:mc="http://schemas.openxmlformats.org/markup-compatibility/2006">
      <mc:Choice Requires="x14">
        <control shapeId="20483" r:id="rId7" name="BestFit">
          <controlPr defaultSize="0" autoLine="0" r:id="rId8">
            <anchor moveWithCells="1">
              <from>
                <xdr:col>3</xdr:col>
                <xdr:colOff>0</xdr:colOff>
                <xdr:row>0</xdr:row>
                <xdr:rowOff>9525</xdr:rowOff>
              </from>
              <to>
                <xdr:col>5</xdr:col>
                <xdr:colOff>19050</xdr:colOff>
                <xdr:row>1</xdr:row>
                <xdr:rowOff>171450</xdr:rowOff>
              </to>
            </anchor>
          </controlPr>
        </control>
      </mc:Choice>
      <mc:Fallback>
        <control shapeId="20483" r:id="rId7" name="BestFit"/>
      </mc:Fallback>
    </mc:AlternateContent>
    <mc:AlternateContent xmlns:mc="http://schemas.openxmlformats.org/markup-compatibility/2006">
      <mc:Choice Requires="x14">
        <control shapeId="20484" r:id="rId9" name="Reset">
          <controlPr defaultSize="0" autoLine="0" autoPict="0" r:id="rId10">
            <anchor moveWithCells="1">
              <from>
                <xdr:col>2</xdr:col>
                <xdr:colOff>0</xdr:colOff>
                <xdr:row>9</xdr:row>
                <xdr:rowOff>171450</xdr:rowOff>
              </from>
              <to>
                <xdr:col>5</xdr:col>
                <xdr:colOff>0</xdr:colOff>
                <xdr:row>12</xdr:row>
                <xdr:rowOff>38100</xdr:rowOff>
              </to>
            </anchor>
          </controlPr>
        </control>
      </mc:Choice>
      <mc:Fallback>
        <control shapeId="20484" r:id="rId9" name="Reset"/>
      </mc:Fallback>
    </mc:AlternateContent>
    <mc:AlternateContent xmlns:mc="http://schemas.openxmlformats.org/markup-compatibility/2006">
      <mc:Choice Requires="x14">
        <control shapeId="20485" r:id="rId11" name="ExportData">
          <controlPr defaultSize="0" autoLine="0" autoPict="0" r:id="rId12">
            <anchor moveWithCells="1">
              <from>
                <xdr:col>2</xdr:col>
                <xdr:colOff>0</xdr:colOff>
                <xdr:row>7</xdr:row>
                <xdr:rowOff>200025</xdr:rowOff>
              </from>
              <to>
                <xdr:col>5</xdr:col>
                <xdr:colOff>19050</xdr:colOff>
                <xdr:row>9</xdr:row>
                <xdr:rowOff>180975</xdr:rowOff>
              </to>
            </anchor>
          </controlPr>
        </control>
      </mc:Choice>
      <mc:Fallback>
        <control shapeId="20485" r:id="rId11" name="ExportData"/>
      </mc:Fallback>
    </mc:AlternateContent>
    <mc:AlternateContent xmlns:mc="http://schemas.openxmlformats.org/markup-compatibility/2006">
      <mc:Choice Requires="x14">
        <control shapeId="20486" r:id="rId13" name="Graph">
          <controlPr defaultSize="0" autoLine="0" r:id="rId14">
            <anchor moveWithCells="1">
              <from>
                <xdr:col>5</xdr:col>
                <xdr:colOff>9525</xdr:colOff>
                <xdr:row>0</xdr:row>
                <xdr:rowOff>0</xdr:rowOff>
              </from>
              <to>
                <xdr:col>6</xdr:col>
                <xdr:colOff>1362075</xdr:colOff>
                <xdr:row>1</xdr:row>
                <xdr:rowOff>171450</xdr:rowOff>
              </to>
            </anchor>
          </controlPr>
        </control>
      </mc:Choice>
      <mc:Fallback>
        <control shapeId="20486" r:id="rId13" name="Graph"/>
      </mc:Fallback>
    </mc:AlternateContent>
    <mc:AlternateContent xmlns:mc="http://schemas.openxmlformats.org/markup-compatibility/2006">
      <mc:Choice Requires="x14">
        <control shapeId="20487" r:id="rId15" name="CommandButton1">
          <controlPr defaultSize="0" autoLine="0" autoPict="0" r:id="rId16">
            <anchor moveWithCells="1">
              <from>
                <xdr:col>5</xdr:col>
                <xdr:colOff>19050</xdr:colOff>
                <xdr:row>1</xdr:row>
                <xdr:rowOff>180975</xdr:rowOff>
              </from>
              <to>
                <xdr:col>7</xdr:col>
                <xdr:colOff>19050</xdr:colOff>
                <xdr:row>4</xdr:row>
                <xdr:rowOff>0</xdr:rowOff>
              </to>
            </anchor>
          </controlPr>
        </control>
      </mc:Choice>
      <mc:Fallback>
        <control shapeId="20487" r:id="rId1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32"/>
  <sheetViews>
    <sheetView workbookViewId="0">
      <pane ySplit="2" topLeftCell="A3" activePane="bottomLeft" state="frozen"/>
      <selection pane="bottomLeft" activeCell="A4" sqref="A4:P32"/>
    </sheetView>
  </sheetViews>
  <sheetFormatPr defaultRowHeight="15" x14ac:dyDescent="0.25"/>
  <sheetData>
    <row r="1" spans="1:20" x14ac:dyDescent="0.25">
      <c r="A1" s="30" t="b">
        <v>0</v>
      </c>
      <c r="B1" s="30"/>
      <c r="C1" s="30" t="b">
        <f>Linear!H1</f>
        <v>1</v>
      </c>
      <c r="D1" s="30"/>
      <c r="E1" s="30" t="b">
        <f>Quadratic!H1</f>
        <v>1</v>
      </c>
      <c r="F1" s="30"/>
      <c r="G1" s="30" t="b">
        <f>Cubic!H1</f>
        <v>1</v>
      </c>
      <c r="H1" s="30"/>
      <c r="I1" s="30" t="b">
        <f>Logarithmic!H1</f>
        <v>1</v>
      </c>
      <c r="J1" s="30"/>
      <c r="K1" s="30" t="b">
        <f>Exponential!H1</f>
        <v>1</v>
      </c>
      <c r="L1" s="30"/>
      <c r="M1" s="30" t="b">
        <f>Power!H1</f>
        <v>1</v>
      </c>
      <c r="N1" s="30"/>
      <c r="O1" s="30" t="b">
        <v>0</v>
      </c>
      <c r="P1" s="30"/>
    </row>
    <row r="2" spans="1:20" ht="14.25" customHeight="1" x14ac:dyDescent="0.25">
      <c r="A2" s="31" t="s">
        <v>59</v>
      </c>
      <c r="B2" s="32" t="e">
        <f>IF($A$1,IF(ISBLANK('Input Sheet'!F9),NA(),'Input Sheet'!F9),NA())</f>
        <v>#N/A</v>
      </c>
      <c r="C2" s="31" t="s">
        <v>24</v>
      </c>
      <c r="D2" s="32" t="str">
        <f>IF($C$1,IF(ISBLANK(Linear!F15),NA(),Linear!F15),NA())</f>
        <v>Predicted</v>
      </c>
      <c r="E2" s="31" t="s">
        <v>25</v>
      </c>
      <c r="F2" s="32" t="str">
        <f>IF($E$1,IF(ISBLANK(Quadratic!F15),NA(),Quadratic!F15),NA())</f>
        <v>Predicted</v>
      </c>
      <c r="G2" s="31" t="s">
        <v>26</v>
      </c>
      <c r="H2" s="32" t="str">
        <f>IF($G$1,IF(ISBLANK(Cubic!F15),NA(),Cubic!F15),NA())</f>
        <v>Predicted</v>
      </c>
      <c r="I2" s="31" t="s">
        <v>27</v>
      </c>
      <c r="J2" s="32" t="str">
        <f>IF($I$1,IF(ISBLANK(Logarithmic!F15),NA(),Logarithmic!F15),NA())</f>
        <v>Predicted</v>
      </c>
      <c r="K2" s="31" t="s">
        <v>28</v>
      </c>
      <c r="L2" s="32" t="str">
        <f>IF($K$1,IF(ISBLANK(Exponential!F15),NA(),Exponential!F15),NA())</f>
        <v>Predicted</v>
      </c>
      <c r="M2" s="31" t="s">
        <v>29</v>
      </c>
      <c r="N2" s="32" t="str">
        <f>IF($M$1,IF(ISBLANK(Power!F15),NA(),Power!F15),NA())</f>
        <v>Predicted</v>
      </c>
      <c r="O2" s="31" t="s">
        <v>58</v>
      </c>
      <c r="P2" s="32" t="e">
        <f>IF($A$1,IF(ISBLANK('Input Sheet'!T9),NA(),'Input Sheet'!T9),NA())</f>
        <v>#N/A</v>
      </c>
      <c r="Q2" s="10"/>
      <c r="R2" s="10"/>
      <c r="S2" s="10"/>
      <c r="T2" s="10"/>
    </row>
    <row r="3" spans="1:20" x14ac:dyDescent="0.25">
      <c r="A3" t="e">
        <f>IF($A$1,IF(ISBLANK('Input Sheet'!E10),NA(),'Input Sheet'!E10),NA())</f>
        <v>#N/A</v>
      </c>
      <c r="B3" t="e">
        <f>IF($A$1,IF(ISBLANK('Input Sheet'!F10),NA(),'Input Sheet'!F10),NA())</f>
        <v>#N/A</v>
      </c>
      <c r="C3">
        <f>IF($C$1,IF(ISBLANK(Linear!D16),NA(),Linear!D16),NA())</f>
        <v>1</v>
      </c>
      <c r="D3">
        <f>IF($C$1,IF(ISBLANK(Linear!F16),NA(),Linear!F16),NA())</f>
        <v>-134.33333333073574</v>
      </c>
      <c r="E3">
        <f>IF($E$1,IF(ISBLANK(Quadratic!D16),NA(),Quadratic!D16),NA())</f>
        <v>1</v>
      </c>
      <c r="F3">
        <f>IF($E$1,IF(ISBLANK(Quadratic!F16),NA(),Quadratic!F16),NA())</f>
        <v>0.99999999999961509</v>
      </c>
      <c r="G3">
        <f>IF($G$1,IF(ISBLANK(Cubic!D16),NA(),Cubic!D16),NA())</f>
        <v>1</v>
      </c>
      <c r="H3">
        <f>IF($G$1,IF(ISBLANK(Cubic!F16),NA(),Cubic!F16),NA())</f>
        <v>0.99999999999858036</v>
      </c>
      <c r="I3">
        <f>IF($I$1,IF(ISBLANK(Logarithmic!D16),NA(),Logarithmic!D16),NA())</f>
        <v>1</v>
      </c>
      <c r="J3">
        <f>IF($I$1,IF(ISBLANK(Logarithmic!F16),NA(),Logarithmic!F16),NA())</f>
        <v>-352.97053161484138</v>
      </c>
      <c r="K3">
        <f>IF($K$1,IF(ISBLANK(Exponential!D16),NA(),Exponential!D16),NA())</f>
        <v>1</v>
      </c>
      <c r="L3">
        <f>IF($K$1,IF(ISBLANK(Exponential!F16),NA(),Exponential!F16),NA())</f>
        <v>-25.425433901172283</v>
      </c>
      <c r="M3">
        <f>IF($M$1,IF(ISBLANK(Power!D16),NA(),Power!D16),NA())</f>
        <v>1</v>
      </c>
      <c r="N3">
        <f>IF($M$1,IF(ISBLANK(Power!F16),NA(),Power!F16),NA())</f>
        <v>0.99999981585649833</v>
      </c>
      <c r="O3" t="e">
        <f>IF($O$1,IF(ISBLANK('Output Sheet'!A2),NA(),'Output Sheet'!A2),NA())</f>
        <v>#N/A</v>
      </c>
      <c r="P3" t="e">
        <f>IF($O$1,IF(ISBLANK('Output Sheet'!B2),NA(),'Output Sheet'!B2),NA())</f>
        <v>#N/A</v>
      </c>
    </row>
    <row r="4" spans="1:20" x14ac:dyDescent="0.25">
      <c r="A4" t="e">
        <f>IF($A$1,IF(ISBLANK('Input Sheet'!E11),NA(),'Input Sheet'!E11),NA())</f>
        <v>#N/A</v>
      </c>
      <c r="B4" t="e">
        <f>IF($A$1,IF(ISBLANK('Input Sheet'!F11),NA(),'Input Sheet'!F11),NA())</f>
        <v>#N/A</v>
      </c>
      <c r="C4">
        <f>IF($C$1,IF(ISBLANK(Linear!D17),NA(),Linear!D17),NA())</f>
        <v>2</v>
      </c>
      <c r="D4">
        <f>IF($C$1,IF(ISBLANK(Linear!F17),NA(),Linear!F17),NA())</f>
        <v>-103.33333333515577</v>
      </c>
      <c r="E4">
        <f>IF($E$1,IF(ISBLANK(Quadratic!D17),NA(),Quadratic!D17),NA())</f>
        <v>2</v>
      </c>
      <c r="F4">
        <f>IF($E$1,IF(ISBLANK(Quadratic!F17),NA(),Quadratic!F17),NA())</f>
        <v>3.9999999999996652</v>
      </c>
      <c r="G4">
        <f>IF($G$1,IF(ISBLANK(Cubic!D17),NA(),Cubic!D17),NA())</f>
        <v>2</v>
      </c>
      <c r="H4">
        <f>IF($G$1,IF(ISBLANK(Cubic!F17),NA(),Cubic!F17),NA())</f>
        <v>3.9999999999990701</v>
      </c>
      <c r="I4">
        <f>IF($I$1,IF(ISBLANK(Logarithmic!D17),NA(),Logarithmic!D17),NA())</f>
        <v>2</v>
      </c>
      <c r="J4">
        <f>IF($I$1,IF(ISBLANK(Logarithmic!F17),NA(),Logarithmic!F17),NA())</f>
        <v>-166.87555862480008</v>
      </c>
      <c r="K4">
        <f>IF($K$1,IF(ISBLANK(Exponential!D17),NA(),Exponential!D17),NA())</f>
        <v>2</v>
      </c>
      <c r="L4">
        <f>IF($K$1,IF(ISBLANK(Exponential!F17),NA(),Exponential!F17),NA())</f>
        <v>-13.628494871127742</v>
      </c>
      <c r="M4">
        <f>IF($M$1,IF(ISBLANK(Power!D17),NA(),Power!D17),NA())</f>
        <v>2</v>
      </c>
      <c r="N4">
        <f>IF($M$1,IF(ISBLANK(Power!F17),NA(),Power!F17),NA())</f>
        <v>3.9999998700595145</v>
      </c>
      <c r="O4" t="e">
        <f>IF($O$1,IF(ISBLANK('Output Sheet'!A3),NA(),'Output Sheet'!A3),NA())</f>
        <v>#N/A</v>
      </c>
      <c r="P4" t="e">
        <f>IF($O$1,IF(ISBLANK('Output Sheet'!B3),NA(),'Output Sheet'!B3),NA())</f>
        <v>#N/A</v>
      </c>
    </row>
    <row r="5" spans="1:20" x14ac:dyDescent="0.25">
      <c r="A5" t="e">
        <f>IF($A$1,IF(ISBLANK('Input Sheet'!E12),NA(),'Input Sheet'!E12),NA())</f>
        <v>#N/A</v>
      </c>
      <c r="B5" t="e">
        <f>IF($A$1,IF(ISBLANK('Input Sheet'!F12),NA(),'Input Sheet'!F12),NA())</f>
        <v>#N/A</v>
      </c>
      <c r="C5">
        <f>IF($C$1,IF(ISBLANK(Linear!D18),NA(),Linear!D18),NA())</f>
        <v>3</v>
      </c>
      <c r="D5">
        <f>IF($C$1,IF(ISBLANK(Linear!F18),NA(),Linear!F18),NA())</f>
        <v>-72.333333339575802</v>
      </c>
      <c r="E5">
        <f>IF($E$1,IF(ISBLANK(Quadratic!D18),NA(),Quadratic!D18),NA())</f>
        <v>3</v>
      </c>
      <c r="F5">
        <f>IF($E$1,IF(ISBLANK(Quadratic!F18),NA(),Quadratic!F18),NA())</f>
        <v>8.999999999999714</v>
      </c>
      <c r="G5">
        <f>IF($G$1,IF(ISBLANK(Cubic!D18),NA(),Cubic!D18),NA())</f>
        <v>3</v>
      </c>
      <c r="H5">
        <f>IF($G$1,IF(ISBLANK(Cubic!F18),NA(),Cubic!F18),NA())</f>
        <v>8.9999999999994671</v>
      </c>
      <c r="I5">
        <f>IF($I$1,IF(ISBLANK(Logarithmic!D18),NA(),Logarithmic!D18),NA())</f>
        <v>3</v>
      </c>
      <c r="J5">
        <f>IF($I$1,IF(ISBLANK(Logarithmic!F18),NA(),Logarithmic!F18),NA())</f>
        <v>-58.016977852909463</v>
      </c>
      <c r="K5">
        <f>IF($K$1,IF(ISBLANK(Exponential!D18),NA(),Exponential!D18),NA())</f>
        <v>3</v>
      </c>
      <c r="L5">
        <f>IF($K$1,IF(ISBLANK(Exponential!F18),NA(),Exponential!F18),NA())</f>
        <v>-1.0660929437497373</v>
      </c>
      <c r="M5">
        <f>IF($M$1,IF(ISBLANK(Power!D18),NA(),Power!D18),NA())</f>
        <v>3</v>
      </c>
      <c r="N5">
        <f>IF($M$1,IF(ISBLANK(Power!F18),NA(),Power!F18),NA())</f>
        <v>8.9999999410572418</v>
      </c>
      <c r="O5" t="e">
        <f>IF($O$1,IF(ISBLANK('Output Sheet'!A4),NA(),'Output Sheet'!A4),NA())</f>
        <v>#N/A</v>
      </c>
      <c r="P5" t="e">
        <f>IF($O$1,IF(ISBLANK('Output Sheet'!B4),NA(),'Output Sheet'!B4),NA())</f>
        <v>#N/A</v>
      </c>
    </row>
    <row r="6" spans="1:20" x14ac:dyDescent="0.25">
      <c r="A6" t="e">
        <f>IF($A$1,IF(ISBLANK('Input Sheet'!E13),NA(),'Input Sheet'!E13),NA())</f>
        <v>#N/A</v>
      </c>
      <c r="B6" t="e">
        <f>IF($A$1,IF(ISBLANK('Input Sheet'!F13),NA(),'Input Sheet'!F13),NA())</f>
        <v>#N/A</v>
      </c>
      <c r="C6">
        <f>IF($C$1,IF(ISBLANK(Linear!D19),NA(),Linear!D19),NA())</f>
        <v>4</v>
      </c>
      <c r="D6">
        <f>IF($C$1,IF(ISBLANK(Linear!F19),NA(),Linear!F19),NA())</f>
        <v>-41.333333343995832</v>
      </c>
      <c r="E6">
        <f>IF($E$1,IF(ISBLANK(Quadratic!D19),NA(),Quadratic!D19),NA())</f>
        <v>4</v>
      </c>
      <c r="F6">
        <f>IF($E$1,IF(ISBLANK(Quadratic!F19),NA(),Quadratic!F19),NA())</f>
        <v>15.999999999999758</v>
      </c>
      <c r="G6">
        <f>IF($G$1,IF(ISBLANK(Cubic!D19),NA(),Cubic!D19),NA())</f>
        <v>4</v>
      </c>
      <c r="H6">
        <f>IF($G$1,IF(ISBLANK(Cubic!F19),NA(),Cubic!F19),NA())</f>
        <v>15.999999999999771</v>
      </c>
      <c r="I6">
        <f>IF($I$1,IF(ISBLANK(Logarithmic!D19),NA(),Logarithmic!D19),NA())</f>
        <v>4</v>
      </c>
      <c r="J6">
        <f>IF($I$1,IF(ISBLANK(Logarithmic!F19),NA(),Logarithmic!F19),NA())</f>
        <v>19.219414365241221</v>
      </c>
      <c r="K6">
        <f>IF($K$1,IF(ISBLANK(Exponential!D19),NA(),Exponential!D19),NA())</f>
        <v>4</v>
      </c>
      <c r="L6">
        <f>IF($K$1,IF(ISBLANK(Exponential!F19),NA(),Exponential!F19),NA())</f>
        <v>12.311440141999867</v>
      </c>
      <c r="M6">
        <f>IF($M$1,IF(ISBLANK(Power!D19),NA(),Power!D19),NA())</f>
        <v>4</v>
      </c>
      <c r="N6">
        <f>IF($M$1,IF(ISBLANK(Power!F19),NA(),Power!F19),NA())</f>
        <v>16.000000022366883</v>
      </c>
      <c r="O6" t="e">
        <f>IF($O$1,IF(ISBLANK('Output Sheet'!A5),NA(),'Output Sheet'!A5),NA())</f>
        <v>#N/A</v>
      </c>
      <c r="P6" t="e">
        <f>IF($O$1,IF(ISBLANK('Output Sheet'!B5),NA(),'Output Sheet'!B5),NA())</f>
        <v>#N/A</v>
      </c>
    </row>
    <row r="7" spans="1:20" x14ac:dyDescent="0.25">
      <c r="A7" t="e">
        <f>IF($A$1,IF(ISBLANK('Input Sheet'!E14),NA(),'Input Sheet'!E14),NA())</f>
        <v>#N/A</v>
      </c>
      <c r="B7" t="e">
        <f>IF($A$1,IF(ISBLANK('Input Sheet'!F14),NA(),'Input Sheet'!F14),NA())</f>
        <v>#N/A</v>
      </c>
      <c r="C7">
        <f>IF($C$1,IF(ISBLANK(Linear!D20),NA(),Linear!D20),NA())</f>
        <v>5</v>
      </c>
      <c r="D7">
        <f>IF($C$1,IF(ISBLANK(Linear!F20),NA(),Linear!F20),NA())</f>
        <v>-10.333333348415863</v>
      </c>
      <c r="E7">
        <f>IF($E$1,IF(ISBLANK(Quadratic!D20),NA(),Quadratic!D20),NA())</f>
        <v>5</v>
      </c>
      <c r="F7">
        <f>IF($E$1,IF(ISBLANK(Quadratic!F20),NA(),Quadratic!F20),NA())</f>
        <v>24.999999999999797</v>
      </c>
      <c r="G7">
        <f>IF($G$1,IF(ISBLANK(Cubic!D20),NA(),Cubic!D20),NA())</f>
        <v>5</v>
      </c>
      <c r="H7">
        <f>IF($G$1,IF(ISBLANK(Cubic!F20),NA(),Cubic!F20),NA())</f>
        <v>24.999999999999989</v>
      </c>
      <c r="I7">
        <f>IF($I$1,IF(ISBLANK(Logarithmic!D20),NA(),Logarithmic!D20),NA())</f>
        <v>5</v>
      </c>
      <c r="J7">
        <f>IF($I$1,IF(ISBLANK(Logarithmic!F20),NA(),Logarithmic!F20),NA())</f>
        <v>79.128614488040398</v>
      </c>
      <c r="K7">
        <f>IF($K$1,IF(ISBLANK(Exponential!D20),NA(),Exponential!D20),NA())</f>
        <v>5</v>
      </c>
      <c r="L7">
        <f>IF($K$1,IF(ISBLANK(Exponential!F20),NA(),Exponential!F20),NA())</f>
        <v>26.55699545020164</v>
      </c>
      <c r="M7">
        <f>IF($M$1,IF(ISBLANK(Power!D20),NA(),Power!D20),NA())</f>
        <v>5</v>
      </c>
      <c r="N7">
        <f>IF($M$1,IF(ISBLANK(Power!F20),NA(),Power!F20),NA())</f>
        <v>25.00000010946134</v>
      </c>
      <c r="O7" t="e">
        <f>IF($O$1,IF(ISBLANK('Output Sheet'!A6),NA(),'Output Sheet'!A6),NA())</f>
        <v>#N/A</v>
      </c>
      <c r="P7" t="e">
        <f>IF($O$1,IF(ISBLANK('Output Sheet'!B6),NA(),'Output Sheet'!B6),NA())</f>
        <v>#N/A</v>
      </c>
    </row>
    <row r="8" spans="1:20" x14ac:dyDescent="0.25">
      <c r="A8" t="e">
        <f>IF($A$1,IF(ISBLANK('Input Sheet'!E15),NA(),'Input Sheet'!E15),NA())</f>
        <v>#N/A</v>
      </c>
      <c r="B8" t="e">
        <f>IF($A$1,IF(ISBLANK('Input Sheet'!F15),NA(),'Input Sheet'!F15),NA())</f>
        <v>#N/A</v>
      </c>
      <c r="C8">
        <f>IF($C$1,IF(ISBLANK(Linear!D21),NA(),Linear!D21),NA())</f>
        <v>6</v>
      </c>
      <c r="D8">
        <f>IF($C$1,IF(ISBLANK(Linear!F21),NA(),Linear!F21),NA())</f>
        <v>20.666666647164107</v>
      </c>
      <c r="E8">
        <f>IF($E$1,IF(ISBLANK(Quadratic!D21),NA(),Quadratic!D21),NA())</f>
        <v>6</v>
      </c>
      <c r="F8">
        <f>IF($E$1,IF(ISBLANK(Quadratic!F21),NA(),Quadratic!F21),NA())</f>
        <v>35.999999999999837</v>
      </c>
      <c r="G8">
        <f>IF($G$1,IF(ISBLANK(Cubic!D21),NA(),Cubic!D21),NA())</f>
        <v>6</v>
      </c>
      <c r="H8">
        <f>IF($G$1,IF(ISBLANK(Cubic!F21),NA(),Cubic!F21),NA())</f>
        <v>36.000000000000107</v>
      </c>
      <c r="I8">
        <f>IF($I$1,IF(ISBLANK(Logarithmic!D21),NA(),Logarithmic!D21),NA())</f>
        <v>6</v>
      </c>
      <c r="J8">
        <f>IF($I$1,IF(ISBLANK(Logarithmic!F21),NA(),Logarithmic!F21),NA())</f>
        <v>128.07799513713184</v>
      </c>
      <c r="K8">
        <f>IF($K$1,IF(ISBLANK(Exponential!D21),NA(),Exponential!D21),NA())</f>
        <v>6</v>
      </c>
      <c r="L8">
        <f>IF($K$1,IF(ISBLANK(Exponential!F21),NA(),Exponential!F21),NA())</f>
        <v>41.726895964610634</v>
      </c>
      <c r="M8">
        <f>IF($M$1,IF(ISBLANK(Power!D21),NA(),Power!D21),NA())</f>
        <v>6</v>
      </c>
      <c r="N8">
        <f>IF($M$1,IF(ISBLANK(Power!F21),NA(),Power!F21),NA())</f>
        <v>36.000000198849946</v>
      </c>
      <c r="O8" t="e">
        <f>IF($O$1,IF(ISBLANK('Output Sheet'!A7),NA(),'Output Sheet'!A7),NA())</f>
        <v>#N/A</v>
      </c>
      <c r="P8" t="e">
        <f>IF($O$1,IF(ISBLANK('Output Sheet'!B7),NA(),'Output Sheet'!B7),NA())</f>
        <v>#N/A</v>
      </c>
    </row>
    <row r="9" spans="1:20" x14ac:dyDescent="0.25">
      <c r="A9" t="e">
        <f>IF($A$1,IF(ISBLANK('Input Sheet'!E16),NA(),'Input Sheet'!E16),NA())</f>
        <v>#N/A</v>
      </c>
      <c r="B9" t="e">
        <f>IF($A$1,IF(ISBLANK('Input Sheet'!F16),NA(),'Input Sheet'!F16),NA())</f>
        <v>#N/A</v>
      </c>
      <c r="C9">
        <f>IF($C$1,IF(ISBLANK(Linear!D22),NA(),Linear!D22),NA())</f>
        <v>7</v>
      </c>
      <c r="D9">
        <f>IF($C$1,IF(ISBLANK(Linear!F22),NA(),Linear!F22),NA())</f>
        <v>51.666666642744076</v>
      </c>
      <c r="E9">
        <f>IF($E$1,IF(ISBLANK(Quadratic!D22),NA(),Quadratic!D22),NA())</f>
        <v>7</v>
      </c>
      <c r="F9">
        <f>IF($E$1,IF(ISBLANK(Quadratic!F22),NA(),Quadratic!F22),NA())</f>
        <v>48.999999999999865</v>
      </c>
      <c r="G9">
        <f>IF($G$1,IF(ISBLANK(Cubic!D22),NA(),Cubic!D22),NA())</f>
        <v>7</v>
      </c>
      <c r="H9">
        <f>IF($G$1,IF(ISBLANK(Cubic!F22),NA(),Cubic!F22),NA())</f>
        <v>49.000000000000135</v>
      </c>
      <c r="I9">
        <f>IF($I$1,IF(ISBLANK(Logarithmic!D22),NA(),Logarithmic!D22),NA())</f>
        <v>7</v>
      </c>
      <c r="J9">
        <f>IF($I$1,IF(ISBLANK(Logarithmic!F22),NA(),Logarithmic!F22),NA())</f>
        <v>169.46410677892794</v>
      </c>
      <c r="K9">
        <f>IF($K$1,IF(ISBLANK(Exponential!D22),NA(),Exponential!D22),NA())</f>
        <v>7</v>
      </c>
      <c r="L9">
        <f>IF($K$1,IF(ISBLANK(Exponential!F22),NA(),Exponential!F22),NA())</f>
        <v>57.881119274148745</v>
      </c>
      <c r="M9">
        <f>IF($M$1,IF(ISBLANK(Power!D22),NA(),Power!D22),NA())</f>
        <v>7</v>
      </c>
      <c r="N9">
        <f>IF($M$1,IF(ISBLANK(Power!F22),NA(),Power!F22),NA())</f>
        <v>49.000000287688849</v>
      </c>
      <c r="O9" t="e">
        <f>IF($O$1,IF(ISBLANK('Output Sheet'!A8),NA(),'Output Sheet'!A8),NA())</f>
        <v>#N/A</v>
      </c>
      <c r="P9" t="e">
        <f>IF($O$1,IF(ISBLANK('Output Sheet'!B8),NA(),'Output Sheet'!B8),NA())</f>
        <v>#N/A</v>
      </c>
    </row>
    <row r="10" spans="1:20" x14ac:dyDescent="0.25">
      <c r="A10" t="e">
        <f>IF($A$1,IF(ISBLANK('Input Sheet'!E17),NA(),'Input Sheet'!E17),NA())</f>
        <v>#N/A</v>
      </c>
      <c r="B10" t="e">
        <f>IF($A$1,IF(ISBLANK('Input Sheet'!F17),NA(),'Input Sheet'!F17),NA())</f>
        <v>#N/A</v>
      </c>
      <c r="C10">
        <f>IF($C$1,IF(ISBLANK(Linear!D23),NA(),Linear!D23),NA())</f>
        <v>8</v>
      </c>
      <c r="D10">
        <f>IF($C$1,IF(ISBLANK(Linear!F23),NA(),Linear!F23),NA())</f>
        <v>82.666666638324045</v>
      </c>
      <c r="E10">
        <f>IF($E$1,IF(ISBLANK(Quadratic!D23),NA(),Quadratic!D23),NA())</f>
        <v>8</v>
      </c>
      <c r="F10">
        <f>IF($E$1,IF(ISBLANK(Quadratic!F23),NA(),Quadratic!F23),NA())</f>
        <v>63.999999999999901</v>
      </c>
      <c r="G10">
        <f>IF($G$1,IF(ISBLANK(Cubic!D23),NA(),Cubic!D23),NA())</f>
        <v>8</v>
      </c>
      <c r="H10">
        <f>IF($G$1,IF(ISBLANK(Cubic!F23),NA(),Cubic!F23),NA())</f>
        <v>64.000000000000071</v>
      </c>
      <c r="I10">
        <f>IF($I$1,IF(ISBLANK(Logarithmic!D23),NA(),Logarithmic!D23),NA())</f>
        <v>8</v>
      </c>
      <c r="J10">
        <f>IF($I$1,IF(ISBLANK(Logarithmic!F23),NA(),Logarithmic!F23),NA())</f>
        <v>205.31438735528246</v>
      </c>
      <c r="K10">
        <f>IF($K$1,IF(ISBLANK(Exponential!D23),NA(),Exponential!D23),NA())</f>
        <v>8</v>
      </c>
      <c r="L10">
        <f>IF($K$1,IF(ISBLANK(Exponential!F23),NA(),Exponential!F23),NA())</f>
        <v>75.08353470769444</v>
      </c>
      <c r="M10">
        <f>IF($M$1,IF(ISBLANK(Power!D23),NA(),Power!D23),NA())</f>
        <v>8</v>
      </c>
      <c r="N10">
        <f>IF($M$1,IF(ISBLANK(Power!F23),NA(),Power!F23),NA())</f>
        <v>64.000000373577535</v>
      </c>
      <c r="O10" t="e">
        <f>IF($O$1,IF(ISBLANK('Output Sheet'!A9),NA(),'Output Sheet'!A9),NA())</f>
        <v>#N/A</v>
      </c>
      <c r="P10" t="e">
        <f>IF($O$1,IF(ISBLANK('Output Sheet'!B9),NA(),'Output Sheet'!B9),NA())</f>
        <v>#N/A</v>
      </c>
    </row>
    <row r="11" spans="1:20" x14ac:dyDescent="0.25">
      <c r="A11" t="e">
        <f>IF($A$1,IF(ISBLANK('Input Sheet'!E18),NA(),'Input Sheet'!E18),NA())</f>
        <v>#N/A</v>
      </c>
      <c r="B11" t="e">
        <f>IF($A$1,IF(ISBLANK('Input Sheet'!F18),NA(),'Input Sheet'!F18),NA())</f>
        <v>#N/A</v>
      </c>
      <c r="C11">
        <f>IF($C$1,IF(ISBLANK(Linear!D24),NA(),Linear!D24),NA())</f>
        <v>9</v>
      </c>
      <c r="D11">
        <f>IF($C$1,IF(ISBLANK(Linear!F24),NA(),Linear!F24),NA())</f>
        <v>113.66666663390401</v>
      </c>
      <c r="E11">
        <f>IF($E$1,IF(ISBLANK(Quadratic!D24),NA(),Quadratic!D24),NA())</f>
        <v>9</v>
      </c>
      <c r="F11">
        <f>IF($E$1,IF(ISBLANK(Quadratic!F24),NA(),Quadratic!F24),NA())</f>
        <v>80.999999999999929</v>
      </c>
      <c r="G11">
        <f>IF($G$1,IF(ISBLANK(Cubic!D24),NA(),Cubic!D24),NA())</f>
        <v>9</v>
      </c>
      <c r="H11">
        <f>IF($G$1,IF(ISBLANK(Cubic!F24),NA(),Cubic!F24),NA())</f>
        <v>80.999999999999915</v>
      </c>
      <c r="I11">
        <f>IF($I$1,IF(ISBLANK(Logarithmic!D24),NA(),Logarithmic!D24),NA())</f>
        <v>9</v>
      </c>
      <c r="J11">
        <f>IF($I$1,IF(ISBLANK(Logarithmic!F24),NA(),Logarithmic!F24),NA())</f>
        <v>236.93657590902245</v>
      </c>
      <c r="K11">
        <f>IF($K$1,IF(ISBLANK(Exponential!D24),NA(),Exponential!D24),NA())</f>
        <v>9</v>
      </c>
      <c r="L11">
        <f>IF($K$1,IF(ISBLANK(Exponential!F24),NA(),Exponential!F24),NA())</f>
        <v>93.40215585573614</v>
      </c>
      <c r="M11">
        <f>IF($M$1,IF(ISBLANK(Power!D24),NA(),Power!D24),NA())</f>
        <v>9</v>
      </c>
      <c r="N11">
        <f>IF($M$1,IF(ISBLANK(Power!F24),NA(),Power!F24),NA())</f>
        <v>81.000000454438776</v>
      </c>
      <c r="O11" t="e">
        <f>IF($O$1,IF(ISBLANK('Output Sheet'!A10),NA(),'Output Sheet'!A10),NA())</f>
        <v>#N/A</v>
      </c>
      <c r="P11" t="e">
        <f>IF($O$1,IF(ISBLANK('Output Sheet'!B10),NA(),'Output Sheet'!B10),NA())</f>
        <v>#N/A</v>
      </c>
    </row>
    <row r="12" spans="1:20" x14ac:dyDescent="0.25">
      <c r="A12" t="e">
        <f>IF($A$1,IF(ISBLANK('Input Sheet'!E19),NA(),'Input Sheet'!E19),NA())</f>
        <v>#N/A</v>
      </c>
      <c r="B12" t="e">
        <f>IF($A$1,IF(ISBLANK('Input Sheet'!F19),NA(),'Input Sheet'!F19),NA())</f>
        <v>#N/A</v>
      </c>
      <c r="C12">
        <f>IF($C$1,IF(ISBLANK(Linear!D25),NA(),Linear!D25),NA())</f>
        <v>10</v>
      </c>
      <c r="D12">
        <f>IF($C$1,IF(ISBLANK(Linear!F25),NA(),Linear!F25),NA())</f>
        <v>144.66666662948398</v>
      </c>
      <c r="E12">
        <f>IF($E$1,IF(ISBLANK(Quadratic!D25),NA(),Quadratic!D25),NA())</f>
        <v>10</v>
      </c>
      <c r="F12">
        <f>IF($E$1,IF(ISBLANK(Quadratic!F25),NA(),Quadratic!F25),NA())</f>
        <v>99.999999999999957</v>
      </c>
      <c r="G12">
        <f>IF($G$1,IF(ISBLANK(Cubic!D25),NA(),Cubic!D25),NA())</f>
        <v>10</v>
      </c>
      <c r="H12">
        <f>IF($G$1,IF(ISBLANK(Cubic!F25),NA(),Cubic!F25),NA())</f>
        <v>99.999999999999673</v>
      </c>
      <c r="I12">
        <f>IF($I$1,IF(ISBLANK(Logarithmic!D25),NA(),Logarithmic!D25),NA())</f>
        <v>10</v>
      </c>
      <c r="J12">
        <f>IF($I$1,IF(ISBLANK(Logarithmic!F25),NA(),Logarithmic!F25),NA())</f>
        <v>265.2235874780817</v>
      </c>
      <c r="K12">
        <f>IF($K$1,IF(ISBLANK(Exponential!D25),NA(),Exponential!D25),NA())</f>
        <v>10</v>
      </c>
      <c r="L12">
        <f>IF($K$1,IF(ISBLANK(Exponential!F25),NA(),Exponential!F25),NA())</f>
        <v>112.90940947728839</v>
      </c>
      <c r="M12">
        <f>IF($M$1,IF(ISBLANK(Power!D25),NA(),Power!D25),NA())</f>
        <v>10</v>
      </c>
      <c r="N12">
        <f>IF($M$1,IF(ISBLANK(Power!F25),NA(),Power!F25),NA())</f>
        <v>100.00000052844135</v>
      </c>
      <c r="O12" t="e">
        <f>IF($O$1,IF(ISBLANK('Output Sheet'!A11),NA(),'Output Sheet'!A11),NA())</f>
        <v>#N/A</v>
      </c>
      <c r="P12" t="e">
        <f>IF($O$1,IF(ISBLANK('Output Sheet'!B11),NA(),'Output Sheet'!B11),NA())</f>
        <v>#N/A</v>
      </c>
    </row>
    <row r="13" spans="1:20" x14ac:dyDescent="0.25">
      <c r="A13" t="e">
        <f>IF($A$1,IF(ISBLANK('Input Sheet'!E20),NA(),'Input Sheet'!E20),NA())</f>
        <v>#N/A</v>
      </c>
      <c r="B13" t="e">
        <f>IF($A$1,IF(ISBLANK('Input Sheet'!F20),NA(),'Input Sheet'!F20),NA())</f>
        <v>#N/A</v>
      </c>
      <c r="C13">
        <f>IF($C$1,IF(ISBLANK(Linear!D26),NA(),Linear!D26),NA())</f>
        <v>11</v>
      </c>
      <c r="D13">
        <f>IF($C$1,IF(ISBLANK(Linear!F26),NA(),Linear!F26),NA())</f>
        <v>175.66666662506395</v>
      </c>
      <c r="E13">
        <f>IF($E$1,IF(ISBLANK(Quadratic!D26),NA(),Quadratic!D26),NA())</f>
        <v>11</v>
      </c>
      <c r="F13">
        <f>IF($E$1,IF(ISBLANK(Quadratic!F26),NA(),Quadratic!F26),NA())</f>
        <v>120.99999999999999</v>
      </c>
      <c r="G13">
        <f>IF($G$1,IF(ISBLANK(Cubic!D26),NA(),Cubic!D26),NA())</f>
        <v>11</v>
      </c>
      <c r="H13">
        <f>IF($G$1,IF(ISBLANK(Cubic!F26),NA(),Cubic!F26),NA())</f>
        <v>120.99999999999935</v>
      </c>
      <c r="I13">
        <f>IF($I$1,IF(ISBLANK(Logarithmic!D26),NA(),Logarithmic!D26),NA())</f>
        <v>11</v>
      </c>
      <c r="J13">
        <f>IF($I$1,IF(ISBLANK(Logarithmic!F26),NA(),Logarithmic!F26),NA())</f>
        <v>290.81230201636134</v>
      </c>
      <c r="K13">
        <f>IF($K$1,IF(ISBLANK(Exponential!D26),NA(),Exponential!D26),NA())</f>
        <v>11</v>
      </c>
      <c r="L13">
        <f>IF($K$1,IF(ISBLANK(Exponential!F26),NA(),Exponential!F26),NA())</f>
        <v>133.68242185525557</v>
      </c>
      <c r="M13">
        <f>IF($M$1,IF(ISBLANK(Power!D26),NA(),Power!D26),NA())</f>
        <v>11</v>
      </c>
      <c r="N13">
        <f>IF($M$1,IF(ISBLANK(Power!F26),NA(),Power!F26),NA())</f>
        <v>121.00000059394814</v>
      </c>
      <c r="O13" t="e">
        <f>IF($O$1,IF(ISBLANK('Output Sheet'!A12),NA(),'Output Sheet'!A12),NA())</f>
        <v>#N/A</v>
      </c>
      <c r="P13" t="e">
        <f>IF($O$1,IF(ISBLANK('Output Sheet'!B12),NA(),'Output Sheet'!B12),NA())</f>
        <v>#N/A</v>
      </c>
    </row>
    <row r="14" spans="1:20" x14ac:dyDescent="0.25">
      <c r="A14" t="e">
        <f>IF($A$1,IF(ISBLANK('Input Sheet'!E21),NA(),'Input Sheet'!E21),NA())</f>
        <v>#N/A</v>
      </c>
      <c r="B14" t="e">
        <f>IF($A$1,IF(ISBLANK('Input Sheet'!F21),NA(),'Input Sheet'!F21),NA())</f>
        <v>#N/A</v>
      </c>
      <c r="C14">
        <f>IF($C$1,IF(ISBLANK(Linear!D27),NA(),Linear!D27),NA())</f>
        <v>12</v>
      </c>
      <c r="D14">
        <f>IF($C$1,IF(ISBLANK(Linear!F27),NA(),Linear!F27),NA())</f>
        <v>206.66666662064392</v>
      </c>
      <c r="E14">
        <f>IF($E$1,IF(ISBLANK(Quadratic!D27),NA(),Quadratic!D27),NA())</f>
        <v>12</v>
      </c>
      <c r="F14">
        <f>IF($E$1,IF(ISBLANK(Quadratic!F27),NA(),Quadratic!F27),NA())</f>
        <v>144.00000000000003</v>
      </c>
      <c r="G14">
        <f>IF($G$1,IF(ISBLANK(Cubic!D27),NA(),Cubic!D27),NA())</f>
        <v>12</v>
      </c>
      <c r="H14">
        <f>IF($G$1,IF(ISBLANK(Cubic!F27),NA(),Cubic!F27),NA())</f>
        <v>143.99999999999892</v>
      </c>
      <c r="I14">
        <f>IF($I$1,IF(ISBLANK(Logarithmic!D27),NA(),Logarithmic!D27),NA())</f>
        <v>12</v>
      </c>
      <c r="J14">
        <f>IF($I$1,IF(ISBLANK(Logarithmic!F27),NA(),Logarithmic!F27),NA())</f>
        <v>314.17296812717319</v>
      </c>
      <c r="K14">
        <f>IF($K$1,IF(ISBLANK(Exponential!D27),NA(),Exponential!D27),NA())</f>
        <v>12</v>
      </c>
      <c r="L14">
        <f>IF($K$1,IF(ISBLANK(Exponential!F27),NA(),Exponential!F27),NA())</f>
        <v>155.80332373241291</v>
      </c>
      <c r="M14">
        <f>IF($M$1,IF(ISBLANK(Power!D27),NA(),Power!D27),NA())</f>
        <v>12</v>
      </c>
      <c r="N14">
        <f>IF($M$1,IF(ISBLANK(Power!F27),NA(),Power!F27),NA())</f>
        <v>144.00000064947855</v>
      </c>
      <c r="O14" t="e">
        <f>IF($O$1,IF(ISBLANK('Output Sheet'!A13),NA(),'Output Sheet'!A13),NA())</f>
        <v>#N/A</v>
      </c>
      <c r="P14" t="e">
        <f>IF($O$1,IF(ISBLANK('Output Sheet'!B13),NA(),'Output Sheet'!B13),NA())</f>
        <v>#N/A</v>
      </c>
    </row>
    <row r="15" spans="1:20" x14ac:dyDescent="0.25">
      <c r="A15" t="e">
        <f>IF($A$1,IF(ISBLANK('Input Sheet'!E22),NA(),'Input Sheet'!E22),NA())</f>
        <v>#N/A</v>
      </c>
      <c r="B15" t="e">
        <f>IF($A$1,IF(ISBLANK('Input Sheet'!F22),NA(),'Input Sheet'!F22),NA())</f>
        <v>#N/A</v>
      </c>
      <c r="C15">
        <f>IF($C$1,IF(ISBLANK(Linear!D28),NA(),Linear!D28),NA())</f>
        <v>13</v>
      </c>
      <c r="D15">
        <f>IF($C$1,IF(ISBLANK(Linear!F28),NA(),Linear!F28),NA())</f>
        <v>237.66666661622389</v>
      </c>
      <c r="E15">
        <f>IF($E$1,IF(ISBLANK(Quadratic!D28),NA(),Quadratic!D28),NA())</f>
        <v>13</v>
      </c>
      <c r="F15">
        <f>IF($E$1,IF(ISBLANK(Quadratic!F28),NA(),Quadratic!F28),NA())</f>
        <v>169.00000000000003</v>
      </c>
      <c r="G15">
        <f>IF($G$1,IF(ISBLANK(Cubic!D28),NA(),Cubic!D28),NA())</f>
        <v>13</v>
      </c>
      <c r="H15">
        <f>IF($G$1,IF(ISBLANK(Cubic!F28),NA(),Cubic!F28),NA())</f>
        <v>168.99999999999841</v>
      </c>
      <c r="I15">
        <f>IF($I$1,IF(ISBLANK(Logarithmic!D28),NA(),Logarithmic!D28),NA())</f>
        <v>13</v>
      </c>
      <c r="J15">
        <f>IF($I$1,IF(ISBLANK(Logarithmic!F28),NA(),Logarithmic!F28),NA())</f>
        <v>335.66269778390125</v>
      </c>
      <c r="K15">
        <f>IF($K$1,IF(ISBLANK(Exponential!D28),NA(),Exponential!D28),NA())</f>
        <v>13</v>
      </c>
      <c r="L15">
        <f>IF($K$1,IF(ISBLANK(Exponential!F28),NA(),Exponential!F28),NA())</f>
        <v>179.3595750336365</v>
      </c>
      <c r="M15">
        <f>IF($M$1,IF(ISBLANK(Power!D28),NA(),Power!D28),NA())</f>
        <v>13</v>
      </c>
      <c r="N15">
        <f>IF($M$1,IF(ISBLANK(Power!F28),NA(),Power!F28),NA())</f>
        <v>169.00000069368136</v>
      </c>
      <c r="O15" t="e">
        <f>IF($O$1,IF(ISBLANK('Output Sheet'!A14),NA(),'Output Sheet'!A14),NA())</f>
        <v>#N/A</v>
      </c>
      <c r="P15" t="e">
        <f>IF($O$1,IF(ISBLANK('Output Sheet'!B14),NA(),'Output Sheet'!B14),NA())</f>
        <v>#N/A</v>
      </c>
    </row>
    <row r="16" spans="1:20" x14ac:dyDescent="0.25">
      <c r="A16" t="e">
        <f>IF($A$1,IF(ISBLANK('Input Sheet'!E23),NA(),'Input Sheet'!E23),NA())</f>
        <v>#N/A</v>
      </c>
      <c r="B16" t="e">
        <f>IF($A$1,IF(ISBLANK('Input Sheet'!F23),NA(),'Input Sheet'!F23),NA())</f>
        <v>#N/A</v>
      </c>
      <c r="C16">
        <f>IF($C$1,IF(ISBLANK(Linear!D29),NA(),Linear!D29),NA())</f>
        <v>14</v>
      </c>
      <c r="D16">
        <f>IF($C$1,IF(ISBLANK(Linear!F29),NA(),Linear!F29),NA())</f>
        <v>268.66666661180386</v>
      </c>
      <c r="E16">
        <f>IF($E$1,IF(ISBLANK(Quadratic!D29),NA(),Quadratic!D29),NA())</f>
        <v>14</v>
      </c>
      <c r="F16">
        <f>IF($E$1,IF(ISBLANK(Quadratic!F29),NA(),Quadratic!F29),NA())</f>
        <v>196.00000000000006</v>
      </c>
      <c r="G16">
        <f>IF($G$1,IF(ISBLANK(Cubic!D29),NA(),Cubic!D29),NA())</f>
        <v>14</v>
      </c>
      <c r="H16">
        <f>IF($G$1,IF(ISBLANK(Cubic!F29),NA(),Cubic!F29),NA())</f>
        <v>195.99999999999778</v>
      </c>
      <c r="I16">
        <f>IF($I$1,IF(ISBLANK(Logarithmic!D29),NA(),Logarithmic!D29),NA())</f>
        <v>14</v>
      </c>
      <c r="J16">
        <f>IF($I$1,IF(ISBLANK(Logarithmic!F29),NA(),Logarithmic!F29),NA())</f>
        <v>355.55907976896918</v>
      </c>
      <c r="K16">
        <f>IF($K$1,IF(ISBLANK(Exponential!D29),NA(),Exponential!D29),NA())</f>
        <v>14</v>
      </c>
      <c r="L16">
        <f>IF($K$1,IF(ISBLANK(Exponential!F29),NA(),Exponential!F29),NA())</f>
        <v>204.44431065824492</v>
      </c>
      <c r="M16">
        <f>IF($M$1,IF(ISBLANK(Power!D29),NA(),Power!D29),NA())</f>
        <v>14</v>
      </c>
      <c r="N16">
        <f>IF($M$1,IF(ISBLANK(Power!F29),NA(),Power!F29),NA())</f>
        <v>196.00000072531375</v>
      </c>
      <c r="O16" t="e">
        <f>IF($O$1,IF(ISBLANK('Output Sheet'!A15),NA(),'Output Sheet'!A15),NA())</f>
        <v>#N/A</v>
      </c>
      <c r="P16" t="e">
        <f>IF($O$1,IF(ISBLANK('Output Sheet'!B15),NA(),'Output Sheet'!B15),NA())</f>
        <v>#N/A</v>
      </c>
    </row>
    <row r="17" spans="1:16" x14ac:dyDescent="0.25">
      <c r="A17" t="e">
        <f>IF($A$1,IF(ISBLANK('Input Sheet'!E24),NA(),'Input Sheet'!E24),NA())</f>
        <v>#N/A</v>
      </c>
      <c r="B17" t="e">
        <f>IF($A$1,IF(ISBLANK('Input Sheet'!F24),NA(),'Input Sheet'!F24),NA())</f>
        <v>#N/A</v>
      </c>
      <c r="C17">
        <f>IF($C$1,IF(ISBLANK(Linear!D30),NA(),Linear!D30),NA())</f>
        <v>15</v>
      </c>
      <c r="D17">
        <f>IF($C$1,IF(ISBLANK(Linear!F30),NA(),Linear!F30),NA())</f>
        <v>299.66666660738383</v>
      </c>
      <c r="E17">
        <f>IF($E$1,IF(ISBLANK(Quadratic!D30),NA(),Quadratic!D30),NA())</f>
        <v>15</v>
      </c>
      <c r="F17">
        <f>IF($E$1,IF(ISBLANK(Quadratic!F30),NA(),Quadratic!F30),NA())</f>
        <v>225.00000000000009</v>
      </c>
      <c r="G17">
        <f>IF($G$1,IF(ISBLANK(Cubic!D30),NA(),Cubic!D30),NA())</f>
        <v>15</v>
      </c>
      <c r="H17">
        <f>IF($G$1,IF(ISBLANK(Cubic!F30),NA(),Cubic!F30),NA())</f>
        <v>224.99999999999707</v>
      </c>
      <c r="I17">
        <f>IF($I$1,IF(ISBLANK(Logarithmic!D30),NA(),Logarithmic!D30),NA())</f>
        <v>15</v>
      </c>
      <c r="J17">
        <f>IF($I$1,IF(ISBLANK(Logarithmic!F30),NA(),Logarithmic!F30),NA())</f>
        <v>374.08216824997231</v>
      </c>
      <c r="K17">
        <f>IF($K$1,IF(ISBLANK(Exponential!D30),NA(),Exponential!D30),NA())</f>
        <v>15</v>
      </c>
      <c r="L17">
        <f>IF($K$1,IF(ISBLANK(Exponential!F30),NA(),Exponential!F30),NA())</f>
        <v>231.15670870961983</v>
      </c>
      <c r="M17">
        <f>IF($M$1,IF(ISBLANK(Power!D30),NA(),Power!D30),NA())</f>
        <v>15</v>
      </c>
      <c r="N17">
        <f>IF($M$1,IF(ISBLANK(Power!F30),NA(),Power!F30),NA())</f>
        <v>225.0000007432254</v>
      </c>
      <c r="O17" t="e">
        <f>IF($O$1,IF(ISBLANK('Output Sheet'!A16),NA(),'Output Sheet'!A16),NA())</f>
        <v>#N/A</v>
      </c>
      <c r="P17" t="e">
        <f>IF($O$1,IF(ISBLANK('Output Sheet'!B16),NA(),'Output Sheet'!B16),NA())</f>
        <v>#N/A</v>
      </c>
    </row>
    <row r="18" spans="1:16" x14ac:dyDescent="0.25">
      <c r="A18" t="e">
        <f>IF($A$1,IF(ISBLANK('Input Sheet'!E25),NA(),'Input Sheet'!E25),NA())</f>
        <v>#N/A</v>
      </c>
      <c r="B18" t="e">
        <f>IF($A$1,IF(ISBLANK('Input Sheet'!F25),NA(),'Input Sheet'!F25),NA())</f>
        <v>#N/A</v>
      </c>
      <c r="C18">
        <f>IF($C$1,IF(ISBLANK(Linear!D31),NA(),Linear!D31),NA())</f>
        <v>16</v>
      </c>
      <c r="D18">
        <f>IF($C$1,IF(ISBLANK(Linear!F31),NA(),Linear!F31),NA())</f>
        <v>330.6666666029638</v>
      </c>
      <c r="E18">
        <f>IF($E$1,IF(ISBLANK(Quadratic!D31),NA(),Quadratic!D31),NA())</f>
        <v>16</v>
      </c>
      <c r="F18">
        <f>IF($E$1,IF(ISBLANK(Quadratic!F31),NA(),Quadratic!F31),NA())</f>
        <v>256.00000000000006</v>
      </c>
      <c r="G18">
        <f>IF($G$1,IF(ISBLANK(Cubic!D31),NA(),Cubic!D31),NA())</f>
        <v>16</v>
      </c>
      <c r="H18">
        <f>IF($G$1,IF(ISBLANK(Cubic!F31),NA(),Cubic!F31),NA())</f>
        <v>255.99999999999628</v>
      </c>
      <c r="I18">
        <f>IF($I$1,IF(ISBLANK(Logarithmic!D31),NA(),Logarithmic!D31),NA())</f>
        <v>16</v>
      </c>
      <c r="J18">
        <f>IF($I$1,IF(ISBLANK(Logarithmic!F31),NA(),Logarithmic!F31),NA())</f>
        <v>391.40936034532382</v>
      </c>
      <c r="K18">
        <f>IF($K$1,IF(ISBLANK(Exponential!D31),NA(),Exponential!D31),NA())</f>
        <v>16</v>
      </c>
      <c r="L18">
        <f>IF($K$1,IF(ISBLANK(Exponential!F31),NA(),Exponential!F31),NA())</f>
        <v>259.60238261798224</v>
      </c>
      <c r="M18">
        <f>IF($M$1,IF(ISBLANK(Power!D31),NA(),Power!D31),NA())</f>
        <v>16</v>
      </c>
      <c r="N18">
        <f>IF($M$1,IF(ISBLANK(Power!F31),NA(),Power!F31),NA())</f>
        <v>256.00000074634522</v>
      </c>
      <c r="O18" t="e">
        <f>IF($O$1,IF(ISBLANK('Output Sheet'!A17),NA(),'Output Sheet'!A17),NA())</f>
        <v>#N/A</v>
      </c>
      <c r="P18" t="e">
        <f>IF($O$1,IF(ISBLANK('Output Sheet'!B17),NA(),'Output Sheet'!B17),NA())</f>
        <v>#N/A</v>
      </c>
    </row>
    <row r="19" spans="1:16" x14ac:dyDescent="0.25">
      <c r="A19" t="e">
        <f>IF($A$1,IF(ISBLANK('Input Sheet'!E26),NA(),'Input Sheet'!E26),NA())</f>
        <v>#N/A</v>
      </c>
      <c r="B19" t="e">
        <f>IF($A$1,IF(ISBLANK('Input Sheet'!F26),NA(),'Input Sheet'!F26),NA())</f>
        <v>#N/A</v>
      </c>
      <c r="C19">
        <f>IF($C$1,IF(ISBLANK(Linear!D32),NA(),Linear!D32),NA())</f>
        <v>17</v>
      </c>
      <c r="D19">
        <f>IF($C$1,IF(ISBLANK(Linear!F32),NA(),Linear!F32),NA())</f>
        <v>361.66666659854377</v>
      </c>
      <c r="E19">
        <f>IF($E$1,IF(ISBLANK(Quadratic!D32),NA(),Quadratic!D32),NA())</f>
        <v>17</v>
      </c>
      <c r="F19">
        <f>IF($E$1,IF(ISBLANK(Quadratic!F32),NA(),Quadratic!F32),NA())</f>
        <v>289.00000000000006</v>
      </c>
      <c r="G19">
        <f>IF($G$1,IF(ISBLANK(Cubic!D32),NA(),Cubic!D32),NA())</f>
        <v>17</v>
      </c>
      <c r="H19">
        <f>IF($G$1,IF(ISBLANK(Cubic!F32),NA(),Cubic!F32),NA())</f>
        <v>288.9999999999954</v>
      </c>
      <c r="I19">
        <f>IF($I$1,IF(ISBLANK(Logarithmic!D32),NA(),Logarithmic!D32),NA())</f>
        <v>17</v>
      </c>
      <c r="J19">
        <f>IF($I$1,IF(ISBLANK(Logarithmic!F32),NA(),Logarithmic!F32),NA())</f>
        <v>407.685755425438</v>
      </c>
      <c r="K19">
        <f>IF($K$1,IF(ISBLANK(Exponential!D32),NA(),Exponential!D32),NA())</f>
        <v>17</v>
      </c>
      <c r="L19">
        <f>IF($K$1,IF(ISBLANK(Exponential!F32),NA(),Exponential!F32),NA())</f>
        <v>289.89379870667176</v>
      </c>
      <c r="M19">
        <f>IF($M$1,IF(ISBLANK(Power!D32),NA(),Power!D32),NA())</f>
        <v>17</v>
      </c>
      <c r="N19">
        <f>IF($M$1,IF(ISBLANK(Power!F32),NA(),Power!F32),NA())</f>
        <v>289.00000073367141</v>
      </c>
      <c r="O19" t="e">
        <f>IF($O$1,IF(ISBLANK('Output Sheet'!A18),NA(),'Output Sheet'!A18),NA())</f>
        <v>#N/A</v>
      </c>
      <c r="P19" t="e">
        <f>IF($O$1,IF(ISBLANK('Output Sheet'!B18),NA(),'Output Sheet'!B18),NA())</f>
        <v>#N/A</v>
      </c>
    </row>
    <row r="20" spans="1:16" x14ac:dyDescent="0.25">
      <c r="A20" t="e">
        <f>IF($A$1,IF(ISBLANK('Input Sheet'!E27),NA(),'Input Sheet'!E27),NA())</f>
        <v>#N/A</v>
      </c>
      <c r="B20" t="e">
        <f>IF($A$1,IF(ISBLANK('Input Sheet'!F27),NA(),'Input Sheet'!F27),NA())</f>
        <v>#N/A</v>
      </c>
      <c r="C20">
        <f>IF($C$1,IF(ISBLANK(Linear!D33),NA(),Linear!D33),NA())</f>
        <v>18</v>
      </c>
      <c r="D20">
        <f>IF($C$1,IF(ISBLANK(Linear!F33),NA(),Linear!F33),NA())</f>
        <v>392.66666659412374</v>
      </c>
      <c r="E20">
        <f>IF($E$1,IF(ISBLANK(Quadratic!D33),NA(),Quadratic!D33),NA())</f>
        <v>18</v>
      </c>
      <c r="F20">
        <f>IF($E$1,IF(ISBLANK(Quadratic!F33),NA(),Quadratic!F33),NA())</f>
        <v>324.00000000000006</v>
      </c>
      <c r="G20">
        <f>IF($G$1,IF(ISBLANK(Cubic!D33),NA(),Cubic!D33),NA())</f>
        <v>18</v>
      </c>
      <c r="H20">
        <f>IF($G$1,IF(ISBLANK(Cubic!F33),NA(),Cubic!F33),NA())</f>
        <v>323.99999999999443</v>
      </c>
      <c r="I20">
        <f>IF($I$1,IF(ISBLANK(Logarithmic!D33),NA(),Logarithmic!D33),NA())</f>
        <v>18</v>
      </c>
      <c r="J20">
        <f>IF($I$1,IF(ISBLANK(Logarithmic!F33),NA(),Logarithmic!F33),NA())</f>
        <v>423.03154889906358</v>
      </c>
      <c r="K20">
        <f>IF($K$1,IF(ISBLANK(Exponential!D33),NA(),Exponential!D33),NA())</f>
        <v>18</v>
      </c>
      <c r="L20">
        <f>IF($K$1,IF(ISBLANK(Exponential!F33),NA(),Exponential!F33),NA())</f>
        <v>322.15072085286727</v>
      </c>
      <c r="M20">
        <f>IF($M$1,IF(ISBLANK(Power!D33),NA(),Power!D33),NA())</f>
        <v>18</v>
      </c>
      <c r="N20">
        <f>IF($M$1,IF(ISBLANK(Power!F33),NA(),Power!F33),NA())</f>
        <v>324.0000007042633</v>
      </c>
      <c r="O20" t="e">
        <f>IF($O$1,IF(ISBLANK('Output Sheet'!A19),NA(),'Output Sheet'!A19),NA())</f>
        <v>#N/A</v>
      </c>
      <c r="P20" t="e">
        <f>IF($O$1,IF(ISBLANK('Output Sheet'!B19),NA(),'Output Sheet'!B19),NA())</f>
        <v>#N/A</v>
      </c>
    </row>
    <row r="21" spans="1:16" x14ac:dyDescent="0.25">
      <c r="A21" t="e">
        <f>IF($A$1,IF(ISBLANK('Input Sheet'!E28),NA(),'Input Sheet'!E28),NA())</f>
        <v>#N/A</v>
      </c>
      <c r="B21" t="e">
        <f>IF($A$1,IF(ISBLANK('Input Sheet'!F28),NA(),'Input Sheet'!F28),NA())</f>
        <v>#N/A</v>
      </c>
      <c r="C21">
        <f>IF($C$1,IF(ISBLANK(Linear!D34),NA(),Linear!D34),NA())</f>
        <v>19</v>
      </c>
      <c r="D21">
        <f>IF($C$1,IF(ISBLANK(Linear!F34),NA(),Linear!F34),NA())</f>
        <v>423.66666658970371</v>
      </c>
      <c r="E21">
        <f>IF($E$1,IF(ISBLANK(Quadratic!D34),NA(),Quadratic!D34),NA())</f>
        <v>19</v>
      </c>
      <c r="F21">
        <f>IF($E$1,IF(ISBLANK(Quadratic!F34),NA(),Quadratic!F34),NA())</f>
        <v>361.00000000000006</v>
      </c>
      <c r="G21">
        <f>IF($G$1,IF(ISBLANK(Cubic!D34),NA(),Cubic!D34),NA())</f>
        <v>19</v>
      </c>
      <c r="H21">
        <f>IF($G$1,IF(ISBLANK(Cubic!F34),NA(),Cubic!F34),NA())</f>
        <v>360.99999999999335</v>
      </c>
      <c r="I21">
        <f>IF($I$1,IF(ISBLANK(Logarithmic!D34),NA(),Logarithmic!D34),NA())</f>
        <v>19</v>
      </c>
      <c r="J21">
        <f>IF($I$1,IF(ISBLANK(Logarithmic!F34),NA(),Logarithmic!F34),NA())</f>
        <v>437.54742426309593</v>
      </c>
      <c r="K21">
        <f>IF($K$1,IF(ISBLANK(Exponential!D34),NA(),Exponential!D34),NA())</f>
        <v>19</v>
      </c>
      <c r="L21">
        <f>IF($K$1,IF(ISBLANK(Exponential!F34),NA(),Exponential!F34),NA())</f>
        <v>356.50068400081784</v>
      </c>
      <c r="M21">
        <f>IF($M$1,IF(ISBLANK(Power!D34),NA(),Power!D34),NA())</f>
        <v>19</v>
      </c>
      <c r="N21">
        <f>IF($M$1,IF(ISBLANK(Power!F34),NA(),Power!F34),NA())</f>
        <v>361.00000065723378</v>
      </c>
      <c r="O21" t="e">
        <f>IF($O$1,IF(ISBLANK('Output Sheet'!A20),NA(),'Output Sheet'!A20),NA())</f>
        <v>#N/A</v>
      </c>
      <c r="P21" t="e">
        <f>IF($O$1,IF(ISBLANK('Output Sheet'!B20),NA(),'Output Sheet'!B20),NA())</f>
        <v>#N/A</v>
      </c>
    </row>
    <row r="22" spans="1:16" x14ac:dyDescent="0.25">
      <c r="A22" t="e">
        <f>IF($A$1,IF(ISBLANK('Input Sheet'!E29),NA(),'Input Sheet'!E29),NA())</f>
        <v>#N/A</v>
      </c>
      <c r="B22" t="e">
        <f>IF($A$1,IF(ISBLANK('Input Sheet'!F29),NA(),'Input Sheet'!F29),NA())</f>
        <v>#N/A</v>
      </c>
      <c r="C22">
        <f>IF($C$1,IF(ISBLANK(Linear!D35),NA(),Linear!D35),NA())</f>
        <v>20</v>
      </c>
      <c r="D22">
        <f>IF($C$1,IF(ISBLANK(Linear!F35),NA(),Linear!F35),NA())</f>
        <v>454.66666658528368</v>
      </c>
      <c r="E22">
        <f>IF($E$1,IF(ISBLANK(Quadratic!D35),NA(),Quadratic!D35),NA())</f>
        <v>20</v>
      </c>
      <c r="F22">
        <f>IF($E$1,IF(ISBLANK(Quadratic!F35),NA(),Quadratic!F35),NA())</f>
        <v>400.00000000000006</v>
      </c>
      <c r="G22">
        <f>IF($G$1,IF(ISBLANK(Cubic!D35),NA(),Cubic!D35),NA())</f>
        <v>20</v>
      </c>
      <c r="H22">
        <f>IF($G$1,IF(ISBLANK(Cubic!F35),NA(),Cubic!F35),NA())</f>
        <v>399.99999999999221</v>
      </c>
      <c r="I22">
        <f>IF($I$1,IF(ISBLANK(Logarithmic!D35),NA(),Logarithmic!D35),NA())</f>
        <v>20</v>
      </c>
      <c r="J22">
        <f>IF($I$1,IF(ISBLANK(Logarithmic!F35),NA(),Logarithmic!F35),NA())</f>
        <v>451.31856046812305</v>
      </c>
      <c r="K22">
        <f>IF($K$1,IF(ISBLANK(Exponential!D35),NA(),Exponential!D35),NA())</f>
        <v>20</v>
      </c>
      <c r="L22">
        <f>IF($K$1,IF(ISBLANK(Exponential!F35),NA(),Exponential!F35),NA())</f>
        <v>393.07949839972139</v>
      </c>
      <c r="M22">
        <f>IF($M$1,IF(ISBLANK(Power!D35),NA(),Power!D35),NA())</f>
        <v>20</v>
      </c>
      <c r="N22">
        <f>IF($M$1,IF(ISBLANK(Power!F35),NA(),Power!F35),NA())</f>
        <v>400.00000059174386</v>
      </c>
      <c r="O22" t="e">
        <f>IF($O$1,IF(ISBLANK('Output Sheet'!A21),NA(),'Output Sheet'!A21),NA())</f>
        <v>#N/A</v>
      </c>
      <c r="P22" t="e">
        <f>IF($O$1,IF(ISBLANK('Output Sheet'!B21),NA(),'Output Sheet'!B21),NA())</f>
        <v>#N/A</v>
      </c>
    </row>
    <row r="23" spans="1:16" x14ac:dyDescent="0.25">
      <c r="A23" t="e">
        <f>IF($A$1,IF(ISBLANK('Input Sheet'!E30),NA(),'Input Sheet'!E30),NA())</f>
        <v>#N/A</v>
      </c>
      <c r="B23" t="e">
        <f>IF($A$1,IF(ISBLANK('Input Sheet'!F30),NA(),'Input Sheet'!F30),NA())</f>
        <v>#N/A</v>
      </c>
      <c r="C23">
        <f>IF($C$1,IF(ISBLANK(Linear!D36),NA(),Linear!D36),NA())</f>
        <v>21</v>
      </c>
      <c r="D23">
        <f>IF($C$1,IF(ISBLANK(Linear!F36),NA(),Linear!F36),NA())</f>
        <v>485.66666658086365</v>
      </c>
      <c r="E23">
        <f>IF($E$1,IF(ISBLANK(Quadratic!D36),NA(),Quadratic!D36),NA())</f>
        <v>21</v>
      </c>
      <c r="F23">
        <f>IF($E$1,IF(ISBLANK(Quadratic!F36),NA(),Quadratic!F36),NA())</f>
        <v>441.00000000000006</v>
      </c>
      <c r="G23">
        <f>IF($G$1,IF(ISBLANK(Cubic!D36),NA(),Cubic!D36),NA())</f>
        <v>21</v>
      </c>
      <c r="H23">
        <f>IF($G$1,IF(ISBLANK(Cubic!F36),NA(),Cubic!F36),NA())</f>
        <v>440.99999999999091</v>
      </c>
      <c r="I23">
        <f>IF($I$1,IF(ISBLANK(Logarithmic!D36),NA(),Logarithmic!D36),NA())</f>
        <v>21</v>
      </c>
      <c r="J23">
        <f>IF($I$1,IF(ISBLANK(Logarithmic!F36),NA(),Logarithmic!F36),NA())</f>
        <v>464.4176605408598</v>
      </c>
      <c r="K23">
        <f>IF($K$1,IF(ISBLANK(Exponential!D36),NA(),Exponential!D36),NA())</f>
        <v>21</v>
      </c>
      <c r="L23">
        <f>IF($K$1,IF(ISBLANK(Exponential!F36),NA(),Exponential!F36),NA())</f>
        <v>432.03178655986903</v>
      </c>
      <c r="M23">
        <f>IF($M$1,IF(ISBLANK(Power!D36),NA(),Power!D36),NA())</f>
        <v>21</v>
      </c>
      <c r="N23">
        <f>IF($M$1,IF(ISBLANK(Power!F36),NA(),Power!F36),NA())</f>
        <v>441.00000050699776</v>
      </c>
      <c r="O23" t="e">
        <f>IF($O$1,IF(ISBLANK('Output Sheet'!A22),NA(),'Output Sheet'!A22),NA())</f>
        <v>#N/A</v>
      </c>
      <c r="P23" t="e">
        <f>IF($O$1,IF(ISBLANK('Output Sheet'!B22),NA(),'Output Sheet'!B22),NA())</f>
        <v>#N/A</v>
      </c>
    </row>
    <row r="24" spans="1:16" x14ac:dyDescent="0.25">
      <c r="A24" t="e">
        <f>IF($A$1,IF(ISBLANK('Input Sheet'!E31),NA(),'Input Sheet'!E31),NA())</f>
        <v>#N/A</v>
      </c>
      <c r="B24" t="e">
        <f>IF($A$1,IF(ISBLANK('Input Sheet'!F31),NA(),'Input Sheet'!F31),NA())</f>
        <v>#N/A</v>
      </c>
      <c r="C24">
        <f>IF($C$1,IF(ISBLANK(Linear!D37),NA(),Linear!D37),NA())</f>
        <v>22</v>
      </c>
      <c r="D24">
        <f>IF($C$1,IF(ISBLANK(Linear!F37),NA(),Linear!F37),NA())</f>
        <v>516.66666657644362</v>
      </c>
      <c r="E24">
        <f>IF($E$1,IF(ISBLANK(Quadratic!D37),NA(),Quadratic!D37),NA())</f>
        <v>22</v>
      </c>
      <c r="F24">
        <f>IF($E$1,IF(ISBLANK(Quadratic!F37),NA(),Quadratic!F37),NA())</f>
        <v>484.00000000000006</v>
      </c>
      <c r="G24">
        <f>IF($G$1,IF(ISBLANK(Cubic!D37),NA(),Cubic!D37),NA())</f>
        <v>22</v>
      </c>
      <c r="H24">
        <f>IF($G$1,IF(ISBLANK(Cubic!F37),NA(),Cubic!F37),NA())</f>
        <v>483.9999999999896</v>
      </c>
      <c r="I24">
        <f>IF($I$1,IF(ISBLANK(Logarithmic!D37),NA(),Logarithmic!D37),NA())</f>
        <v>22</v>
      </c>
      <c r="J24">
        <f>IF($I$1,IF(ISBLANK(Logarithmic!F37),NA(),Logarithmic!F37),NA())</f>
        <v>476.90727500640259</v>
      </c>
      <c r="K24">
        <f>IF($K$1,IF(ISBLANK(Exponential!D37),NA(),Exponential!D37),NA())</f>
        <v>22</v>
      </c>
      <c r="L24">
        <f>IF($K$1,IF(ISBLANK(Exponential!F37),NA(),Exponential!F37),NA())</f>
        <v>473.51155505003271</v>
      </c>
      <c r="M24">
        <f>IF($M$1,IF(ISBLANK(Power!D37),NA(),Power!D37),NA())</f>
        <v>22</v>
      </c>
      <c r="N24">
        <f>IF($M$1,IF(ISBLANK(Power!F37),NA(),Power!F37),NA())</f>
        <v>484.00000040223813</v>
      </c>
      <c r="O24" t="e">
        <f>IF($O$1,IF(ISBLANK('Output Sheet'!A23),NA(),'Output Sheet'!A23),NA())</f>
        <v>#N/A</v>
      </c>
      <c r="P24" t="e">
        <f>IF($O$1,IF(ISBLANK('Output Sheet'!B23),NA(),'Output Sheet'!B23),NA())</f>
        <v>#N/A</v>
      </c>
    </row>
    <row r="25" spans="1:16" x14ac:dyDescent="0.25">
      <c r="A25" t="e">
        <f>IF($A$1,IF(ISBLANK('Input Sheet'!E32),NA(),'Input Sheet'!E32),NA())</f>
        <v>#N/A</v>
      </c>
      <c r="B25" t="e">
        <f>IF($A$1,IF(ISBLANK('Input Sheet'!F32),NA(),'Input Sheet'!F32),NA())</f>
        <v>#N/A</v>
      </c>
      <c r="C25">
        <f>IF($C$1,IF(ISBLANK(Linear!D38),NA(),Linear!D38),NA())</f>
        <v>23</v>
      </c>
      <c r="D25">
        <f>IF($C$1,IF(ISBLANK(Linear!F38),NA(),Linear!F38),NA())</f>
        <v>547.66666657202359</v>
      </c>
      <c r="E25">
        <f>IF($E$1,IF(ISBLANK(Quadratic!D38),NA(),Quadratic!D38),NA())</f>
        <v>23</v>
      </c>
      <c r="F25">
        <f>IF($E$1,IF(ISBLANK(Quadratic!F38),NA(),Quadratic!F38),NA())</f>
        <v>529</v>
      </c>
      <c r="G25">
        <f>IF($G$1,IF(ISBLANK(Cubic!D38),NA(),Cubic!D38),NA())</f>
        <v>23</v>
      </c>
      <c r="H25">
        <f>IF($G$1,IF(ISBLANK(Cubic!F38),NA(),Cubic!F38),NA())</f>
        <v>528.99999999998806</v>
      </c>
      <c r="I25">
        <f>IF($I$1,IF(ISBLANK(Logarithmic!D38),NA(),Logarithmic!D38),NA())</f>
        <v>23</v>
      </c>
      <c r="J25">
        <f>IF($I$1,IF(ISBLANK(Logarithmic!F38),NA(),Logarithmic!F38),NA())</f>
        <v>488.84160841636691</v>
      </c>
      <c r="K25">
        <f>IF($K$1,IF(ISBLANK(Exponential!D38),NA(),Exponential!D38),NA())</f>
        <v>23</v>
      </c>
      <c r="L25">
        <f>IF($K$1,IF(ISBLANK(Exponential!F38),NA(),Exponential!F38),NA())</f>
        <v>517.6828033968219</v>
      </c>
      <c r="M25">
        <f>IF($M$1,IF(ISBLANK(Power!D38),NA(),Power!D38),NA())</f>
        <v>23</v>
      </c>
      <c r="N25">
        <f>IF($M$1,IF(ISBLANK(Power!F38),NA(),Power!F38),NA())</f>
        <v>529.00000027674332</v>
      </c>
      <c r="O25" t="e">
        <f>IF($O$1,IF(ISBLANK('Output Sheet'!A24),NA(),'Output Sheet'!A24),NA())</f>
        <v>#N/A</v>
      </c>
      <c r="P25" t="e">
        <f>IF($O$1,IF(ISBLANK('Output Sheet'!B24),NA(),'Output Sheet'!B24),NA())</f>
        <v>#N/A</v>
      </c>
    </row>
    <row r="26" spans="1:16" x14ac:dyDescent="0.25">
      <c r="A26" t="e">
        <f>IF($A$1,IF(ISBLANK('Input Sheet'!E33),NA(),'Input Sheet'!E33),NA())</f>
        <v>#N/A</v>
      </c>
      <c r="B26" t="e">
        <f>IF($A$1,IF(ISBLANK('Input Sheet'!F33),NA(),'Input Sheet'!F33),NA())</f>
        <v>#N/A</v>
      </c>
      <c r="C26">
        <f>IF($C$1,IF(ISBLANK(Linear!D39),NA(),Linear!D39),NA())</f>
        <v>24</v>
      </c>
      <c r="D26">
        <f>IF($C$1,IF(ISBLANK(Linear!F39),NA(),Linear!F39),NA())</f>
        <v>578.66666656760356</v>
      </c>
      <c r="E26">
        <f>IF($E$1,IF(ISBLANK(Quadratic!D39),NA(),Quadratic!D39),NA())</f>
        <v>24</v>
      </c>
      <c r="F26">
        <f>IF($E$1,IF(ISBLANK(Quadratic!F39),NA(),Quadratic!F39),NA())</f>
        <v>576</v>
      </c>
      <c r="G26">
        <f>IF($G$1,IF(ISBLANK(Cubic!D39),NA(),Cubic!D39),NA())</f>
        <v>24</v>
      </c>
      <c r="H26">
        <f>IF($G$1,IF(ISBLANK(Cubic!F39),NA(),Cubic!F39),NA())</f>
        <v>575.99999999998647</v>
      </c>
      <c r="I26">
        <f>IF($I$1,IF(ISBLANK(Logarithmic!D39),NA(),Logarithmic!D39),NA())</f>
        <v>24</v>
      </c>
      <c r="J26">
        <f>IF($I$1,IF(ISBLANK(Logarithmic!F39),NA(),Logarithmic!F39),NA())</f>
        <v>500.26794111721443</v>
      </c>
      <c r="K26">
        <f>IF($K$1,IF(ISBLANK(Exponential!D39),NA(),Exponential!D39),NA())</f>
        <v>24</v>
      </c>
      <c r="L26">
        <f>IF($K$1,IF(ISBLANK(Exponential!F39),NA(),Exponential!F39),NA())</f>
        <v>564.72017249343082</v>
      </c>
      <c r="M26">
        <f>IF($M$1,IF(ISBLANK(Power!D39),NA(),Power!D39),NA())</f>
        <v>24</v>
      </c>
      <c r="N26">
        <f>IF($M$1,IF(ISBLANK(Power!F39),NA(),Power!F39),NA())</f>
        <v>576.00000012982366</v>
      </c>
      <c r="O26" t="e">
        <f>IF($O$1,IF(ISBLANK('Output Sheet'!A25),NA(),'Output Sheet'!A25),NA())</f>
        <v>#N/A</v>
      </c>
      <c r="P26" t="e">
        <f>IF($O$1,IF(ISBLANK('Output Sheet'!B25),NA(),'Output Sheet'!B25),NA())</f>
        <v>#N/A</v>
      </c>
    </row>
    <row r="27" spans="1:16" x14ac:dyDescent="0.25">
      <c r="A27" t="e">
        <f>IF($A$1,IF(ISBLANK('Input Sheet'!E34),NA(),'Input Sheet'!E34),NA())</f>
        <v>#N/A</v>
      </c>
      <c r="B27" t="e">
        <f>IF($A$1,IF(ISBLANK('Input Sheet'!F34),NA(),'Input Sheet'!F34),NA())</f>
        <v>#N/A</v>
      </c>
      <c r="C27">
        <f>IF($C$1,IF(ISBLANK(Linear!D40),NA(),Linear!D40),NA())</f>
        <v>25</v>
      </c>
      <c r="D27">
        <f>IF($C$1,IF(ISBLANK(Linear!F40),NA(),Linear!F40),NA())</f>
        <v>609.66666656318353</v>
      </c>
      <c r="E27">
        <f>IF($E$1,IF(ISBLANK(Quadratic!D40),NA(),Quadratic!D40),NA())</f>
        <v>25</v>
      </c>
      <c r="F27">
        <f>IF($E$1,IF(ISBLANK(Quadratic!F40),NA(),Quadratic!F40),NA())</f>
        <v>625</v>
      </c>
      <c r="G27">
        <f>IF($G$1,IF(ISBLANK(Cubic!D40),NA(),Cubic!D40),NA())</f>
        <v>25</v>
      </c>
      <c r="H27">
        <f>IF($G$1,IF(ISBLANK(Cubic!F40),NA(),Cubic!F40),NA())</f>
        <v>624.99999999998488</v>
      </c>
      <c r="I27">
        <f>IF($I$1,IF(ISBLANK(Logarithmic!D40),NA(),Logarithmic!D40),NA())</f>
        <v>25</v>
      </c>
      <c r="J27">
        <f>IF($I$1,IF(ISBLANK(Logarithmic!F40),NA(),Logarithmic!F40),NA())</f>
        <v>511.22776059092217</v>
      </c>
      <c r="K27">
        <f>IF($K$1,IF(ISBLANK(Exponential!D40),NA(),Exponential!D40),NA())</f>
        <v>25</v>
      </c>
      <c r="L27">
        <f>IF($K$1,IF(ISBLANK(Exponential!F40),NA(),Exponential!F40),NA())</f>
        <v>614.80963508140542</v>
      </c>
      <c r="M27">
        <f>IF($M$1,IF(ISBLANK(Power!D40),NA(),Power!D40),NA())</f>
        <v>25</v>
      </c>
      <c r="N27">
        <f>IF($M$1,IF(ISBLANK(Power!F40),NA(),Power!F40),NA())</f>
        <v>624.99999996081908</v>
      </c>
      <c r="O27" t="e">
        <f>IF($O$1,IF(ISBLANK('Output Sheet'!A26),NA(),'Output Sheet'!A26),NA())</f>
        <v>#N/A</v>
      </c>
      <c r="P27" t="e">
        <f>IF($O$1,IF(ISBLANK('Output Sheet'!B26),NA(),'Output Sheet'!B26),NA())</f>
        <v>#N/A</v>
      </c>
    </row>
    <row r="28" spans="1:16" x14ac:dyDescent="0.25">
      <c r="A28" t="e">
        <f>IF($A$1,IF(ISBLANK('Input Sheet'!E35),NA(),'Input Sheet'!E35),NA())</f>
        <v>#N/A</v>
      </c>
      <c r="B28" t="e">
        <f>IF($A$1,IF(ISBLANK('Input Sheet'!F35),NA(),'Input Sheet'!F35),NA())</f>
        <v>#N/A</v>
      </c>
      <c r="C28">
        <f>IF($C$1,IF(ISBLANK(Linear!D41),NA(),Linear!D41),NA())</f>
        <v>26</v>
      </c>
      <c r="D28">
        <f>IF($C$1,IF(ISBLANK(Linear!F41),NA(),Linear!F41),NA())</f>
        <v>640.6666665587635</v>
      </c>
      <c r="E28">
        <f>IF($E$1,IF(ISBLANK(Quadratic!D41),NA(),Quadratic!D41),NA())</f>
        <v>26</v>
      </c>
      <c r="F28">
        <f>IF($E$1,IF(ISBLANK(Quadratic!F41),NA(),Quadratic!F41),NA())</f>
        <v>675.99999999999989</v>
      </c>
      <c r="G28">
        <f>IF($G$1,IF(ISBLANK(Cubic!D41),NA(),Cubic!D41),NA())</f>
        <v>26</v>
      </c>
      <c r="H28">
        <f>IF($G$1,IF(ISBLANK(Cubic!F41),NA(),Cubic!F41),NA())</f>
        <v>675.99999999998317</v>
      </c>
      <c r="I28">
        <f>IF($I$1,IF(ISBLANK(Logarithmic!D41),NA(),Logarithmic!D41),NA())</f>
        <v>26</v>
      </c>
      <c r="J28">
        <f>IF($I$1,IF(ISBLANK(Logarithmic!F41),NA(),Logarithmic!F41),NA())</f>
        <v>521.75767077394266</v>
      </c>
      <c r="K28">
        <f>IF($K$1,IF(ISBLANK(Exponential!D41),NA(),Exponential!D41),NA())</f>
        <v>26</v>
      </c>
      <c r="L28">
        <f>IF($K$1,IF(ISBLANK(Exponential!F41),NA(),Exponential!F41),NA())</f>
        <v>668.1492310354015</v>
      </c>
      <c r="M28">
        <f>IF($M$1,IF(ISBLANK(Power!D41),NA(),Power!D41),NA())</f>
        <v>26</v>
      </c>
      <c r="N28">
        <f>IF($M$1,IF(ISBLANK(Power!F41),NA(),Power!F41),NA())</f>
        <v>675.99999976909635</v>
      </c>
      <c r="O28" t="e">
        <f>IF($O$1,IF(ISBLANK('Output Sheet'!A27),NA(),'Output Sheet'!A27),NA())</f>
        <v>#N/A</v>
      </c>
      <c r="P28" t="e">
        <f>IF($O$1,IF(ISBLANK('Output Sheet'!B27),NA(),'Output Sheet'!B27),NA())</f>
        <v>#N/A</v>
      </c>
    </row>
    <row r="29" spans="1:16" x14ac:dyDescent="0.25">
      <c r="A29" t="e">
        <f>IF($A$1,IF(ISBLANK('Input Sheet'!E36),NA(),'Input Sheet'!E36),NA())</f>
        <v>#N/A</v>
      </c>
      <c r="B29" t="e">
        <f>IF($A$1,IF(ISBLANK('Input Sheet'!F36),NA(),'Input Sheet'!F36),NA())</f>
        <v>#N/A</v>
      </c>
      <c r="C29">
        <f>IF($C$1,IF(ISBLANK(Linear!D42),NA(),Linear!D42),NA())</f>
        <v>27</v>
      </c>
      <c r="D29">
        <f>IF($C$1,IF(ISBLANK(Linear!F42),NA(),Linear!F42),NA())</f>
        <v>671.66666655434346</v>
      </c>
      <c r="E29">
        <f>IF($E$1,IF(ISBLANK(Quadratic!D42),NA(),Quadratic!D42),NA())</f>
        <v>27</v>
      </c>
      <c r="F29">
        <f>IF($E$1,IF(ISBLANK(Quadratic!F42),NA(),Quadratic!F42),NA())</f>
        <v>729</v>
      </c>
      <c r="G29">
        <f>IF($G$1,IF(ISBLANK(Cubic!D42),NA(),Cubic!D42),NA())</f>
        <v>27</v>
      </c>
      <c r="H29">
        <f>IF($G$1,IF(ISBLANK(Cubic!F42),NA(),Cubic!F42),NA())</f>
        <v>728.99999999998136</v>
      </c>
      <c r="I29">
        <f>IF($I$1,IF(ISBLANK(Logarithmic!D42),NA(),Logarithmic!D42),NA())</f>
        <v>27</v>
      </c>
      <c r="J29">
        <f>IF($I$1,IF(ISBLANK(Logarithmic!F42),NA(),Logarithmic!F42),NA())</f>
        <v>531.89012967095437</v>
      </c>
      <c r="K29">
        <f>IF($K$1,IF(ISBLANK(Exponential!D42),NA(),Exponential!D42),NA())</f>
        <v>27</v>
      </c>
      <c r="L29">
        <f>IF($K$1,IF(ISBLANK(Exponential!F42),NA(),Exponential!F42),NA())</f>
        <v>724.94985035804916</v>
      </c>
      <c r="M29">
        <f>IF($M$1,IF(ISBLANK(Power!D42),NA(),Power!D42),NA())</f>
        <v>27</v>
      </c>
      <c r="N29">
        <f>IF($M$1,IF(ISBLANK(Power!F42),NA(),Power!F42),NA())</f>
        <v>728.99999955404587</v>
      </c>
      <c r="O29" t="e">
        <f>IF($O$1,IF(ISBLANK('Output Sheet'!A28),NA(),'Output Sheet'!A28),NA())</f>
        <v>#N/A</v>
      </c>
      <c r="P29" t="e">
        <f>IF($O$1,IF(ISBLANK('Output Sheet'!B28),NA(),'Output Sheet'!B28),NA())</f>
        <v>#N/A</v>
      </c>
    </row>
    <row r="30" spans="1:16" x14ac:dyDescent="0.25">
      <c r="A30" t="e">
        <f>IF($A$1,IF(ISBLANK('Input Sheet'!E37),NA(),'Input Sheet'!E37),NA())</f>
        <v>#N/A</v>
      </c>
      <c r="B30" t="e">
        <f>IF($A$1,IF(ISBLANK('Input Sheet'!F37),NA(),'Input Sheet'!F37),NA())</f>
        <v>#N/A</v>
      </c>
      <c r="C30">
        <f>IF($C$1,IF(ISBLANK(Linear!D43),NA(),Linear!D43),NA())</f>
        <v>28</v>
      </c>
      <c r="D30">
        <f>IF($C$1,IF(ISBLANK(Linear!F43),NA(),Linear!F43),NA())</f>
        <v>702.66666654992343</v>
      </c>
      <c r="E30">
        <f>IF($E$1,IF(ISBLANK(Quadratic!D43),NA(),Quadratic!D43),NA())</f>
        <v>28</v>
      </c>
      <c r="F30">
        <f>IF($E$1,IF(ISBLANK(Quadratic!F43),NA(),Quadratic!F43),NA())</f>
        <v>783.99999999999989</v>
      </c>
      <c r="G30">
        <f>IF($G$1,IF(ISBLANK(Cubic!D43),NA(),Cubic!D43),NA())</f>
        <v>28</v>
      </c>
      <c r="H30">
        <f>IF($G$1,IF(ISBLANK(Cubic!F43),NA(),Cubic!F43),NA())</f>
        <v>783.99999999997954</v>
      </c>
      <c r="I30">
        <f>IF($I$1,IF(ISBLANK(Logarithmic!D43),NA(),Logarithmic!D43),NA())</f>
        <v>28</v>
      </c>
      <c r="J30">
        <f>IF($I$1,IF(ISBLANK(Logarithmic!F43),NA(),Logarithmic!F43),NA())</f>
        <v>541.65405275901071</v>
      </c>
      <c r="K30">
        <f>IF($K$1,IF(ISBLANK(Exponential!D43),NA(),Exponential!D43),NA())</f>
        <v>28</v>
      </c>
      <c r="L30">
        <f>IF($K$1,IF(ISBLANK(Exponential!F43),NA(),Exponential!F43),NA())</f>
        <v>785.43606698066753</v>
      </c>
      <c r="M30">
        <f>IF($M$1,IF(ISBLANK(Power!D43),NA(),Power!D43),NA())</f>
        <v>28</v>
      </c>
      <c r="N30">
        <f>IF($M$1,IF(ISBLANK(Power!F43),NA(),Power!F43),NA())</f>
        <v>783.99999931508376</v>
      </c>
      <c r="O30" t="e">
        <f>IF($O$1,IF(ISBLANK('Output Sheet'!A29),NA(),'Output Sheet'!A29),NA())</f>
        <v>#N/A</v>
      </c>
      <c r="P30" t="e">
        <f>IF($O$1,IF(ISBLANK('Output Sheet'!B29),NA(),'Output Sheet'!B29),NA())</f>
        <v>#N/A</v>
      </c>
    </row>
    <row r="31" spans="1:16" x14ac:dyDescent="0.25">
      <c r="A31" t="e">
        <f>IF($A$1,IF(ISBLANK('Input Sheet'!E38),NA(),'Input Sheet'!E38),NA())</f>
        <v>#N/A</v>
      </c>
      <c r="B31" t="e">
        <f>IF($A$1,IF(ISBLANK('Input Sheet'!F38),NA(),'Input Sheet'!F38),NA())</f>
        <v>#N/A</v>
      </c>
      <c r="C31">
        <f>IF($C$1,IF(ISBLANK(Linear!D44),NA(),Linear!D44),NA())</f>
        <v>29</v>
      </c>
      <c r="D31">
        <f>IF($C$1,IF(ISBLANK(Linear!F44),NA(),Linear!F44),NA())</f>
        <v>733.6666665455034</v>
      </c>
      <c r="E31">
        <f>IF($E$1,IF(ISBLANK(Quadratic!D44),NA(),Quadratic!D44),NA())</f>
        <v>29</v>
      </c>
      <c r="F31">
        <f>IF($E$1,IF(ISBLANK(Quadratic!F44),NA(),Quadratic!F44),NA())</f>
        <v>840.99999999999989</v>
      </c>
      <c r="G31">
        <f>IF($G$1,IF(ISBLANK(Cubic!D44),NA(),Cubic!D44),NA())</f>
        <v>29</v>
      </c>
      <c r="H31">
        <f>IF($G$1,IF(ISBLANK(Cubic!F44),NA(),Cubic!F44),NA())</f>
        <v>840.99999999997749</v>
      </c>
      <c r="I31">
        <f>IF($I$1,IF(ISBLANK(Logarithmic!D44),NA(),Logarithmic!D44),NA())</f>
        <v>29</v>
      </c>
      <c r="J31">
        <f>IF($I$1,IF(ISBLANK(Logarithmic!F44),NA(),Logarithmic!F44),NA())</f>
        <v>551.07531045955807</v>
      </c>
      <c r="K31">
        <f>IF($K$1,IF(ISBLANK(Exponential!D44),NA(),Exponential!D44),NA())</f>
        <v>29</v>
      </c>
      <c r="L31">
        <f>IF($K$1,IF(ISBLANK(Exponential!F44),NA(),Exponential!F44),NA())</f>
        <v>849.84702666644625</v>
      </c>
      <c r="M31">
        <f>IF($M$1,IF(ISBLANK(Power!D44),NA(),Power!D44),NA())</f>
        <v>29</v>
      </c>
      <c r="N31">
        <f>IF($M$1,IF(ISBLANK(Power!F44),NA(),Power!F44),NA())</f>
        <v>840.99999905164486</v>
      </c>
      <c r="O31" t="e">
        <f>IF($O$1,IF(ISBLANK('Output Sheet'!A30),NA(),'Output Sheet'!A30),NA())</f>
        <v>#N/A</v>
      </c>
      <c r="P31" t="e">
        <f>IF($O$1,IF(ISBLANK('Output Sheet'!B30),NA(),'Output Sheet'!B30),NA())</f>
        <v>#N/A</v>
      </c>
    </row>
    <row r="32" spans="1:16" x14ac:dyDescent="0.25">
      <c r="A32" t="e">
        <f>IF($A$1,IF(ISBLANK('Input Sheet'!E39),NA(),'Input Sheet'!E39),NA())</f>
        <v>#N/A</v>
      </c>
      <c r="B32" t="e">
        <f>IF($A$1,IF(ISBLANK('Input Sheet'!F39),NA(),'Input Sheet'!F39),NA())</f>
        <v>#N/A</v>
      </c>
      <c r="C32">
        <f>IF($C$1,IF(ISBLANK(Linear!D45),NA(),Linear!D45),NA())</f>
        <v>30</v>
      </c>
      <c r="D32">
        <f>IF($C$1,IF(ISBLANK(Linear!F45),NA(),Linear!F45),NA())</f>
        <v>764.66666654108337</v>
      </c>
      <c r="E32">
        <f>IF($E$1,IF(ISBLANK(Quadratic!D45),NA(),Quadratic!D45),NA())</f>
        <v>30</v>
      </c>
      <c r="F32">
        <f>IF($E$1,IF(ISBLANK(Quadratic!F45),NA(),Quadratic!F45),NA())</f>
        <v>899.99999999999989</v>
      </c>
      <c r="G32">
        <f>IF($G$1,IF(ISBLANK(Cubic!D45),NA(),Cubic!D45),NA())</f>
        <v>30</v>
      </c>
      <c r="H32">
        <f>IF($G$1,IF(ISBLANK(Cubic!F45),NA(),Cubic!F45),NA())</f>
        <v>899.99999999997544</v>
      </c>
      <c r="I32">
        <f>IF($I$1,IF(ISBLANK(Logarithmic!D45),NA(),Logarithmic!D45),NA())</f>
        <v>30</v>
      </c>
      <c r="J32">
        <f>IF($I$1,IF(ISBLANK(Logarithmic!F45),NA(),Logarithmic!F45),NA())</f>
        <v>560.1771412400135</v>
      </c>
      <c r="K32">
        <f>IF($K$1,IF(ISBLANK(Exponential!D45),NA(),Exponential!D45),NA())</f>
        <v>30</v>
      </c>
      <c r="L32">
        <f>IF($K$1,IF(ISBLANK(Exponential!F45),NA(),Exponential!F45),NA())</f>
        <v>918.43739252661794</v>
      </c>
      <c r="M32">
        <f>IF($M$1,IF(ISBLANK(Power!D45),NA(),Power!D45),NA())</f>
        <v>30</v>
      </c>
      <c r="N32">
        <f>IF($M$1,IF(ISBLANK(Power!F45),NA(),Power!F45),NA())</f>
        <v>899.99999876318429</v>
      </c>
      <c r="O32" t="e">
        <f>IF($O$1,IF(ISBLANK('Output Sheet'!A31),NA(),'Output Sheet'!A31),NA())</f>
        <v>#N/A</v>
      </c>
      <c r="P32" t="e">
        <f>IF($O$1,IF(ISBLANK('Output Sheet'!B31),NA(),'Output Sheet'!B31),NA())</f>
        <v>#N/A</v>
      </c>
    </row>
  </sheetData>
  <mergeCells count="16">
    <mergeCell ref="O2:P2"/>
    <mergeCell ref="G1:H1"/>
    <mergeCell ref="I1:J1"/>
    <mergeCell ref="K1:L1"/>
    <mergeCell ref="M1:N1"/>
    <mergeCell ref="G2:H2"/>
    <mergeCell ref="I2:J2"/>
    <mergeCell ref="K2:L2"/>
    <mergeCell ref="M2:N2"/>
    <mergeCell ref="O1:P1"/>
    <mergeCell ref="A1:B1"/>
    <mergeCell ref="A2:B2"/>
    <mergeCell ref="C2:D2"/>
    <mergeCell ref="E2:F2"/>
    <mergeCell ref="C1:D1"/>
    <mergeCell ref="E1:F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74"/>
  <sheetViews>
    <sheetView workbookViewId="0">
      <pane ySplit="1" topLeftCell="A2" activePane="bottomLeft" state="frozen"/>
      <selection pane="bottomLeft" activeCell="F10" sqref="E10:F10"/>
    </sheetView>
  </sheetViews>
  <sheetFormatPr defaultRowHeight="15" x14ac:dyDescent="0.25"/>
  <cols>
    <col min="1" max="1" width="25.7109375" customWidth="1"/>
    <col min="2" max="2" width="25.5703125" customWidth="1"/>
  </cols>
  <sheetData>
    <row r="1" spans="1:2" x14ac:dyDescent="0.25">
      <c r="A1" t="s">
        <v>47</v>
      </c>
      <c r="B1" t="s">
        <v>46</v>
      </c>
    </row>
    <row r="2" spans="1:2" x14ac:dyDescent="0.25">
      <c r="A2">
        <v>263.61544799804687</v>
      </c>
      <c r="B2">
        <v>216.46134948730469</v>
      </c>
    </row>
    <row r="3" spans="1:2" x14ac:dyDescent="0.25">
      <c r="A3">
        <v>261.68359375</v>
      </c>
      <c r="B3">
        <v>212.42520141601562</v>
      </c>
    </row>
    <row r="4" spans="1:2" x14ac:dyDescent="0.25">
      <c r="A4">
        <v>259.88998413085937</v>
      </c>
      <c r="B4">
        <v>210.51744079589844</v>
      </c>
    </row>
    <row r="5" spans="1:2" x14ac:dyDescent="0.25">
      <c r="A5">
        <v>258.42691040039062</v>
      </c>
      <c r="B5">
        <v>216.08601379394531</v>
      </c>
    </row>
    <row r="6" spans="1:2" x14ac:dyDescent="0.25">
      <c r="A6">
        <v>266.25091552734375</v>
      </c>
      <c r="B6">
        <v>217.51570129394531</v>
      </c>
    </row>
    <row r="7" spans="1:2" x14ac:dyDescent="0.25">
      <c r="A7">
        <v>266.10385131835937</v>
      </c>
      <c r="B7">
        <v>219.30718994140625</v>
      </c>
    </row>
    <row r="8" spans="1:2" x14ac:dyDescent="0.25">
      <c r="A8">
        <v>263.58340454101562</v>
      </c>
      <c r="B8">
        <v>210.9044189453125</v>
      </c>
    </row>
    <row r="9" spans="1:2" x14ac:dyDescent="0.25">
      <c r="A9">
        <v>262.93087768554687</v>
      </c>
      <c r="B9">
        <v>215.23518371582031</v>
      </c>
    </row>
    <row r="10" spans="1:2" x14ac:dyDescent="0.25">
      <c r="A10">
        <v>268.31210327148437</v>
      </c>
      <c r="B10">
        <v>216.10693359375</v>
      </c>
    </row>
    <row r="11" spans="1:2" x14ac:dyDescent="0.25">
      <c r="A11">
        <v>269.47653198242187</v>
      </c>
      <c r="B11">
        <v>211.60736083984375</v>
      </c>
    </row>
    <row r="12" spans="1:2" x14ac:dyDescent="0.25">
      <c r="A12">
        <v>268.61907958984375</v>
      </c>
      <c r="B12">
        <v>212.02052307128906</v>
      </c>
    </row>
    <row r="13" spans="1:2" x14ac:dyDescent="0.25">
      <c r="A13">
        <v>259.26373291015625</v>
      </c>
      <c r="B13">
        <v>254.15290832519531</v>
      </c>
    </row>
    <row r="14" spans="1:2" x14ac:dyDescent="0.25">
      <c r="A14">
        <v>265.06610107421875</v>
      </c>
      <c r="B14">
        <v>329.90206909179687</v>
      </c>
    </row>
    <row r="15" spans="1:2" x14ac:dyDescent="0.25">
      <c r="A15">
        <v>263.23348999023437</v>
      </c>
      <c r="B15">
        <v>311.1649169921875</v>
      </c>
    </row>
    <row r="16" spans="1:2" x14ac:dyDescent="0.25">
      <c r="A16">
        <v>258.28341674804688</v>
      </c>
      <c r="B16">
        <v>284.44842529296875</v>
      </c>
    </row>
    <row r="17" spans="1:2" x14ac:dyDescent="0.25">
      <c r="A17">
        <v>259.47650146484375</v>
      </c>
      <c r="B17">
        <v>242.28244018554687</v>
      </c>
    </row>
    <row r="18" spans="1:2" x14ac:dyDescent="0.25">
      <c r="A18">
        <v>314.07455444335937</v>
      </c>
      <c r="B18">
        <v>216.11952209472656</v>
      </c>
    </row>
    <row r="19" spans="1:2" x14ac:dyDescent="0.25">
      <c r="A19">
        <v>394.88772583007812</v>
      </c>
      <c r="B19">
        <v>211.11592102050781</v>
      </c>
    </row>
    <row r="20" spans="1:2" x14ac:dyDescent="0.25">
      <c r="A20">
        <v>364.45144653320312</v>
      </c>
      <c r="B20">
        <v>217.87307739257812</v>
      </c>
    </row>
    <row r="21" spans="1:2" x14ac:dyDescent="0.25">
      <c r="A21">
        <v>334.36700439453125</v>
      </c>
      <c r="B21">
        <v>215.82504272460937</v>
      </c>
    </row>
    <row r="22" spans="1:2" x14ac:dyDescent="0.25">
      <c r="A22">
        <v>286.94851684570312</v>
      </c>
      <c r="B22">
        <v>213.74179077148437</v>
      </c>
    </row>
    <row r="23" spans="1:2" x14ac:dyDescent="0.25">
      <c r="A23">
        <v>262.61187744140625</v>
      </c>
      <c r="B23">
        <v>214.20223999023437</v>
      </c>
    </row>
    <row r="24" spans="1:2" x14ac:dyDescent="0.25">
      <c r="A24">
        <v>261.28872680664062</v>
      </c>
      <c r="B24">
        <v>212.896728515625</v>
      </c>
    </row>
    <row r="25" spans="1:2" x14ac:dyDescent="0.25">
      <c r="A25">
        <v>267.939453125</v>
      </c>
      <c r="B25">
        <v>220.13674926757812</v>
      </c>
    </row>
    <row r="26" spans="1:2" x14ac:dyDescent="0.25">
      <c r="A26">
        <v>261.91888427734375</v>
      </c>
      <c r="B26">
        <v>228.39837646484375</v>
      </c>
    </row>
    <row r="27" spans="1:2" x14ac:dyDescent="0.25">
      <c r="A27">
        <v>260.98153686523437</v>
      </c>
      <c r="B27">
        <v>264.581298828125</v>
      </c>
    </row>
    <row r="28" spans="1:2" x14ac:dyDescent="0.25">
      <c r="A28">
        <v>261.5242919921875</v>
      </c>
      <c r="B28">
        <v>327.2547607421875</v>
      </c>
    </row>
    <row r="29" spans="1:2" x14ac:dyDescent="0.25">
      <c r="A29">
        <v>260.75320434570312</v>
      </c>
      <c r="B29">
        <v>332.90390014648437</v>
      </c>
    </row>
    <row r="30" spans="1:2" x14ac:dyDescent="0.25">
      <c r="A30">
        <v>267.30758666992187</v>
      </c>
      <c r="B30">
        <v>352.86471557617187</v>
      </c>
    </row>
    <row r="31" spans="1:2" x14ac:dyDescent="0.25">
      <c r="A31">
        <v>276.65948486328125</v>
      </c>
      <c r="B31">
        <v>379.80453491210937</v>
      </c>
    </row>
    <row r="32" spans="1:2" x14ac:dyDescent="0.25">
      <c r="A32">
        <v>324.15713500976562</v>
      </c>
      <c r="B32">
        <v>370.58486938476562</v>
      </c>
    </row>
    <row r="33" spans="1:2" x14ac:dyDescent="0.25">
      <c r="A33">
        <v>387.85940551757813</v>
      </c>
      <c r="B33">
        <v>348.22030639648437</v>
      </c>
    </row>
    <row r="34" spans="1:2" x14ac:dyDescent="0.25">
      <c r="A34">
        <v>391.68203735351562</v>
      </c>
      <c r="B34">
        <v>298.58807373046875</v>
      </c>
    </row>
    <row r="35" spans="1:2" x14ac:dyDescent="0.25">
      <c r="A35">
        <v>415.779296875</v>
      </c>
      <c r="B35">
        <v>257.3082275390625</v>
      </c>
    </row>
    <row r="36" spans="1:2" x14ac:dyDescent="0.25">
      <c r="A36">
        <v>446.70327758789063</v>
      </c>
      <c r="B36">
        <v>268.33648681640625</v>
      </c>
    </row>
    <row r="37" spans="1:2" x14ac:dyDescent="0.25">
      <c r="A37">
        <v>431.80117797851562</v>
      </c>
      <c r="B37">
        <v>296.99810791015625</v>
      </c>
    </row>
    <row r="38" spans="1:2" x14ac:dyDescent="0.25">
      <c r="A38">
        <v>407.915283203125</v>
      </c>
      <c r="B38">
        <v>340.47750854492188</v>
      </c>
    </row>
    <row r="39" spans="1:2" x14ac:dyDescent="0.25">
      <c r="A39">
        <v>347.58294677734375</v>
      </c>
      <c r="B39">
        <v>278.10678100585937</v>
      </c>
    </row>
    <row r="40" spans="1:2" x14ac:dyDescent="0.25">
      <c r="A40">
        <v>305.6138916015625</v>
      </c>
      <c r="B40">
        <v>273.17575073242187</v>
      </c>
    </row>
    <row r="41" spans="1:2" x14ac:dyDescent="0.25">
      <c r="A41">
        <v>321.48287963867187</v>
      </c>
      <c r="B41">
        <v>264.47482299804687</v>
      </c>
    </row>
    <row r="42" spans="1:2" x14ac:dyDescent="0.25">
      <c r="A42">
        <v>354.86419677734375</v>
      </c>
      <c r="B42">
        <v>224.55815124511719</v>
      </c>
    </row>
    <row r="43" spans="1:2" x14ac:dyDescent="0.25">
      <c r="A43">
        <v>399.50820922851562</v>
      </c>
      <c r="B43">
        <v>208.39794921875</v>
      </c>
    </row>
    <row r="44" spans="1:2" x14ac:dyDescent="0.25">
      <c r="A44">
        <v>326.87744140625</v>
      </c>
      <c r="B44">
        <v>215.98426818847656</v>
      </c>
    </row>
    <row r="45" spans="1:2" x14ac:dyDescent="0.25">
      <c r="A45">
        <v>324.20657348632812</v>
      </c>
      <c r="B45">
        <v>217.55288696289062</v>
      </c>
    </row>
    <row r="46" spans="1:2" x14ac:dyDescent="0.25">
      <c r="A46">
        <v>316.19229125976562</v>
      </c>
      <c r="B46">
        <v>214.33099365234375</v>
      </c>
    </row>
    <row r="47" spans="1:2" x14ac:dyDescent="0.25">
      <c r="A47">
        <v>267.7130126953125</v>
      </c>
      <c r="B47">
        <v>213.48214721679687</v>
      </c>
    </row>
    <row r="48" spans="1:2" x14ac:dyDescent="0.25">
      <c r="A48">
        <v>259.99716186523437</v>
      </c>
      <c r="B48">
        <v>213.44149780273437</v>
      </c>
    </row>
    <row r="49" spans="1:2" x14ac:dyDescent="0.25">
      <c r="A49">
        <v>264.80645751953125</v>
      </c>
      <c r="B49">
        <v>214.65443420410156</v>
      </c>
    </row>
    <row r="50" spans="1:2" x14ac:dyDescent="0.25">
      <c r="A50">
        <v>257.23675537109375</v>
      </c>
      <c r="B50">
        <v>214.27536010742187</v>
      </c>
    </row>
    <row r="51" spans="1:2" x14ac:dyDescent="0.25">
      <c r="A51">
        <v>250.83021545410156</v>
      </c>
      <c r="B51">
        <v>211.71957397460938</v>
      </c>
    </row>
    <row r="52" spans="1:2" x14ac:dyDescent="0.25">
      <c r="A52">
        <v>253.28645324707031</v>
      </c>
      <c r="B52">
        <v>209.63330078125</v>
      </c>
    </row>
    <row r="53" spans="1:2" x14ac:dyDescent="0.25">
      <c r="A53">
        <v>255.35594177246094</v>
      </c>
      <c r="B53">
        <v>210.04327392578125</v>
      </c>
    </row>
    <row r="54" spans="1:2" x14ac:dyDescent="0.25">
      <c r="A54">
        <v>253.65025329589844</v>
      </c>
      <c r="B54">
        <v>237.21524047851562</v>
      </c>
    </row>
    <row r="55" spans="1:2" x14ac:dyDescent="0.25">
      <c r="A55">
        <v>252.48684692382813</v>
      </c>
      <c r="B55">
        <v>303.96682739257812</v>
      </c>
    </row>
    <row r="56" spans="1:2" x14ac:dyDescent="0.25">
      <c r="A56">
        <v>248.957275390625</v>
      </c>
      <c r="B56">
        <v>299.5535888671875</v>
      </c>
    </row>
    <row r="57" spans="1:2" x14ac:dyDescent="0.25">
      <c r="A57">
        <v>247.75950622558594</v>
      </c>
      <c r="B57">
        <v>267.85308837890625</v>
      </c>
    </row>
    <row r="58" spans="1:2" x14ac:dyDescent="0.25">
      <c r="A58">
        <v>251.85928344726562</v>
      </c>
      <c r="B58">
        <v>226.74624633789062</v>
      </c>
    </row>
    <row r="59" spans="1:2" x14ac:dyDescent="0.25">
      <c r="A59">
        <v>293.02047729492187</v>
      </c>
      <c r="B59">
        <v>218.31483459472656</v>
      </c>
    </row>
    <row r="60" spans="1:2" x14ac:dyDescent="0.25">
      <c r="A60">
        <v>364.61782836914063</v>
      </c>
      <c r="B60">
        <v>232.39781188964844</v>
      </c>
    </row>
    <row r="61" spans="1:2" x14ac:dyDescent="0.25">
      <c r="A61">
        <v>353.36703491210937</v>
      </c>
      <c r="B61">
        <v>252.93742370605469</v>
      </c>
    </row>
    <row r="62" spans="1:2" x14ac:dyDescent="0.25">
      <c r="A62">
        <v>316.96435546875</v>
      </c>
      <c r="B62">
        <v>299.00216674804687</v>
      </c>
    </row>
    <row r="63" spans="1:2" x14ac:dyDescent="0.25">
      <c r="A63">
        <v>268.42343139648437</v>
      </c>
      <c r="B63">
        <v>251.64532470703125</v>
      </c>
    </row>
    <row r="64" spans="1:2" x14ac:dyDescent="0.25">
      <c r="A64">
        <v>262.95440673828125</v>
      </c>
      <c r="B64">
        <v>231.64894104003906</v>
      </c>
    </row>
    <row r="65" spans="1:2" x14ac:dyDescent="0.25">
      <c r="A65">
        <v>283.512451171875</v>
      </c>
      <c r="B65">
        <v>208.51988220214844</v>
      </c>
    </row>
    <row r="66" spans="1:2" x14ac:dyDescent="0.25">
      <c r="A66">
        <v>305.58413696289062</v>
      </c>
      <c r="B66">
        <v>224.01492309570312</v>
      </c>
    </row>
    <row r="67" spans="1:2" x14ac:dyDescent="0.25">
      <c r="A67">
        <v>354.26434326171875</v>
      </c>
      <c r="B67">
        <v>223.45916748046875</v>
      </c>
    </row>
    <row r="68" spans="1:2" x14ac:dyDescent="0.25">
      <c r="A68">
        <v>295.187255859375</v>
      </c>
      <c r="B68">
        <v>224.19099426269531</v>
      </c>
    </row>
    <row r="69" spans="1:2" x14ac:dyDescent="0.25">
      <c r="A69">
        <v>280.046142578125</v>
      </c>
      <c r="B69">
        <v>209.99453735351562</v>
      </c>
    </row>
    <row r="70" spans="1:2" x14ac:dyDescent="0.25">
      <c r="A70">
        <v>258.75149536132813</v>
      </c>
      <c r="B70">
        <v>211.31355285644531</v>
      </c>
    </row>
    <row r="71" spans="1:2" x14ac:dyDescent="0.25">
      <c r="A71">
        <v>275.4114990234375</v>
      </c>
      <c r="B71">
        <v>213.89317321777344</v>
      </c>
    </row>
    <row r="72" spans="1:2" x14ac:dyDescent="0.25">
      <c r="A72">
        <v>272.47518920898437</v>
      </c>
      <c r="B72">
        <v>208.81416320800781</v>
      </c>
    </row>
    <row r="73" spans="1:2" x14ac:dyDescent="0.25">
      <c r="A73">
        <v>271.51495361328125</v>
      </c>
      <c r="B73">
        <v>216.49073791503906</v>
      </c>
    </row>
    <row r="74" spans="1:2" x14ac:dyDescent="0.25">
      <c r="A74">
        <v>256.27517700195313</v>
      </c>
      <c r="B74">
        <v>217.27592468261719</v>
      </c>
    </row>
    <row r="75" spans="1:2" x14ac:dyDescent="0.25">
      <c r="A75">
        <v>258.34036254882812</v>
      </c>
      <c r="B75">
        <v>212.16896057128906</v>
      </c>
    </row>
    <row r="76" spans="1:2" x14ac:dyDescent="0.25">
      <c r="A76">
        <v>258.94461059570312</v>
      </c>
      <c r="B76">
        <v>211.33689880371094</v>
      </c>
    </row>
    <row r="77" spans="1:2" x14ac:dyDescent="0.25">
      <c r="A77">
        <v>256.17483520507812</v>
      </c>
      <c r="B77">
        <v>211.24504089355469</v>
      </c>
    </row>
    <row r="78" spans="1:2" x14ac:dyDescent="0.25">
      <c r="A78">
        <v>263.9205322265625</v>
      </c>
      <c r="B78">
        <v>217.96853637695312</v>
      </c>
    </row>
    <row r="79" spans="1:2" x14ac:dyDescent="0.25">
      <c r="A79">
        <v>262.574951171875</v>
      </c>
      <c r="B79">
        <v>217.12319946289062</v>
      </c>
    </row>
    <row r="80" spans="1:2" x14ac:dyDescent="0.25">
      <c r="A80">
        <v>259.97320556640625</v>
      </c>
      <c r="B80">
        <v>214.43974304199219</v>
      </c>
    </row>
    <row r="81" spans="1:2" x14ac:dyDescent="0.25">
      <c r="A81">
        <v>258.46408081054687</v>
      </c>
      <c r="B81">
        <v>214.84881591796875</v>
      </c>
    </row>
    <row r="82" spans="1:2" x14ac:dyDescent="0.25">
      <c r="A82">
        <v>260.59844970703125</v>
      </c>
      <c r="B82">
        <v>211.05104064941406</v>
      </c>
    </row>
    <row r="83" spans="1:2" x14ac:dyDescent="0.25">
      <c r="A83">
        <v>265.84466552734375</v>
      </c>
      <c r="B83">
        <v>213.82936096191406</v>
      </c>
    </row>
    <row r="84" spans="1:2" x14ac:dyDescent="0.25">
      <c r="A84">
        <v>263.34259033203125</v>
      </c>
      <c r="B84">
        <v>216.19749450683594</v>
      </c>
    </row>
    <row r="85" spans="1:2" x14ac:dyDescent="0.25">
      <c r="A85">
        <v>264.414794921875</v>
      </c>
      <c r="B85">
        <v>248.86903381347656</v>
      </c>
    </row>
    <row r="86" spans="1:2" x14ac:dyDescent="0.25">
      <c r="A86">
        <v>264.13265991210937</v>
      </c>
      <c r="B86">
        <v>363.86026000976562</v>
      </c>
    </row>
    <row r="87" spans="1:2" x14ac:dyDescent="0.25">
      <c r="A87">
        <v>260.03387451171875</v>
      </c>
      <c r="B87">
        <v>402.63180541992187</v>
      </c>
    </row>
    <row r="88" spans="1:2" x14ac:dyDescent="0.25">
      <c r="A88">
        <v>264.75503540039062</v>
      </c>
      <c r="B88">
        <v>371.8199462890625</v>
      </c>
    </row>
    <row r="89" spans="1:2" x14ac:dyDescent="0.25">
      <c r="A89">
        <v>266.5205078125</v>
      </c>
      <c r="B89">
        <v>292.88162231445312</v>
      </c>
    </row>
    <row r="90" spans="1:2" x14ac:dyDescent="0.25">
      <c r="A90">
        <v>314.51495361328125</v>
      </c>
      <c r="B90">
        <v>221.15093994140625</v>
      </c>
    </row>
    <row r="91" spans="1:2" x14ac:dyDescent="0.25">
      <c r="A91">
        <v>438.39907836914063</v>
      </c>
      <c r="B91">
        <v>210.50437927246094</v>
      </c>
    </row>
    <row r="92" spans="1:2" x14ac:dyDescent="0.25">
      <c r="A92">
        <v>464.91989135742187</v>
      </c>
      <c r="B92">
        <v>214.50924682617187</v>
      </c>
    </row>
    <row r="93" spans="1:2" x14ac:dyDescent="0.25">
      <c r="A93">
        <v>426.326904296875</v>
      </c>
      <c r="B93">
        <v>218.42601013183594</v>
      </c>
    </row>
    <row r="94" spans="1:2" x14ac:dyDescent="0.25">
      <c r="A94">
        <v>340.9613037109375</v>
      </c>
      <c r="B94">
        <v>220.87449645996094</v>
      </c>
    </row>
    <row r="95" spans="1:2" x14ac:dyDescent="0.25">
      <c r="A95">
        <v>263.2474365234375</v>
      </c>
      <c r="B95">
        <v>219.66386413574219</v>
      </c>
    </row>
    <row r="96" spans="1:2" x14ac:dyDescent="0.25">
      <c r="A96">
        <v>257.6265869140625</v>
      </c>
      <c r="B96">
        <v>218.34321594238281</v>
      </c>
    </row>
    <row r="97" spans="1:2" x14ac:dyDescent="0.25">
      <c r="A97">
        <v>261.57400512695312</v>
      </c>
      <c r="B97">
        <v>225.88877868652344</v>
      </c>
    </row>
    <row r="98" spans="1:2" x14ac:dyDescent="0.25">
      <c r="A98">
        <v>264.67007446289062</v>
      </c>
      <c r="B98">
        <v>335.50738525390625</v>
      </c>
    </row>
    <row r="99" spans="1:2" x14ac:dyDescent="0.25">
      <c r="A99">
        <v>269.27667236328125</v>
      </c>
      <c r="B99">
        <v>471.16726684570312</v>
      </c>
    </row>
    <row r="100" spans="1:2" x14ac:dyDescent="0.25">
      <c r="A100">
        <v>269.1724853515625</v>
      </c>
      <c r="B100">
        <v>519.388916015625</v>
      </c>
    </row>
    <row r="101" spans="1:2" x14ac:dyDescent="0.25">
      <c r="A101">
        <v>268.083984375</v>
      </c>
      <c r="B101">
        <v>531.9356689453125</v>
      </c>
    </row>
    <row r="102" spans="1:2" x14ac:dyDescent="0.25">
      <c r="A102">
        <v>281.51370239257812</v>
      </c>
      <c r="B102">
        <v>531.56646728515625</v>
      </c>
    </row>
    <row r="103" spans="1:2" x14ac:dyDescent="0.25">
      <c r="A103">
        <v>414.239501953125</v>
      </c>
      <c r="B103">
        <v>530.09100341796875</v>
      </c>
    </row>
    <row r="104" spans="1:2" x14ac:dyDescent="0.25">
      <c r="A104">
        <v>563.5277099609375</v>
      </c>
      <c r="B104">
        <v>528.97674560546875</v>
      </c>
    </row>
    <row r="105" spans="1:2" x14ac:dyDescent="0.25">
      <c r="A105">
        <v>607.19952392578125</v>
      </c>
      <c r="B105">
        <v>533.0897216796875</v>
      </c>
    </row>
    <row r="106" spans="1:2" x14ac:dyDescent="0.25">
      <c r="A106">
        <v>618.45257568359375</v>
      </c>
      <c r="B106">
        <v>453.85577392578125</v>
      </c>
    </row>
    <row r="107" spans="1:2" x14ac:dyDescent="0.25">
      <c r="A107">
        <v>620.044921875</v>
      </c>
      <c r="B107">
        <v>395.98443603515625</v>
      </c>
    </row>
    <row r="108" spans="1:2" x14ac:dyDescent="0.25">
      <c r="A108">
        <v>618.7657470703125</v>
      </c>
      <c r="B108">
        <v>380.76821899414062</v>
      </c>
    </row>
    <row r="109" spans="1:2" x14ac:dyDescent="0.25">
      <c r="A109">
        <v>621.2750244140625</v>
      </c>
      <c r="B109">
        <v>458.78497314453125</v>
      </c>
    </row>
    <row r="110" spans="1:2" x14ac:dyDescent="0.25">
      <c r="A110">
        <v>625.9925537109375</v>
      </c>
      <c r="B110">
        <v>529.6175537109375</v>
      </c>
    </row>
    <row r="111" spans="1:2" x14ac:dyDescent="0.25">
      <c r="A111">
        <v>521.8572998046875</v>
      </c>
      <c r="B111">
        <v>534.39453125</v>
      </c>
    </row>
    <row r="112" spans="1:2" x14ac:dyDescent="0.25">
      <c r="A112">
        <v>455.68856811523437</v>
      </c>
      <c r="B112">
        <v>532.2855224609375</v>
      </c>
    </row>
    <row r="113" spans="1:2" x14ac:dyDescent="0.25">
      <c r="A113">
        <v>451.56222534179687</v>
      </c>
      <c r="B113">
        <v>535.07867431640625</v>
      </c>
    </row>
    <row r="114" spans="1:2" x14ac:dyDescent="0.25">
      <c r="A114">
        <v>544.18756103515625</v>
      </c>
      <c r="B114">
        <v>521.8720703125</v>
      </c>
    </row>
    <row r="115" spans="1:2" x14ac:dyDescent="0.25">
      <c r="A115">
        <v>618.49774169921875</v>
      </c>
      <c r="B115">
        <v>508.31005859375</v>
      </c>
    </row>
    <row r="116" spans="1:2" x14ac:dyDescent="0.25">
      <c r="A116">
        <v>620.2667236328125</v>
      </c>
      <c r="B116">
        <v>495.04132080078125</v>
      </c>
    </row>
    <row r="117" spans="1:2" x14ac:dyDescent="0.25">
      <c r="A117">
        <v>619.836181640625</v>
      </c>
      <c r="B117">
        <v>471.93658447265625</v>
      </c>
    </row>
    <row r="118" spans="1:2" x14ac:dyDescent="0.25">
      <c r="A118">
        <v>624.3748779296875</v>
      </c>
      <c r="B118">
        <v>453.22940063476562</v>
      </c>
    </row>
    <row r="119" spans="1:2" x14ac:dyDescent="0.25">
      <c r="A119">
        <v>607.44989013671875</v>
      </c>
      <c r="B119">
        <v>408.0584716796875</v>
      </c>
    </row>
    <row r="120" spans="1:2" x14ac:dyDescent="0.25">
      <c r="A120">
        <v>590.71575927734375</v>
      </c>
      <c r="B120">
        <v>365.9102783203125</v>
      </c>
    </row>
    <row r="121" spans="1:2" x14ac:dyDescent="0.25">
      <c r="A121">
        <v>571.442138671875</v>
      </c>
      <c r="B121">
        <v>344.82705688476562</v>
      </c>
    </row>
    <row r="122" spans="1:2" x14ac:dyDescent="0.25">
      <c r="A122">
        <v>540.0445556640625</v>
      </c>
      <c r="B122">
        <v>459.26177978515625</v>
      </c>
    </row>
    <row r="123" spans="1:2" x14ac:dyDescent="0.25">
      <c r="A123">
        <v>519.21234130859375</v>
      </c>
      <c r="B123">
        <v>528.85418701171875</v>
      </c>
    </row>
    <row r="124" spans="1:2" x14ac:dyDescent="0.25">
      <c r="A124">
        <v>460.5435791015625</v>
      </c>
      <c r="B124">
        <v>529.07196044921875</v>
      </c>
    </row>
    <row r="125" spans="1:2" x14ac:dyDescent="0.25">
      <c r="A125">
        <v>409.50091552734375</v>
      </c>
      <c r="B125">
        <v>528.11273193359375</v>
      </c>
    </row>
    <row r="126" spans="1:2" x14ac:dyDescent="0.25">
      <c r="A126">
        <v>393.53326416015625</v>
      </c>
      <c r="B126">
        <v>532.27276611328125</v>
      </c>
    </row>
    <row r="127" spans="1:2" x14ac:dyDescent="0.25">
      <c r="A127">
        <v>532.6480712890625</v>
      </c>
      <c r="B127">
        <v>518.71807861328125</v>
      </c>
    </row>
    <row r="128" spans="1:2" x14ac:dyDescent="0.25">
      <c r="A128">
        <v>612.24920654296875</v>
      </c>
      <c r="B128">
        <v>492.86868286132813</v>
      </c>
    </row>
    <row r="129" spans="1:2" x14ac:dyDescent="0.25">
      <c r="A129">
        <v>608.82275390625</v>
      </c>
      <c r="B129">
        <v>490.58526611328125</v>
      </c>
    </row>
    <row r="130" spans="1:2" x14ac:dyDescent="0.25">
      <c r="A130">
        <v>614.45379638671875</v>
      </c>
      <c r="B130">
        <v>487.80145263671875</v>
      </c>
    </row>
    <row r="131" spans="1:2" x14ac:dyDescent="0.25">
      <c r="A131">
        <v>621.51715087890625</v>
      </c>
      <c r="B131">
        <v>400.81146240234375</v>
      </c>
    </row>
    <row r="132" spans="1:2" x14ac:dyDescent="0.25">
      <c r="A132">
        <v>603.49407958984375</v>
      </c>
      <c r="B132">
        <v>275.7628173828125</v>
      </c>
    </row>
    <row r="133" spans="1:2" x14ac:dyDescent="0.25">
      <c r="A133">
        <v>558.6116943359375</v>
      </c>
      <c r="B133">
        <v>306.43313598632812</v>
      </c>
    </row>
    <row r="134" spans="1:2" x14ac:dyDescent="0.25">
      <c r="A134">
        <v>556.74072265625</v>
      </c>
      <c r="B134">
        <v>467.54632568359375</v>
      </c>
    </row>
    <row r="135" spans="1:2" x14ac:dyDescent="0.25">
      <c r="A135">
        <v>553.46246337890625</v>
      </c>
      <c r="B135">
        <v>532.95489501953125</v>
      </c>
    </row>
    <row r="136" spans="1:2" x14ac:dyDescent="0.25">
      <c r="A136">
        <v>453.48211669921875</v>
      </c>
      <c r="B136">
        <v>505.47955322265625</v>
      </c>
    </row>
    <row r="137" spans="1:2" x14ac:dyDescent="0.25">
      <c r="A137">
        <v>316.7344970703125</v>
      </c>
      <c r="B137">
        <v>452.84933471679687</v>
      </c>
    </row>
    <row r="138" spans="1:2" x14ac:dyDescent="0.25">
      <c r="A138">
        <v>368.86227416992187</v>
      </c>
      <c r="B138">
        <v>319.88800048828125</v>
      </c>
    </row>
    <row r="139" spans="1:2" x14ac:dyDescent="0.25">
      <c r="A139">
        <v>559.54669189453125</v>
      </c>
      <c r="B139">
        <v>228.13595581054687</v>
      </c>
    </row>
    <row r="140" spans="1:2" x14ac:dyDescent="0.25">
      <c r="A140">
        <v>617.83740234375</v>
      </c>
      <c r="B140">
        <v>218.66925048828125</v>
      </c>
    </row>
    <row r="141" spans="1:2" x14ac:dyDescent="0.25">
      <c r="A141">
        <v>574.98974609375</v>
      </c>
      <c r="B141">
        <v>213.58808898925781</v>
      </c>
    </row>
    <row r="142" spans="1:2" x14ac:dyDescent="0.25">
      <c r="A142">
        <v>506.28512573242187</v>
      </c>
      <c r="B142">
        <v>213.74635314941406</v>
      </c>
    </row>
    <row r="143" spans="1:2" x14ac:dyDescent="0.25">
      <c r="A143">
        <v>357.02703857421875</v>
      </c>
      <c r="B143">
        <v>214.16462707519531</v>
      </c>
    </row>
    <row r="144" spans="1:2" x14ac:dyDescent="0.25">
      <c r="A144">
        <v>260.87478637695312</v>
      </c>
      <c r="B144">
        <v>217.18643188476562</v>
      </c>
    </row>
    <row r="145" spans="1:2" x14ac:dyDescent="0.25">
      <c r="A145">
        <v>258.71725463867187</v>
      </c>
      <c r="B145">
        <v>229.25927734375</v>
      </c>
    </row>
    <row r="146" spans="1:2" x14ac:dyDescent="0.25">
      <c r="A146">
        <v>252.25567626953125</v>
      </c>
      <c r="B146">
        <v>271.94668579101562</v>
      </c>
    </row>
    <row r="147" spans="1:2" x14ac:dyDescent="0.25">
      <c r="A147">
        <v>253.62138366699219</v>
      </c>
      <c r="B147">
        <v>332.10305786132812</v>
      </c>
    </row>
    <row r="148" spans="1:2" x14ac:dyDescent="0.25">
      <c r="A148">
        <v>257.06564331054687</v>
      </c>
      <c r="B148">
        <v>444.38128662109375</v>
      </c>
    </row>
    <row r="149" spans="1:2" x14ac:dyDescent="0.25">
      <c r="A149">
        <v>263.6455078125</v>
      </c>
      <c r="B149">
        <v>467.59381103515625</v>
      </c>
    </row>
    <row r="150" spans="1:2" x14ac:dyDescent="0.25">
      <c r="A150">
        <v>277.45001220703125</v>
      </c>
      <c r="B150">
        <v>523.68170166015625</v>
      </c>
    </row>
    <row r="151" spans="1:2" x14ac:dyDescent="0.25">
      <c r="A151">
        <v>333.33242797851562</v>
      </c>
      <c r="B151">
        <v>532.09149169921875</v>
      </c>
    </row>
    <row r="152" spans="1:2" x14ac:dyDescent="0.25">
      <c r="A152">
        <v>393.13583374023437</v>
      </c>
      <c r="B152">
        <v>533.5418701171875</v>
      </c>
    </row>
    <row r="153" spans="1:2" x14ac:dyDescent="0.25">
      <c r="A153">
        <v>522.77398681640625</v>
      </c>
      <c r="B153">
        <v>534.9656982421875</v>
      </c>
    </row>
    <row r="154" spans="1:2" x14ac:dyDescent="0.25">
      <c r="A154">
        <v>534.06304931640625</v>
      </c>
      <c r="B154">
        <v>533.73492431640625</v>
      </c>
    </row>
    <row r="155" spans="1:2" x14ac:dyDescent="0.25">
      <c r="A155">
        <v>605.17169189453125</v>
      </c>
      <c r="B155">
        <v>532.38702392578125</v>
      </c>
    </row>
    <row r="156" spans="1:2" x14ac:dyDescent="0.25">
      <c r="A156">
        <v>614.64239501953125</v>
      </c>
      <c r="B156">
        <v>534.36761474609375</v>
      </c>
    </row>
    <row r="157" spans="1:2" x14ac:dyDescent="0.25">
      <c r="A157">
        <v>614.689208984375</v>
      </c>
      <c r="B157">
        <v>535.25506591796875</v>
      </c>
    </row>
    <row r="158" spans="1:2" x14ac:dyDescent="0.25">
      <c r="A158">
        <v>613.79583740234375</v>
      </c>
      <c r="B158">
        <v>520.2193603515625</v>
      </c>
    </row>
    <row r="159" spans="1:2" x14ac:dyDescent="0.25">
      <c r="A159">
        <v>610.125</v>
      </c>
      <c r="B159">
        <v>505.42947387695312</v>
      </c>
    </row>
    <row r="160" spans="1:2" x14ac:dyDescent="0.25">
      <c r="A160">
        <v>611.556884765625</v>
      </c>
      <c r="B160">
        <v>523.0885009765625</v>
      </c>
    </row>
    <row r="161" spans="1:2" x14ac:dyDescent="0.25">
      <c r="A161">
        <v>612.630859375</v>
      </c>
      <c r="B161">
        <v>535.0474853515625</v>
      </c>
    </row>
    <row r="162" spans="1:2" x14ac:dyDescent="0.25">
      <c r="A162">
        <v>620.31451416015625</v>
      </c>
      <c r="B162">
        <v>525.86065673828125</v>
      </c>
    </row>
    <row r="163" spans="1:2" x14ac:dyDescent="0.25">
      <c r="A163">
        <v>602.47528076171875</v>
      </c>
      <c r="B163">
        <v>459.6561279296875</v>
      </c>
    </row>
    <row r="164" spans="1:2" x14ac:dyDescent="0.25">
      <c r="A164">
        <v>585.558349609375</v>
      </c>
      <c r="B164">
        <v>428.7083740234375</v>
      </c>
    </row>
    <row r="165" spans="1:2" x14ac:dyDescent="0.25">
      <c r="A165">
        <v>608.7742919921875</v>
      </c>
      <c r="B165">
        <v>419.71865844726562</v>
      </c>
    </row>
    <row r="166" spans="1:2" x14ac:dyDescent="0.25">
      <c r="A166">
        <v>625.73175048828125</v>
      </c>
      <c r="B166">
        <v>415.85476684570312</v>
      </c>
    </row>
    <row r="167" spans="1:2" x14ac:dyDescent="0.25">
      <c r="A167">
        <v>618.655517578125</v>
      </c>
      <c r="B167">
        <v>388.37103271484375</v>
      </c>
    </row>
    <row r="168" spans="1:2" x14ac:dyDescent="0.25">
      <c r="A168">
        <v>535.40338134765625</v>
      </c>
      <c r="B168">
        <v>367.80410766601562</v>
      </c>
    </row>
    <row r="169" spans="1:2" x14ac:dyDescent="0.25">
      <c r="A169">
        <v>502.1015625</v>
      </c>
      <c r="B169">
        <v>370.37890625</v>
      </c>
    </row>
    <row r="170" spans="1:2" x14ac:dyDescent="0.25">
      <c r="A170">
        <v>491.19000244140625</v>
      </c>
      <c r="B170">
        <v>376.01992797851562</v>
      </c>
    </row>
    <row r="171" spans="1:2" x14ac:dyDescent="0.25">
      <c r="A171">
        <v>483.46890258789062</v>
      </c>
      <c r="B171">
        <v>424.06399536132812</v>
      </c>
    </row>
    <row r="172" spans="1:2" x14ac:dyDescent="0.25">
      <c r="A172">
        <v>447.17999267578125</v>
      </c>
      <c r="B172">
        <v>424.32769775390625</v>
      </c>
    </row>
    <row r="173" spans="1:2" x14ac:dyDescent="0.25">
      <c r="A173">
        <v>425.48208618164062</v>
      </c>
      <c r="B173">
        <v>428.253173828125</v>
      </c>
    </row>
    <row r="174" spans="1:2" x14ac:dyDescent="0.25">
      <c r="A174">
        <v>424.76058959960937</v>
      </c>
      <c r="B174">
        <v>428.78445434570312</v>
      </c>
    </row>
    <row r="175" spans="1:2" x14ac:dyDescent="0.25">
      <c r="A175">
        <v>433.58038330078125</v>
      </c>
      <c r="B175">
        <v>432.72637939453125</v>
      </c>
    </row>
    <row r="176" spans="1:2" x14ac:dyDescent="0.25">
      <c r="A176">
        <v>489.95742797851562</v>
      </c>
      <c r="B176">
        <v>426.884521484375</v>
      </c>
    </row>
    <row r="177" spans="1:2" x14ac:dyDescent="0.25">
      <c r="A177">
        <v>488.63711547851562</v>
      </c>
      <c r="B177">
        <v>429.87091064453125</v>
      </c>
    </row>
    <row r="178" spans="1:2" x14ac:dyDescent="0.25">
      <c r="A178">
        <v>497.36825561523437</v>
      </c>
      <c r="B178">
        <v>466.153076171875</v>
      </c>
    </row>
    <row r="179" spans="1:2" x14ac:dyDescent="0.25">
      <c r="A179">
        <v>499.5643310546875</v>
      </c>
      <c r="B179">
        <v>532.5672607421875</v>
      </c>
    </row>
    <row r="180" spans="1:2" x14ac:dyDescent="0.25">
      <c r="A180">
        <v>493.1802978515625</v>
      </c>
      <c r="B180">
        <v>532.60577392578125</v>
      </c>
    </row>
    <row r="181" spans="1:2" x14ac:dyDescent="0.25">
      <c r="A181">
        <v>486.69622802734375</v>
      </c>
      <c r="B181">
        <v>524.1060791015625</v>
      </c>
    </row>
    <row r="182" spans="1:2" x14ac:dyDescent="0.25">
      <c r="A182">
        <v>490.02880859375</v>
      </c>
      <c r="B182">
        <v>536.739990234375</v>
      </c>
    </row>
    <row r="183" spans="1:2" x14ac:dyDescent="0.25">
      <c r="A183">
        <v>540.77447509765625</v>
      </c>
      <c r="B183">
        <v>535.5006103515625</v>
      </c>
    </row>
    <row r="184" spans="1:2" x14ac:dyDescent="0.25">
      <c r="A184">
        <v>610.6373291015625</v>
      </c>
      <c r="B184">
        <v>531.91748046875</v>
      </c>
    </row>
    <row r="185" spans="1:2" x14ac:dyDescent="0.25">
      <c r="A185">
        <v>608.83038330078125</v>
      </c>
      <c r="B185">
        <v>533.1328125</v>
      </c>
    </row>
    <row r="186" spans="1:2" x14ac:dyDescent="0.25">
      <c r="A186">
        <v>602.1881103515625</v>
      </c>
      <c r="B186">
        <v>486.42483520507812</v>
      </c>
    </row>
    <row r="187" spans="1:2" x14ac:dyDescent="0.25">
      <c r="A187">
        <v>618.29119873046875</v>
      </c>
      <c r="B187">
        <v>385.8321533203125</v>
      </c>
    </row>
    <row r="188" spans="1:2" x14ac:dyDescent="0.25">
      <c r="A188">
        <v>616.26953125</v>
      </c>
      <c r="B188">
        <v>248.68600463867187</v>
      </c>
    </row>
    <row r="189" spans="1:2" x14ac:dyDescent="0.25">
      <c r="A189">
        <v>608.92401123046875</v>
      </c>
      <c r="B189">
        <v>217.50653076171875</v>
      </c>
    </row>
    <row r="190" spans="1:2" x14ac:dyDescent="0.25">
      <c r="A190">
        <v>611.91326904296875</v>
      </c>
      <c r="B190">
        <v>215.48233032226562</v>
      </c>
    </row>
    <row r="191" spans="1:2" x14ac:dyDescent="0.25">
      <c r="A191">
        <v>549.01727294921875</v>
      </c>
      <c r="B191">
        <v>214.69253540039062</v>
      </c>
    </row>
    <row r="192" spans="1:2" x14ac:dyDescent="0.25">
      <c r="A192">
        <v>431.1278076171875</v>
      </c>
      <c r="B192">
        <v>214.61180114746094</v>
      </c>
    </row>
    <row r="193" spans="1:2" x14ac:dyDescent="0.25">
      <c r="A193">
        <v>278.33627319335938</v>
      </c>
      <c r="B193">
        <v>220.54191589355469</v>
      </c>
    </row>
    <row r="194" spans="1:2" x14ac:dyDescent="0.25">
      <c r="A194">
        <v>255.19961547851563</v>
      </c>
      <c r="B194">
        <v>231.16789245605469</v>
      </c>
    </row>
    <row r="195" spans="1:2" x14ac:dyDescent="0.25">
      <c r="A195">
        <v>251.445556640625</v>
      </c>
      <c r="B195">
        <v>343.92758178710937</v>
      </c>
    </row>
    <row r="196" spans="1:2" x14ac:dyDescent="0.25">
      <c r="A196">
        <v>251.10980224609375</v>
      </c>
      <c r="B196">
        <v>472.72076416015625</v>
      </c>
    </row>
    <row r="197" spans="1:2" x14ac:dyDescent="0.25">
      <c r="A197">
        <v>254.0389404296875</v>
      </c>
      <c r="B197">
        <v>476.3863525390625</v>
      </c>
    </row>
    <row r="198" spans="1:2" x14ac:dyDescent="0.25">
      <c r="A198">
        <v>260.92233276367188</v>
      </c>
      <c r="B198">
        <v>473.8570556640625</v>
      </c>
    </row>
    <row r="199" spans="1:2" x14ac:dyDescent="0.25">
      <c r="A199">
        <v>277.34829711914062</v>
      </c>
      <c r="B199">
        <v>458.65020751953125</v>
      </c>
    </row>
    <row r="200" spans="1:2" x14ac:dyDescent="0.25">
      <c r="A200">
        <v>411.953857421875</v>
      </c>
      <c r="B200">
        <v>440.091064453125</v>
      </c>
    </row>
    <row r="201" spans="1:2" x14ac:dyDescent="0.25">
      <c r="A201">
        <v>543.09637451171875</v>
      </c>
      <c r="B201">
        <v>386.49386596679687</v>
      </c>
    </row>
    <row r="202" spans="1:2" x14ac:dyDescent="0.25">
      <c r="A202">
        <v>541.62786865234375</v>
      </c>
      <c r="B202">
        <v>287.12356567382812</v>
      </c>
    </row>
    <row r="203" spans="1:2" x14ac:dyDescent="0.25">
      <c r="A203">
        <v>537.3515625</v>
      </c>
      <c r="B203">
        <v>225.16949462890625</v>
      </c>
    </row>
    <row r="204" spans="1:2" x14ac:dyDescent="0.25">
      <c r="A204">
        <v>521.6253662109375</v>
      </c>
      <c r="B204">
        <v>229.64137268066406</v>
      </c>
    </row>
    <row r="205" spans="1:2" x14ac:dyDescent="0.25">
      <c r="A205">
        <v>499.7681884765625</v>
      </c>
      <c r="B205">
        <v>272.2430419921875</v>
      </c>
    </row>
    <row r="206" spans="1:2" x14ac:dyDescent="0.25">
      <c r="A206">
        <v>434.11328125</v>
      </c>
      <c r="B206">
        <v>450.99270629882813</v>
      </c>
    </row>
    <row r="207" spans="1:2" x14ac:dyDescent="0.25">
      <c r="A207">
        <v>323.46630859375</v>
      </c>
      <c r="B207">
        <v>523.89605712890625</v>
      </c>
    </row>
    <row r="208" spans="1:2" x14ac:dyDescent="0.25">
      <c r="A208">
        <v>262.74972534179687</v>
      </c>
      <c r="B208">
        <v>511.17996215820312</v>
      </c>
    </row>
    <row r="209" spans="1:2" x14ac:dyDescent="0.25">
      <c r="A209">
        <v>270.6826171875</v>
      </c>
      <c r="B209">
        <v>474.32290649414062</v>
      </c>
    </row>
    <row r="210" spans="1:2" x14ac:dyDescent="0.25">
      <c r="A210">
        <v>332.72811889648437</v>
      </c>
      <c r="B210">
        <v>447.240966796875</v>
      </c>
    </row>
    <row r="211" spans="1:2" x14ac:dyDescent="0.25">
      <c r="A211">
        <v>533.82421875</v>
      </c>
      <c r="B211">
        <v>452.04971313476562</v>
      </c>
    </row>
    <row r="212" spans="1:2" x14ac:dyDescent="0.25">
      <c r="A212">
        <v>600.54229736328125</v>
      </c>
      <c r="B212">
        <v>431.11721801757813</v>
      </c>
    </row>
    <row r="213" spans="1:2" x14ac:dyDescent="0.25">
      <c r="A213">
        <v>584.572998046875</v>
      </c>
      <c r="B213">
        <v>435.46945190429688</v>
      </c>
    </row>
    <row r="214" spans="1:2" x14ac:dyDescent="0.25">
      <c r="A214">
        <v>538.1009521484375</v>
      </c>
      <c r="B214">
        <v>381.37353515625</v>
      </c>
    </row>
    <row r="215" spans="1:2" x14ac:dyDescent="0.25">
      <c r="A215">
        <v>508.3868408203125</v>
      </c>
      <c r="B215">
        <v>274.8564453125</v>
      </c>
    </row>
    <row r="216" spans="1:2" x14ac:dyDescent="0.25">
      <c r="A216">
        <v>516.24542236328125</v>
      </c>
      <c r="B216">
        <v>252.46211242675781</v>
      </c>
    </row>
    <row r="217" spans="1:2" x14ac:dyDescent="0.25">
      <c r="A217">
        <v>489.10513305664062</v>
      </c>
      <c r="B217">
        <v>251.97724914550781</v>
      </c>
    </row>
    <row r="218" spans="1:2" x14ac:dyDescent="0.25">
      <c r="A218">
        <v>493.49526977539062</v>
      </c>
      <c r="B218">
        <v>250.71127319335937</v>
      </c>
    </row>
    <row r="219" spans="1:2" x14ac:dyDescent="0.25">
      <c r="A219">
        <v>424.44287109375</v>
      </c>
      <c r="B219">
        <v>286.0333251953125</v>
      </c>
    </row>
    <row r="220" spans="1:2" x14ac:dyDescent="0.25">
      <c r="A220">
        <v>309.98049926757812</v>
      </c>
      <c r="B220">
        <v>333.93011474609375</v>
      </c>
    </row>
    <row r="221" spans="1:2" x14ac:dyDescent="0.25">
      <c r="A221">
        <v>295.71432495117187</v>
      </c>
      <c r="B221">
        <v>302.23397827148437</v>
      </c>
    </row>
    <row r="222" spans="1:2" x14ac:dyDescent="0.25">
      <c r="A222">
        <v>295.675537109375</v>
      </c>
      <c r="B222">
        <v>364.34384155273437</v>
      </c>
    </row>
    <row r="223" spans="1:2" x14ac:dyDescent="0.25">
      <c r="A223">
        <v>294.09188842773437</v>
      </c>
      <c r="B223">
        <v>292.01205444335937</v>
      </c>
    </row>
    <row r="224" spans="1:2" x14ac:dyDescent="0.25">
      <c r="A224">
        <v>341.52102661132812</v>
      </c>
      <c r="B224">
        <v>266.474609375</v>
      </c>
    </row>
    <row r="225" spans="1:2" x14ac:dyDescent="0.25">
      <c r="A225">
        <v>386.72592163085937</v>
      </c>
      <c r="B225">
        <v>243.97967529296875</v>
      </c>
    </row>
    <row r="226" spans="1:2" x14ac:dyDescent="0.25">
      <c r="A226">
        <v>353.73843383789062</v>
      </c>
      <c r="B226">
        <v>227.19670104980469</v>
      </c>
    </row>
    <row r="227" spans="1:2" x14ac:dyDescent="0.25">
      <c r="A227">
        <v>425.50103759765625</v>
      </c>
      <c r="B227">
        <v>222.06880187988281</v>
      </c>
    </row>
    <row r="228" spans="1:2" x14ac:dyDescent="0.25">
      <c r="A228">
        <v>334.74472045898437</v>
      </c>
      <c r="B228">
        <v>233.05545043945312</v>
      </c>
    </row>
    <row r="229" spans="1:2" x14ac:dyDescent="0.25">
      <c r="A229">
        <v>312.73162841796875</v>
      </c>
      <c r="B229">
        <v>310.22244262695312</v>
      </c>
    </row>
    <row r="230" spans="1:2" x14ac:dyDescent="0.25">
      <c r="A230">
        <v>283.57565307617187</v>
      </c>
      <c r="B230">
        <v>398.11346435546875</v>
      </c>
    </row>
    <row r="231" spans="1:2" x14ac:dyDescent="0.25">
      <c r="A231">
        <v>271.96237182617187</v>
      </c>
      <c r="B231">
        <v>404.93356323242187</v>
      </c>
    </row>
    <row r="232" spans="1:2" x14ac:dyDescent="0.25">
      <c r="A232">
        <v>265.44808959960937</v>
      </c>
      <c r="B232">
        <v>466.51260375976562</v>
      </c>
    </row>
    <row r="233" spans="1:2" x14ac:dyDescent="0.25">
      <c r="A233">
        <v>280.85733032226562</v>
      </c>
      <c r="B233">
        <v>450.40289306640625</v>
      </c>
    </row>
    <row r="234" spans="1:2" x14ac:dyDescent="0.25">
      <c r="A234">
        <v>376.53451538085937</v>
      </c>
      <c r="B234">
        <v>365.35403442382812</v>
      </c>
    </row>
    <row r="235" spans="1:2" x14ac:dyDescent="0.25">
      <c r="A235">
        <v>459.07553100585937</v>
      </c>
      <c r="B235">
        <v>259.28933715820312</v>
      </c>
    </row>
    <row r="236" spans="1:2" x14ac:dyDescent="0.25">
      <c r="A236">
        <v>478.64907836914062</v>
      </c>
      <c r="B236">
        <v>238.0772705078125</v>
      </c>
    </row>
    <row r="237" spans="1:2" x14ac:dyDescent="0.25">
      <c r="A237">
        <v>534.796142578125</v>
      </c>
      <c r="B237">
        <v>223.10459899902344</v>
      </c>
    </row>
    <row r="238" spans="1:2" x14ac:dyDescent="0.25">
      <c r="A238">
        <v>513.9017333984375</v>
      </c>
      <c r="B238">
        <v>223.36810302734375</v>
      </c>
    </row>
    <row r="239" spans="1:2" x14ac:dyDescent="0.25">
      <c r="A239">
        <v>409.36798095703125</v>
      </c>
      <c r="B239">
        <v>222.02769470214844</v>
      </c>
    </row>
    <row r="240" spans="1:2" x14ac:dyDescent="0.25">
      <c r="A240">
        <v>294.84762573242187</v>
      </c>
      <c r="B240">
        <v>221.48027038574219</v>
      </c>
    </row>
    <row r="241" spans="1:2" x14ac:dyDescent="0.25">
      <c r="A241">
        <v>280.43283081054687</v>
      </c>
      <c r="B241">
        <v>221.52227783203125</v>
      </c>
    </row>
    <row r="242" spans="1:2" x14ac:dyDescent="0.25">
      <c r="A242">
        <v>258.77899169921875</v>
      </c>
      <c r="B242">
        <v>221.29493713378906</v>
      </c>
    </row>
    <row r="243" spans="1:2" x14ac:dyDescent="0.25">
      <c r="A243">
        <v>261.51739501953125</v>
      </c>
      <c r="B243">
        <v>230.437744140625</v>
      </c>
    </row>
    <row r="244" spans="1:2" x14ac:dyDescent="0.25">
      <c r="A244">
        <v>257.8892822265625</v>
      </c>
      <c r="B244">
        <v>246.58953857421875</v>
      </c>
    </row>
    <row r="245" spans="1:2" x14ac:dyDescent="0.25">
      <c r="A245">
        <v>258.48773193359375</v>
      </c>
      <c r="B245">
        <v>335.78805541992187</v>
      </c>
    </row>
    <row r="246" spans="1:2" x14ac:dyDescent="0.25">
      <c r="A246">
        <v>257.98092651367187</v>
      </c>
      <c r="B246">
        <v>382.583984375</v>
      </c>
    </row>
    <row r="247" spans="1:2" x14ac:dyDescent="0.25">
      <c r="A247">
        <v>257.95880126953125</v>
      </c>
      <c r="B247">
        <v>463.21963500976562</v>
      </c>
    </row>
    <row r="248" spans="1:2" x14ac:dyDescent="0.25">
      <c r="A248">
        <v>269.67471313476562</v>
      </c>
      <c r="B248">
        <v>447.5875244140625</v>
      </c>
    </row>
    <row r="249" spans="1:2" x14ac:dyDescent="0.25">
      <c r="A249">
        <v>288.08087158203125</v>
      </c>
      <c r="B249">
        <v>398.73110961914062</v>
      </c>
    </row>
    <row r="250" spans="1:2" x14ac:dyDescent="0.25">
      <c r="A250">
        <v>388.72607421875</v>
      </c>
      <c r="B250">
        <v>332.8372802734375</v>
      </c>
    </row>
    <row r="251" spans="1:2" x14ac:dyDescent="0.25">
      <c r="A251">
        <v>435.83099365234375</v>
      </c>
      <c r="B251">
        <v>283.28628540039062</v>
      </c>
    </row>
    <row r="252" spans="1:2" x14ac:dyDescent="0.25">
      <c r="A252">
        <v>530.82781982421875</v>
      </c>
      <c r="B252">
        <v>271.57403564453125</v>
      </c>
    </row>
    <row r="253" spans="1:2" x14ac:dyDescent="0.25">
      <c r="A253">
        <v>507.5631103515625</v>
      </c>
      <c r="B253">
        <v>413.44039916992187</v>
      </c>
    </row>
    <row r="254" spans="1:2" x14ac:dyDescent="0.25">
      <c r="A254">
        <v>446.92922973632812</v>
      </c>
      <c r="B254">
        <v>505.45755004882812</v>
      </c>
    </row>
    <row r="255" spans="1:2" x14ac:dyDescent="0.25">
      <c r="A255">
        <v>375.05963134765625</v>
      </c>
      <c r="B255">
        <v>525.9671630859375</v>
      </c>
    </row>
    <row r="256" spans="1:2" x14ac:dyDescent="0.25">
      <c r="A256">
        <v>318.3331298828125</v>
      </c>
      <c r="B256">
        <v>496.4715576171875</v>
      </c>
    </row>
    <row r="257" spans="1:2" x14ac:dyDescent="0.25">
      <c r="A257">
        <v>315.18533325195312</v>
      </c>
      <c r="B257">
        <v>398.07559204101562</v>
      </c>
    </row>
    <row r="258" spans="1:2" x14ac:dyDescent="0.25">
      <c r="A258">
        <v>480.97323608398437</v>
      </c>
      <c r="B258">
        <v>266.2967529296875</v>
      </c>
    </row>
    <row r="259" spans="1:2" x14ac:dyDescent="0.25">
      <c r="A259">
        <v>575.57659912109375</v>
      </c>
      <c r="B259">
        <v>220.60140991210937</v>
      </c>
    </row>
    <row r="260" spans="1:2" x14ac:dyDescent="0.25">
      <c r="A260">
        <v>595.2713623046875</v>
      </c>
      <c r="B260">
        <v>219.30497741699219</v>
      </c>
    </row>
    <row r="261" spans="1:2" x14ac:dyDescent="0.25">
      <c r="A261">
        <v>556.997802734375</v>
      </c>
      <c r="B261">
        <v>214.31320190429687</v>
      </c>
    </row>
    <row r="262" spans="1:2" x14ac:dyDescent="0.25">
      <c r="A262">
        <v>439.15020751953125</v>
      </c>
      <c r="B262">
        <v>214.79734802246094</v>
      </c>
    </row>
    <row r="263" spans="1:2" x14ac:dyDescent="0.25">
      <c r="A263">
        <v>298.37405395507812</v>
      </c>
      <c r="B263">
        <v>217.86630249023437</v>
      </c>
    </row>
    <row r="264" spans="1:2" x14ac:dyDescent="0.25">
      <c r="A264">
        <v>259.96859741210937</v>
      </c>
      <c r="B264">
        <v>221.09271240234375</v>
      </c>
    </row>
    <row r="265" spans="1:2" x14ac:dyDescent="0.25">
      <c r="A265">
        <v>259.95904541015625</v>
      </c>
      <c r="B265">
        <v>217.19624328613281</v>
      </c>
    </row>
    <row r="266" spans="1:2" x14ac:dyDescent="0.25">
      <c r="A266">
        <v>253.23036193847656</v>
      </c>
      <c r="B266">
        <v>225.64082336425781</v>
      </c>
    </row>
    <row r="267" spans="1:2" x14ac:dyDescent="0.25">
      <c r="A267">
        <v>255.64280700683594</v>
      </c>
      <c r="B267">
        <v>284.5791015625</v>
      </c>
    </row>
    <row r="268" spans="1:2" x14ac:dyDescent="0.25">
      <c r="A268">
        <v>258.3096923828125</v>
      </c>
      <c r="B268">
        <v>418.17550659179687</v>
      </c>
    </row>
    <row r="269" spans="1:2" x14ac:dyDescent="0.25">
      <c r="A269">
        <v>260.064453125</v>
      </c>
      <c r="B269">
        <v>412.2220458984375</v>
      </c>
    </row>
    <row r="270" spans="1:2" x14ac:dyDescent="0.25">
      <c r="A270">
        <v>256.57635498046875</v>
      </c>
      <c r="B270">
        <v>437.56182861328125</v>
      </c>
    </row>
    <row r="271" spans="1:2" x14ac:dyDescent="0.25">
      <c r="A271">
        <v>267.1881103515625</v>
      </c>
      <c r="B271">
        <v>478.18325805664062</v>
      </c>
    </row>
    <row r="272" spans="1:2" x14ac:dyDescent="0.25">
      <c r="A272">
        <v>341.09500122070312</v>
      </c>
      <c r="B272">
        <v>473.22274780273437</v>
      </c>
    </row>
    <row r="273" spans="1:2" x14ac:dyDescent="0.25">
      <c r="A273">
        <v>486.89285278320312</v>
      </c>
      <c r="B273">
        <v>470.8306884765625</v>
      </c>
    </row>
    <row r="274" spans="1:2" x14ac:dyDescent="0.25">
      <c r="A274">
        <v>471.5345458984375</v>
      </c>
      <c r="B274">
        <v>468.894287109375</v>
      </c>
    </row>
    <row r="275" spans="1:2" x14ac:dyDescent="0.25">
      <c r="A275">
        <v>507.88818359375</v>
      </c>
      <c r="B275">
        <v>452.95416259765625</v>
      </c>
    </row>
    <row r="276" spans="1:2" x14ac:dyDescent="0.25">
      <c r="A276">
        <v>546.27288818359375</v>
      </c>
      <c r="B276">
        <v>451.41574096679687</v>
      </c>
    </row>
    <row r="277" spans="1:2" x14ac:dyDescent="0.25">
      <c r="A277">
        <v>539.7034912109375</v>
      </c>
      <c r="B277">
        <v>484.45050048828125</v>
      </c>
    </row>
    <row r="278" spans="1:2" x14ac:dyDescent="0.25">
      <c r="A278">
        <v>534.3048095703125</v>
      </c>
      <c r="B278">
        <v>430.7120361328125</v>
      </c>
    </row>
    <row r="279" spans="1:2" x14ac:dyDescent="0.25">
      <c r="A279">
        <v>529.67437744140625</v>
      </c>
      <c r="B279">
        <v>420.99822998046875</v>
      </c>
    </row>
    <row r="280" spans="1:2" x14ac:dyDescent="0.25">
      <c r="A280">
        <v>511.74710083007812</v>
      </c>
      <c r="B280">
        <v>425.52120971679687</v>
      </c>
    </row>
    <row r="281" spans="1:2" x14ac:dyDescent="0.25">
      <c r="A281">
        <v>514.99176025390625</v>
      </c>
      <c r="B281">
        <v>425.57904052734375</v>
      </c>
    </row>
    <row r="282" spans="1:2" x14ac:dyDescent="0.25">
      <c r="A282">
        <v>549.85845947265625</v>
      </c>
      <c r="B282">
        <v>423.64047241210937</v>
      </c>
    </row>
    <row r="283" spans="1:2" x14ac:dyDescent="0.25">
      <c r="A283">
        <v>484.20968627929687</v>
      </c>
      <c r="B283">
        <v>390.0699462890625</v>
      </c>
    </row>
    <row r="284" spans="1:2" x14ac:dyDescent="0.25">
      <c r="A284">
        <v>479.6446533203125</v>
      </c>
      <c r="B284">
        <v>326.179931640625</v>
      </c>
    </row>
    <row r="285" spans="1:2" x14ac:dyDescent="0.25">
      <c r="A285">
        <v>483.4698486328125</v>
      </c>
      <c r="B285">
        <v>251.51882934570312</v>
      </c>
    </row>
    <row r="286" spans="1:2" x14ac:dyDescent="0.25">
      <c r="A286">
        <v>484.49124145507812</v>
      </c>
      <c r="B286">
        <v>227.59767150878906</v>
      </c>
    </row>
    <row r="287" spans="1:2" x14ac:dyDescent="0.25">
      <c r="A287">
        <v>481.81710815429687</v>
      </c>
      <c r="B287">
        <v>230.80241394042969</v>
      </c>
    </row>
    <row r="288" spans="1:2" x14ac:dyDescent="0.25">
      <c r="A288">
        <v>439.42367553710937</v>
      </c>
      <c r="B288">
        <v>229.72624206542969</v>
      </c>
    </row>
    <row r="289" spans="1:2" x14ac:dyDescent="0.25">
      <c r="A289">
        <v>363.7293701171875</v>
      </c>
      <c r="B289">
        <v>305.83065795898438</v>
      </c>
    </row>
    <row r="290" spans="1:2" x14ac:dyDescent="0.25">
      <c r="A290">
        <v>285.63552856445312</v>
      </c>
      <c r="B290">
        <v>382.97808837890625</v>
      </c>
    </row>
    <row r="291" spans="1:2" x14ac:dyDescent="0.25">
      <c r="A291">
        <v>266.61773681640625</v>
      </c>
      <c r="B291">
        <v>409.67941284179687</v>
      </c>
    </row>
    <row r="292" spans="1:2" x14ac:dyDescent="0.25">
      <c r="A292">
        <v>272.80169677734375</v>
      </c>
      <c r="B292">
        <v>421.11380004882812</v>
      </c>
    </row>
    <row r="293" spans="1:2" x14ac:dyDescent="0.25">
      <c r="A293">
        <v>271.494873046875</v>
      </c>
      <c r="B293">
        <v>420.70474243164063</v>
      </c>
    </row>
    <row r="294" spans="1:2" x14ac:dyDescent="0.25">
      <c r="A294">
        <v>358.92010498046875</v>
      </c>
      <c r="B294">
        <v>419.09783935546875</v>
      </c>
    </row>
    <row r="295" spans="1:2" x14ac:dyDescent="0.25">
      <c r="A295">
        <v>443.271728515625</v>
      </c>
      <c r="B295">
        <v>422.63333129882813</v>
      </c>
    </row>
    <row r="296" spans="1:2" x14ac:dyDescent="0.25">
      <c r="A296">
        <v>475.1195068359375</v>
      </c>
      <c r="B296">
        <v>461.50946044921875</v>
      </c>
    </row>
    <row r="297" spans="1:2" x14ac:dyDescent="0.25">
      <c r="A297">
        <v>480.62167358398437</v>
      </c>
      <c r="B297">
        <v>512.27685546875</v>
      </c>
    </row>
    <row r="298" spans="1:2" x14ac:dyDescent="0.25">
      <c r="A298">
        <v>475.538330078125</v>
      </c>
      <c r="B298">
        <v>482.45513916015625</v>
      </c>
    </row>
    <row r="299" spans="1:2" x14ac:dyDescent="0.25">
      <c r="A299">
        <v>473.94717407226562</v>
      </c>
      <c r="B299">
        <v>467.24826049804687</v>
      </c>
    </row>
    <row r="300" spans="1:2" x14ac:dyDescent="0.25">
      <c r="A300">
        <v>478.898681640625</v>
      </c>
      <c r="B300">
        <v>461.43893432617188</v>
      </c>
    </row>
    <row r="301" spans="1:2" x14ac:dyDescent="0.25">
      <c r="A301">
        <v>525.793701171875</v>
      </c>
      <c r="B301">
        <v>477.06362915039062</v>
      </c>
    </row>
    <row r="302" spans="1:2" x14ac:dyDescent="0.25">
      <c r="A302">
        <v>580.06732177734375</v>
      </c>
      <c r="B302">
        <v>432.9576416015625</v>
      </c>
    </row>
    <row r="303" spans="1:2" x14ac:dyDescent="0.25">
      <c r="A303">
        <v>539.88128662109375</v>
      </c>
      <c r="B303">
        <v>422.0621337890625</v>
      </c>
    </row>
    <row r="304" spans="1:2" x14ac:dyDescent="0.25">
      <c r="A304">
        <v>523.58319091796875</v>
      </c>
      <c r="B304">
        <v>425.33401489257812</v>
      </c>
    </row>
    <row r="305" spans="1:2" x14ac:dyDescent="0.25">
      <c r="A305">
        <v>522.59075927734375</v>
      </c>
      <c r="B305">
        <v>421.75527954101562</v>
      </c>
    </row>
    <row r="306" spans="1:2" x14ac:dyDescent="0.25">
      <c r="A306">
        <v>544.145263671875</v>
      </c>
      <c r="B306">
        <v>381.00704956054687</v>
      </c>
    </row>
    <row r="307" spans="1:2" x14ac:dyDescent="0.25">
      <c r="A307">
        <v>487.83499145507812</v>
      </c>
      <c r="B307">
        <v>300.98751831054687</v>
      </c>
    </row>
    <row r="308" spans="1:2" x14ac:dyDescent="0.25">
      <c r="A308">
        <v>486.91775512695312</v>
      </c>
      <c r="B308">
        <v>296.17764282226562</v>
      </c>
    </row>
    <row r="309" spans="1:2" x14ac:dyDescent="0.25">
      <c r="A309">
        <v>489.41085815429687</v>
      </c>
      <c r="B309">
        <v>358.54409790039062</v>
      </c>
    </row>
    <row r="310" spans="1:2" x14ac:dyDescent="0.25">
      <c r="A310">
        <v>485.4761962890625</v>
      </c>
      <c r="B310">
        <v>346.24996948242187</v>
      </c>
    </row>
    <row r="311" spans="1:2" x14ac:dyDescent="0.25">
      <c r="A311">
        <v>435.53387451171875</v>
      </c>
      <c r="B311">
        <v>294.64144897460937</v>
      </c>
    </row>
    <row r="312" spans="1:2" x14ac:dyDescent="0.25">
      <c r="A312">
        <v>342.375244140625</v>
      </c>
      <c r="B312">
        <v>333.94931030273437</v>
      </c>
    </row>
    <row r="313" spans="1:2" x14ac:dyDescent="0.25">
      <c r="A313">
        <v>360.10702514648437</v>
      </c>
      <c r="B313">
        <v>379.18118286132812</v>
      </c>
    </row>
    <row r="314" spans="1:2" x14ac:dyDescent="0.25">
      <c r="A314">
        <v>428.77566528320312</v>
      </c>
      <c r="B314">
        <v>402.06301879882812</v>
      </c>
    </row>
    <row r="315" spans="1:2" x14ac:dyDescent="0.25">
      <c r="A315">
        <v>404.03909301757812</v>
      </c>
      <c r="B315">
        <v>418.39871215820312</v>
      </c>
    </row>
    <row r="316" spans="1:2" x14ac:dyDescent="0.25">
      <c r="A316">
        <v>346.28720092773437</v>
      </c>
      <c r="B316">
        <v>421.31765747070312</v>
      </c>
    </row>
    <row r="317" spans="1:2" x14ac:dyDescent="0.25">
      <c r="A317">
        <v>402.01260375976562</v>
      </c>
      <c r="B317">
        <v>423.42706298828125</v>
      </c>
    </row>
    <row r="318" spans="1:2" x14ac:dyDescent="0.25">
      <c r="A318">
        <v>444.84808349609375</v>
      </c>
      <c r="B318">
        <v>423.34912109375</v>
      </c>
    </row>
    <row r="319" spans="1:2" x14ac:dyDescent="0.25">
      <c r="A319">
        <v>465.12210083007812</v>
      </c>
      <c r="B319">
        <v>420.68972778320312</v>
      </c>
    </row>
    <row r="320" spans="1:2" x14ac:dyDescent="0.25">
      <c r="A320">
        <v>482.28988647460937</v>
      </c>
      <c r="B320">
        <v>422.32400512695312</v>
      </c>
    </row>
    <row r="321" spans="1:2" x14ac:dyDescent="0.25">
      <c r="A321">
        <v>485.42758178710937</v>
      </c>
      <c r="B321">
        <v>425.25555419921875</v>
      </c>
    </row>
    <row r="322" spans="1:2" x14ac:dyDescent="0.25">
      <c r="A322">
        <v>487.43112182617187</v>
      </c>
      <c r="B322">
        <v>420.39871215820313</v>
      </c>
    </row>
    <row r="323" spans="1:2" x14ac:dyDescent="0.25">
      <c r="A323">
        <v>482.4034423828125</v>
      </c>
      <c r="B323">
        <v>398.46746826171875</v>
      </c>
    </row>
    <row r="324" spans="1:2" x14ac:dyDescent="0.25">
      <c r="A324">
        <v>484.32632446289062</v>
      </c>
      <c r="B324">
        <v>395.33029174804688</v>
      </c>
    </row>
    <row r="325" spans="1:2" x14ac:dyDescent="0.25">
      <c r="A325">
        <v>496.19058227539062</v>
      </c>
      <c r="B325">
        <v>396.2261962890625</v>
      </c>
    </row>
    <row r="326" spans="1:2" x14ac:dyDescent="0.25">
      <c r="A326">
        <v>497.169677734375</v>
      </c>
      <c r="B326">
        <v>420.36367797851562</v>
      </c>
    </row>
    <row r="327" spans="1:2" x14ac:dyDescent="0.25">
      <c r="A327">
        <v>484.993896484375</v>
      </c>
      <c r="B327">
        <v>422.65927124023437</v>
      </c>
    </row>
    <row r="328" spans="1:2" x14ac:dyDescent="0.25">
      <c r="A328">
        <v>454.3609619140625</v>
      </c>
      <c r="B328">
        <v>423.13980102539062</v>
      </c>
    </row>
    <row r="329" spans="1:2" x14ac:dyDescent="0.25">
      <c r="A329">
        <v>450.05535888671875</v>
      </c>
      <c r="B329">
        <v>409.31179809570312</v>
      </c>
    </row>
    <row r="330" spans="1:2" x14ac:dyDescent="0.25">
      <c r="A330">
        <v>454.647705078125</v>
      </c>
      <c r="B330">
        <v>370.82012939453125</v>
      </c>
    </row>
    <row r="331" spans="1:2" x14ac:dyDescent="0.25">
      <c r="A331">
        <v>484.12893676757812</v>
      </c>
      <c r="B331">
        <v>264.39096069335937</v>
      </c>
    </row>
    <row r="332" spans="1:2" x14ac:dyDescent="0.25">
      <c r="A332">
        <v>487.36514282226562</v>
      </c>
      <c r="B332">
        <v>263.33242797851562</v>
      </c>
    </row>
    <row r="333" spans="1:2" x14ac:dyDescent="0.25">
      <c r="A333">
        <v>486.23486328125</v>
      </c>
      <c r="B333">
        <v>253.66813659667969</v>
      </c>
    </row>
    <row r="334" spans="1:2" x14ac:dyDescent="0.25">
      <c r="A334">
        <v>468.82928466796875</v>
      </c>
      <c r="B334">
        <v>219.16561889648437</v>
      </c>
    </row>
    <row r="335" spans="1:2" x14ac:dyDescent="0.25">
      <c r="A335">
        <v>419.5006103515625</v>
      </c>
      <c r="B335">
        <v>221.97987365722656</v>
      </c>
    </row>
    <row r="336" spans="1:2" x14ac:dyDescent="0.25">
      <c r="A336">
        <v>297.26956176757812</v>
      </c>
      <c r="B336">
        <v>222.17298889160156</v>
      </c>
    </row>
    <row r="337" spans="1:2" x14ac:dyDescent="0.25">
      <c r="A337">
        <v>311.54376220703125</v>
      </c>
      <c r="B337">
        <v>228.75860595703125</v>
      </c>
    </row>
    <row r="338" spans="1:2" x14ac:dyDescent="0.25">
      <c r="A338">
        <v>290.79928588867187</v>
      </c>
      <c r="B338">
        <v>240.43208312988281</v>
      </c>
    </row>
    <row r="339" spans="1:2" x14ac:dyDescent="0.25">
      <c r="A339">
        <v>260.32858276367187</v>
      </c>
      <c r="B339">
        <v>355.53839111328125</v>
      </c>
    </row>
    <row r="340" spans="1:2" x14ac:dyDescent="0.25">
      <c r="A340">
        <v>266.05438232421875</v>
      </c>
      <c r="B340">
        <v>475.72970581054687</v>
      </c>
    </row>
    <row r="341" spans="1:2" x14ac:dyDescent="0.25">
      <c r="A341">
        <v>266.7369384765625</v>
      </c>
      <c r="B341">
        <v>466.4051513671875</v>
      </c>
    </row>
    <row r="342" spans="1:2" x14ac:dyDescent="0.25">
      <c r="A342">
        <v>274.1048583984375</v>
      </c>
      <c r="B342">
        <v>468.23858642578125</v>
      </c>
    </row>
    <row r="343" spans="1:2" x14ac:dyDescent="0.25">
      <c r="A343">
        <v>293.02127075195312</v>
      </c>
      <c r="B343">
        <v>476.47598266601562</v>
      </c>
    </row>
    <row r="344" spans="1:2" x14ac:dyDescent="0.25">
      <c r="A344">
        <v>426.22271728515625</v>
      </c>
      <c r="B344">
        <v>498.07327270507812</v>
      </c>
    </row>
    <row r="345" spans="1:2" x14ac:dyDescent="0.25">
      <c r="A345">
        <v>550.92791748046875</v>
      </c>
      <c r="B345">
        <v>393.84512329101563</v>
      </c>
    </row>
    <row r="346" spans="1:2" x14ac:dyDescent="0.25">
      <c r="A346">
        <v>537.32769775390625</v>
      </c>
      <c r="B346">
        <v>264.2388916015625</v>
      </c>
    </row>
    <row r="347" spans="1:2" x14ac:dyDescent="0.25">
      <c r="A347">
        <v>542.86383056640625</v>
      </c>
      <c r="B347">
        <v>230.04812622070312</v>
      </c>
    </row>
    <row r="348" spans="1:2" x14ac:dyDescent="0.25">
      <c r="A348">
        <v>552.77557373046875</v>
      </c>
      <c r="B348">
        <v>229.62188720703125</v>
      </c>
    </row>
    <row r="349" spans="1:2" x14ac:dyDescent="0.25">
      <c r="A349">
        <v>576.10125732421875</v>
      </c>
      <c r="B349">
        <v>304.2598876953125</v>
      </c>
    </row>
    <row r="350" spans="1:2" x14ac:dyDescent="0.25">
      <c r="A350">
        <v>442.35507202148437</v>
      </c>
      <c r="B350">
        <v>394.53131103515625</v>
      </c>
    </row>
    <row r="351" spans="1:2" x14ac:dyDescent="0.25">
      <c r="A351">
        <v>303.65380859375</v>
      </c>
      <c r="B351">
        <v>389.11639404296875</v>
      </c>
    </row>
    <row r="352" spans="1:2" x14ac:dyDescent="0.25">
      <c r="A352">
        <v>281.99905395507812</v>
      </c>
      <c r="B352">
        <v>391.32818603515625</v>
      </c>
    </row>
    <row r="353" spans="1:2" x14ac:dyDescent="0.25">
      <c r="A353">
        <v>280.4464111328125</v>
      </c>
      <c r="B353">
        <v>397.49014282226562</v>
      </c>
    </row>
    <row r="354" spans="1:2" x14ac:dyDescent="0.25">
      <c r="A354">
        <v>373.05691528320312</v>
      </c>
      <c r="B354">
        <v>351.45748901367187</v>
      </c>
    </row>
    <row r="355" spans="1:2" x14ac:dyDescent="0.25">
      <c r="A355">
        <v>450.50247192382812</v>
      </c>
      <c r="B355">
        <v>261.05538940429687</v>
      </c>
    </row>
    <row r="356" spans="1:2" x14ac:dyDescent="0.25">
      <c r="A356">
        <v>435.86160278320312</v>
      </c>
      <c r="B356">
        <v>216.75759887695312</v>
      </c>
    </row>
    <row r="357" spans="1:2" x14ac:dyDescent="0.25">
      <c r="A357">
        <v>439.91079711914062</v>
      </c>
      <c r="B357">
        <v>220.95588684082031</v>
      </c>
    </row>
    <row r="358" spans="1:2" x14ac:dyDescent="0.25">
      <c r="A358">
        <v>450.01528930664062</v>
      </c>
      <c r="B358">
        <v>229.96241760253906</v>
      </c>
    </row>
    <row r="359" spans="1:2" x14ac:dyDescent="0.25">
      <c r="A359">
        <v>389.29159545898437</v>
      </c>
      <c r="B359">
        <v>217.56831359863281</v>
      </c>
    </row>
    <row r="360" spans="1:2" x14ac:dyDescent="0.25">
      <c r="A360">
        <v>294.11212158203125</v>
      </c>
      <c r="B360">
        <v>217.87115478515625</v>
      </c>
    </row>
    <row r="361" spans="1:2" x14ac:dyDescent="0.25">
      <c r="A361">
        <v>255.9215087890625</v>
      </c>
      <c r="B361">
        <v>223.80255126953125</v>
      </c>
    </row>
    <row r="362" spans="1:2" x14ac:dyDescent="0.25">
      <c r="A362">
        <v>259.94021606445312</v>
      </c>
      <c r="B362">
        <v>262.91189575195312</v>
      </c>
    </row>
    <row r="363" spans="1:2" x14ac:dyDescent="0.25">
      <c r="A363">
        <v>267.41702270507812</v>
      </c>
      <c r="B363">
        <v>377.04067993164062</v>
      </c>
    </row>
    <row r="364" spans="1:2" x14ac:dyDescent="0.25">
      <c r="A364">
        <v>257.89642333984375</v>
      </c>
      <c r="B364">
        <v>502.47235107421875</v>
      </c>
    </row>
    <row r="365" spans="1:2" x14ac:dyDescent="0.25">
      <c r="A365">
        <v>260.709228515625</v>
      </c>
      <c r="B365">
        <v>515.47821044921875</v>
      </c>
    </row>
    <row r="366" spans="1:2" x14ac:dyDescent="0.25">
      <c r="A366">
        <v>266.5313720703125</v>
      </c>
      <c r="B366">
        <v>525.61737060546875</v>
      </c>
    </row>
    <row r="367" spans="1:2" x14ac:dyDescent="0.25">
      <c r="A367">
        <v>314.11013793945312</v>
      </c>
      <c r="B367">
        <v>529.92364501953125</v>
      </c>
    </row>
    <row r="368" spans="1:2" x14ac:dyDescent="0.25">
      <c r="A368">
        <v>443.70278930664062</v>
      </c>
      <c r="B368">
        <v>522.7989501953125</v>
      </c>
    </row>
    <row r="369" spans="1:2" x14ac:dyDescent="0.25">
      <c r="A369">
        <v>581.39544677734375</v>
      </c>
      <c r="B369">
        <v>510.69778442382812</v>
      </c>
    </row>
    <row r="370" spans="1:2" x14ac:dyDescent="0.25">
      <c r="A370">
        <v>587.66595458984375</v>
      </c>
      <c r="B370">
        <v>469.961669921875</v>
      </c>
    </row>
    <row r="371" spans="1:2" x14ac:dyDescent="0.25">
      <c r="A371">
        <v>604.936767578125</v>
      </c>
      <c r="B371">
        <v>402.92684936523437</v>
      </c>
    </row>
    <row r="372" spans="1:2" x14ac:dyDescent="0.25">
      <c r="A372">
        <v>613.5186767578125</v>
      </c>
      <c r="B372">
        <v>337.38677978515625</v>
      </c>
    </row>
    <row r="373" spans="1:2" x14ac:dyDescent="0.25">
      <c r="A373">
        <v>607.3492431640625</v>
      </c>
      <c r="B373">
        <v>376.6182861328125</v>
      </c>
    </row>
    <row r="374" spans="1:2" x14ac:dyDescent="0.25">
      <c r="A374">
        <v>590.21380615234375</v>
      </c>
      <c r="B374">
        <v>421.86953735351563</v>
      </c>
    </row>
    <row r="375" spans="1:2" x14ac:dyDescent="0.25">
      <c r="A375">
        <v>544.2818603515625</v>
      </c>
      <c r="B375">
        <v>381.62026977539062</v>
      </c>
    </row>
    <row r="376" spans="1:2" x14ac:dyDescent="0.25">
      <c r="A376">
        <v>459.71536254882812</v>
      </c>
      <c r="B376">
        <v>355.08578491210937</v>
      </c>
    </row>
    <row r="377" spans="1:2" x14ac:dyDescent="0.25">
      <c r="A377">
        <v>390.91897583007812</v>
      </c>
      <c r="B377">
        <v>294.38040161132812</v>
      </c>
    </row>
    <row r="378" spans="1:2" x14ac:dyDescent="0.25">
      <c r="A378">
        <v>442.54547119140625</v>
      </c>
      <c r="B378">
        <v>279.20510864257812</v>
      </c>
    </row>
    <row r="379" spans="1:2" x14ac:dyDescent="0.25">
      <c r="A379">
        <v>493.11965942382812</v>
      </c>
      <c r="B379">
        <v>230.083251953125</v>
      </c>
    </row>
    <row r="380" spans="1:2" x14ac:dyDescent="0.25">
      <c r="A380">
        <v>436.35659790039062</v>
      </c>
      <c r="B380">
        <v>256.94882202148437</v>
      </c>
    </row>
    <row r="381" spans="1:2" x14ac:dyDescent="0.25">
      <c r="A381">
        <v>406.61495971679687</v>
      </c>
      <c r="B381">
        <v>241.83236694335938</v>
      </c>
    </row>
    <row r="382" spans="1:2" x14ac:dyDescent="0.25">
      <c r="A382">
        <v>339.38613891601562</v>
      </c>
      <c r="B382">
        <v>240.17692565917969</v>
      </c>
    </row>
    <row r="383" spans="1:2" x14ac:dyDescent="0.25">
      <c r="A383">
        <v>322.25833129882812</v>
      </c>
      <c r="B383">
        <v>239.5643310546875</v>
      </c>
    </row>
    <row r="384" spans="1:2" x14ac:dyDescent="0.25">
      <c r="A384">
        <v>272.24966430664062</v>
      </c>
      <c r="B384">
        <v>236.556396484375</v>
      </c>
    </row>
    <row r="385" spans="1:2" x14ac:dyDescent="0.25">
      <c r="A385">
        <v>308.19424438476562</v>
      </c>
      <c r="B385">
        <v>258.95755004882812</v>
      </c>
    </row>
    <row r="386" spans="1:2" x14ac:dyDescent="0.25">
      <c r="A386">
        <v>286.61672973632812</v>
      </c>
      <c r="B386">
        <v>252.71418762207031</v>
      </c>
    </row>
    <row r="387" spans="1:2" x14ac:dyDescent="0.25">
      <c r="A387">
        <v>285.69290161132812</v>
      </c>
      <c r="B387">
        <v>284.86233520507812</v>
      </c>
    </row>
    <row r="388" spans="1:2" x14ac:dyDescent="0.25">
      <c r="A388">
        <v>285.003173828125</v>
      </c>
      <c r="B388">
        <v>270.0703125</v>
      </c>
    </row>
    <row r="389" spans="1:2" x14ac:dyDescent="0.25">
      <c r="A389">
        <v>282.8851318359375</v>
      </c>
      <c r="B389">
        <v>248.09761047363281</v>
      </c>
    </row>
    <row r="390" spans="1:2" x14ac:dyDescent="0.25">
      <c r="A390">
        <v>311.53164672851563</v>
      </c>
      <c r="B390">
        <v>249.63401794433594</v>
      </c>
    </row>
    <row r="391" spans="1:2" x14ac:dyDescent="0.25">
      <c r="A391">
        <v>295.24929809570312</v>
      </c>
      <c r="B391">
        <v>248.0269775390625</v>
      </c>
    </row>
    <row r="392" spans="1:2" x14ac:dyDescent="0.25">
      <c r="A392">
        <v>341.6285400390625</v>
      </c>
      <c r="B392">
        <v>248.56794738769531</v>
      </c>
    </row>
    <row r="393" spans="1:2" x14ac:dyDescent="0.25">
      <c r="A393">
        <v>316.6427001953125</v>
      </c>
      <c r="B393">
        <v>245.2542724609375</v>
      </c>
    </row>
    <row r="394" spans="1:2" x14ac:dyDescent="0.25">
      <c r="A394">
        <v>294.57913208007813</v>
      </c>
      <c r="B394">
        <v>242.04257202148437</v>
      </c>
    </row>
    <row r="395" spans="1:2" x14ac:dyDescent="0.25">
      <c r="A395">
        <v>298.67926025390625</v>
      </c>
      <c r="B395">
        <v>239.65806579589844</v>
      </c>
    </row>
    <row r="396" spans="1:2" x14ac:dyDescent="0.25">
      <c r="A396">
        <v>295.7979736328125</v>
      </c>
      <c r="B396">
        <v>245.75749206542969</v>
      </c>
    </row>
    <row r="397" spans="1:2" x14ac:dyDescent="0.25">
      <c r="A397">
        <v>294.337646484375</v>
      </c>
      <c r="B397">
        <v>252.41007995605469</v>
      </c>
    </row>
    <row r="398" spans="1:2" x14ac:dyDescent="0.25">
      <c r="A398">
        <v>291.33987426757812</v>
      </c>
      <c r="B398">
        <v>284.8782958984375</v>
      </c>
    </row>
    <row r="399" spans="1:2" x14ac:dyDescent="0.25">
      <c r="A399">
        <v>287.51968383789062</v>
      </c>
      <c r="B399">
        <v>269.1116943359375</v>
      </c>
    </row>
    <row r="400" spans="1:2" x14ac:dyDescent="0.25">
      <c r="A400">
        <v>283.49191284179687</v>
      </c>
      <c r="B400">
        <v>235.45103454589844</v>
      </c>
    </row>
    <row r="401" spans="1:2" x14ac:dyDescent="0.25">
      <c r="A401">
        <v>291.82049560546875</v>
      </c>
      <c r="B401">
        <v>237.09149169921875</v>
      </c>
    </row>
    <row r="402" spans="1:2" x14ac:dyDescent="0.25">
      <c r="A402">
        <v>301.15606689453125</v>
      </c>
      <c r="B402">
        <v>236.7158203125</v>
      </c>
    </row>
    <row r="403" spans="1:2" x14ac:dyDescent="0.25">
      <c r="A403">
        <v>340.65655517578125</v>
      </c>
      <c r="B403">
        <v>237.10736083984375</v>
      </c>
    </row>
    <row r="404" spans="1:2" x14ac:dyDescent="0.25">
      <c r="A404">
        <v>312.17697143554687</v>
      </c>
      <c r="B404">
        <v>214.20947265625</v>
      </c>
    </row>
    <row r="405" spans="1:2" x14ac:dyDescent="0.25">
      <c r="A405">
        <v>286.0260009765625</v>
      </c>
      <c r="B405">
        <v>206.19200134277344</v>
      </c>
    </row>
    <row r="406" spans="1:2" x14ac:dyDescent="0.25">
      <c r="A406">
        <v>286.620361328125</v>
      </c>
      <c r="B406">
        <v>206.57002258300781</v>
      </c>
    </row>
    <row r="407" spans="1:2" x14ac:dyDescent="0.25">
      <c r="A407">
        <v>287.52456665039062</v>
      </c>
      <c r="B407">
        <v>208.21435546875</v>
      </c>
    </row>
    <row r="408" spans="1:2" x14ac:dyDescent="0.25">
      <c r="A408">
        <v>287.86563110351562</v>
      </c>
      <c r="B408">
        <v>206.89701843261719</v>
      </c>
    </row>
    <row r="409" spans="1:2" x14ac:dyDescent="0.25">
      <c r="A409">
        <v>256.61087036132813</v>
      </c>
      <c r="B409">
        <v>208.32159423828125</v>
      </c>
    </row>
    <row r="410" spans="1:2" x14ac:dyDescent="0.25">
      <c r="A410">
        <v>248.14828491210937</v>
      </c>
      <c r="B410">
        <v>218.89427185058594</v>
      </c>
    </row>
    <row r="411" spans="1:2" x14ac:dyDescent="0.25">
      <c r="A411">
        <v>248.93597412109375</v>
      </c>
      <c r="B411">
        <v>230.86679077148437</v>
      </c>
    </row>
    <row r="412" spans="1:2" x14ac:dyDescent="0.25">
      <c r="A412">
        <v>249.74606323242187</v>
      </c>
      <c r="B412">
        <v>218.79716491699219</v>
      </c>
    </row>
    <row r="413" spans="1:2" x14ac:dyDescent="0.25">
      <c r="A413">
        <v>253.95416259765625</v>
      </c>
      <c r="B413">
        <v>223.5726318359375</v>
      </c>
    </row>
    <row r="414" spans="1:2" x14ac:dyDescent="0.25">
      <c r="A414">
        <v>254.7589111328125</v>
      </c>
      <c r="B414">
        <v>230.83197021484375</v>
      </c>
    </row>
    <row r="415" spans="1:2" x14ac:dyDescent="0.25">
      <c r="A415">
        <v>269.58694458007813</v>
      </c>
      <c r="B415">
        <v>226.88284301757812</v>
      </c>
    </row>
    <row r="416" spans="1:2" x14ac:dyDescent="0.25">
      <c r="A416">
        <v>279.91021728515625</v>
      </c>
      <c r="B416">
        <v>220.50117492675781</v>
      </c>
    </row>
    <row r="417" spans="1:2" x14ac:dyDescent="0.25">
      <c r="A417">
        <v>266.49298095703125</v>
      </c>
      <c r="B417">
        <v>220.36454772949219</v>
      </c>
    </row>
    <row r="418" spans="1:2" x14ac:dyDescent="0.25">
      <c r="A418">
        <v>273.27304077148437</v>
      </c>
      <c r="B418">
        <v>219.40223693847656</v>
      </c>
    </row>
    <row r="419" spans="1:2" x14ac:dyDescent="0.25">
      <c r="A419">
        <v>280.10165405273437</v>
      </c>
      <c r="B419">
        <v>218.23420715332031</v>
      </c>
    </row>
    <row r="420" spans="1:2" x14ac:dyDescent="0.25">
      <c r="A420">
        <v>269.90814208984375</v>
      </c>
      <c r="B420">
        <v>218.2642822265625</v>
      </c>
    </row>
    <row r="421" spans="1:2" x14ac:dyDescent="0.25">
      <c r="A421">
        <v>263.40753173828125</v>
      </c>
      <c r="B421">
        <v>232.37969970703125</v>
      </c>
    </row>
    <row r="422" spans="1:2" x14ac:dyDescent="0.25">
      <c r="A422">
        <v>259.20889282226562</v>
      </c>
      <c r="B422">
        <v>291.39767456054687</v>
      </c>
    </row>
    <row r="423" spans="1:2" x14ac:dyDescent="0.25">
      <c r="A423">
        <v>258.78707885742187</v>
      </c>
      <c r="B423">
        <v>413.21218872070312</v>
      </c>
    </row>
    <row r="424" spans="1:2" x14ac:dyDescent="0.25">
      <c r="A424">
        <v>257.94601440429688</v>
      </c>
      <c r="B424">
        <v>426.40762329101562</v>
      </c>
    </row>
    <row r="425" spans="1:2" x14ac:dyDescent="0.25">
      <c r="A425">
        <v>259.08572387695312</v>
      </c>
      <c r="B425">
        <v>389.71163940429688</v>
      </c>
    </row>
    <row r="426" spans="1:2" x14ac:dyDescent="0.25">
      <c r="A426">
        <v>276.43020629882812</v>
      </c>
      <c r="B426">
        <v>297.23117065429687</v>
      </c>
    </row>
    <row r="427" spans="1:2" x14ac:dyDescent="0.25">
      <c r="A427">
        <v>341.88754272460937</v>
      </c>
      <c r="B427">
        <v>232.4091796875</v>
      </c>
    </row>
    <row r="428" spans="1:2" x14ac:dyDescent="0.25">
      <c r="A428">
        <v>481.6346435546875</v>
      </c>
      <c r="B428">
        <v>224.71015930175781</v>
      </c>
    </row>
    <row r="429" spans="1:2" x14ac:dyDescent="0.25">
      <c r="A429">
        <v>488.07186889648437</v>
      </c>
      <c r="B429">
        <v>223.29219055175781</v>
      </c>
    </row>
    <row r="430" spans="1:2" x14ac:dyDescent="0.25">
      <c r="A430">
        <v>440.98358154296875</v>
      </c>
      <c r="B430">
        <v>218.576904296875</v>
      </c>
    </row>
    <row r="431" spans="1:2" x14ac:dyDescent="0.25">
      <c r="A431">
        <v>338.77816772460937</v>
      </c>
      <c r="B431">
        <v>220.93376159667969</v>
      </c>
    </row>
    <row r="432" spans="1:2" x14ac:dyDescent="0.25">
      <c r="A432">
        <v>270.621337890625</v>
      </c>
      <c r="B432">
        <v>223.54617309570312</v>
      </c>
    </row>
    <row r="433" spans="1:2" x14ac:dyDescent="0.25">
      <c r="A433">
        <v>263.45309448242187</v>
      </c>
      <c r="B433">
        <v>239.389892578125</v>
      </c>
    </row>
    <row r="434" spans="1:2" x14ac:dyDescent="0.25">
      <c r="A434">
        <v>261.48367309570312</v>
      </c>
      <c r="B434">
        <v>276.5062255859375</v>
      </c>
    </row>
    <row r="435" spans="1:2" x14ac:dyDescent="0.25">
      <c r="A435">
        <v>256.20257568359375</v>
      </c>
      <c r="B435">
        <v>348.5157470703125</v>
      </c>
    </row>
    <row r="436" spans="1:2" x14ac:dyDescent="0.25">
      <c r="A436">
        <v>259.52200317382812</v>
      </c>
      <c r="B436">
        <v>414.6915283203125</v>
      </c>
    </row>
    <row r="437" spans="1:2" x14ac:dyDescent="0.25">
      <c r="A437">
        <v>261.69775390625</v>
      </c>
      <c r="B437">
        <v>333.36395263671875</v>
      </c>
    </row>
    <row r="438" spans="1:2" x14ac:dyDescent="0.25">
      <c r="A438">
        <v>276.7978515625</v>
      </c>
      <c r="B438">
        <v>422.66305541992187</v>
      </c>
    </row>
    <row r="439" spans="1:2" x14ac:dyDescent="0.25">
      <c r="A439">
        <v>320.02252197265625</v>
      </c>
      <c r="B439">
        <v>426.71755981445312</v>
      </c>
    </row>
    <row r="440" spans="1:2" x14ac:dyDescent="0.25">
      <c r="A440">
        <v>401.6976318359375</v>
      </c>
      <c r="B440">
        <v>373.67257690429687</v>
      </c>
    </row>
    <row r="441" spans="1:2" x14ac:dyDescent="0.25">
      <c r="A441">
        <v>462.52374267578125</v>
      </c>
      <c r="B441">
        <v>328.5750732421875</v>
      </c>
    </row>
    <row r="442" spans="1:2" x14ac:dyDescent="0.25">
      <c r="A442">
        <v>381.21566772460937</v>
      </c>
      <c r="B442">
        <v>318.47122192382812</v>
      </c>
    </row>
    <row r="443" spans="1:2" x14ac:dyDescent="0.25">
      <c r="A443">
        <v>485.58688354492188</v>
      </c>
      <c r="B443">
        <v>289.9837646484375</v>
      </c>
    </row>
    <row r="444" spans="1:2" x14ac:dyDescent="0.25">
      <c r="A444">
        <v>473.58648681640625</v>
      </c>
      <c r="B444">
        <v>278.733154296875</v>
      </c>
    </row>
    <row r="445" spans="1:2" x14ac:dyDescent="0.25">
      <c r="A445">
        <v>409.59762573242187</v>
      </c>
      <c r="B445">
        <v>300.33395385742187</v>
      </c>
    </row>
    <row r="446" spans="1:2" x14ac:dyDescent="0.25">
      <c r="A446">
        <v>364.70516967773437</v>
      </c>
      <c r="B446">
        <v>351.28140258789062</v>
      </c>
    </row>
    <row r="447" spans="1:2" x14ac:dyDescent="0.25">
      <c r="A447">
        <v>354.21539306640625</v>
      </c>
      <c r="B447">
        <v>360.32369995117187</v>
      </c>
    </row>
    <row r="448" spans="1:2" x14ac:dyDescent="0.25">
      <c r="A448">
        <v>335.22210693359375</v>
      </c>
      <c r="B448">
        <v>281.39407348632812</v>
      </c>
    </row>
    <row r="449" spans="1:2" x14ac:dyDescent="0.25">
      <c r="A449">
        <v>310.54965209960937</v>
      </c>
      <c r="B449">
        <v>226.81158447265625</v>
      </c>
    </row>
    <row r="450" spans="1:2" x14ac:dyDescent="0.25">
      <c r="A450">
        <v>341.9605712890625</v>
      </c>
      <c r="B450">
        <v>217.68693542480469</v>
      </c>
    </row>
    <row r="451" spans="1:2" x14ac:dyDescent="0.25">
      <c r="A451">
        <v>393.83273315429687</v>
      </c>
      <c r="B451">
        <v>210.02285766601562</v>
      </c>
    </row>
    <row r="452" spans="1:2" x14ac:dyDescent="0.25">
      <c r="A452">
        <v>393.76669311523437</v>
      </c>
      <c r="B452">
        <v>207.29519653320312</v>
      </c>
    </row>
    <row r="453" spans="1:2" x14ac:dyDescent="0.25">
      <c r="A453">
        <v>306.67315673828125</v>
      </c>
      <c r="B453">
        <v>207.1302490234375</v>
      </c>
    </row>
    <row r="454" spans="1:2" x14ac:dyDescent="0.25">
      <c r="A454">
        <v>258.49420166015625</v>
      </c>
      <c r="B454">
        <v>208.4849853515625</v>
      </c>
    </row>
    <row r="455" spans="1:2" x14ac:dyDescent="0.25">
      <c r="A455">
        <v>248.01667785644531</v>
      </c>
      <c r="B455">
        <v>209.87001037597656</v>
      </c>
    </row>
    <row r="456" spans="1:2" x14ac:dyDescent="0.25">
      <c r="A456">
        <v>242.32377624511719</v>
      </c>
      <c r="B456">
        <v>214.01310729980469</v>
      </c>
    </row>
    <row r="457" spans="1:2" x14ac:dyDescent="0.25">
      <c r="A457">
        <v>244.29840087890625</v>
      </c>
      <c r="B457">
        <v>217.97137451171875</v>
      </c>
    </row>
    <row r="458" spans="1:2" x14ac:dyDescent="0.25">
      <c r="A458">
        <v>246.96083068847656</v>
      </c>
      <c r="B458">
        <v>285.68515014648437</v>
      </c>
    </row>
    <row r="459" spans="1:2" x14ac:dyDescent="0.25">
      <c r="A459">
        <v>249.96047973632812</v>
      </c>
      <c r="B459">
        <v>293.20639038085937</v>
      </c>
    </row>
    <row r="460" spans="1:2" x14ac:dyDescent="0.25">
      <c r="A460">
        <v>252.45872497558594</v>
      </c>
      <c r="B460">
        <v>294.07098388671875</v>
      </c>
    </row>
    <row r="461" spans="1:2" x14ac:dyDescent="0.25">
      <c r="A461">
        <v>258.30352783203125</v>
      </c>
      <c r="B461">
        <v>295.33865356445312</v>
      </c>
    </row>
    <row r="462" spans="1:2" x14ac:dyDescent="0.25">
      <c r="A462">
        <v>261.8282470703125</v>
      </c>
      <c r="B462">
        <v>290.4691162109375</v>
      </c>
    </row>
    <row r="463" spans="1:2" x14ac:dyDescent="0.25">
      <c r="A463">
        <v>348.75466918945312</v>
      </c>
      <c r="B463">
        <v>292.42483520507812</v>
      </c>
    </row>
    <row r="464" spans="1:2" x14ac:dyDescent="0.25">
      <c r="A464">
        <v>334.24197387695312</v>
      </c>
      <c r="B464">
        <v>276.3734130859375</v>
      </c>
    </row>
    <row r="465" spans="1:2" x14ac:dyDescent="0.25">
      <c r="A465">
        <v>336.38043212890625</v>
      </c>
      <c r="B465">
        <v>275.51681518554687</v>
      </c>
    </row>
    <row r="466" spans="1:2" x14ac:dyDescent="0.25">
      <c r="A466">
        <v>336.51593017578125</v>
      </c>
      <c r="B466">
        <v>259.34771728515625</v>
      </c>
    </row>
    <row r="467" spans="1:2" x14ac:dyDescent="0.25">
      <c r="A467">
        <v>327.500244140625</v>
      </c>
      <c r="B467">
        <v>254.16007995605469</v>
      </c>
    </row>
    <row r="468" spans="1:2" x14ac:dyDescent="0.25">
      <c r="A468">
        <v>327.7191162109375</v>
      </c>
      <c r="B468">
        <v>261.50408935546875</v>
      </c>
    </row>
    <row r="469" spans="1:2" x14ac:dyDescent="0.25">
      <c r="A469">
        <v>316.42425537109375</v>
      </c>
      <c r="B469">
        <v>364.9970703125</v>
      </c>
    </row>
    <row r="470" spans="1:2" x14ac:dyDescent="0.25">
      <c r="A470">
        <v>313.928466796875</v>
      </c>
      <c r="B470">
        <v>455.53878784179687</v>
      </c>
    </row>
    <row r="471" spans="1:2" x14ac:dyDescent="0.25">
      <c r="A471">
        <v>291.94461059570312</v>
      </c>
      <c r="B471">
        <v>419.6488037109375</v>
      </c>
    </row>
    <row r="472" spans="1:2" x14ac:dyDescent="0.25">
      <c r="A472">
        <v>297.84536743164063</v>
      </c>
      <c r="B472">
        <v>417.4599609375</v>
      </c>
    </row>
    <row r="473" spans="1:2" x14ac:dyDescent="0.25">
      <c r="A473">
        <v>311.64620971679687</v>
      </c>
      <c r="B473">
        <v>379.77578735351562</v>
      </c>
    </row>
    <row r="474" spans="1:2" x14ac:dyDescent="0.25">
      <c r="A474">
        <v>432.2403564453125</v>
      </c>
      <c r="B474">
        <v>269.09451293945313</v>
      </c>
    </row>
    <row r="475" spans="1:2" x14ac:dyDescent="0.25">
      <c r="A475">
        <v>523.733642578125</v>
      </c>
      <c r="B475">
        <v>229.57891845703125</v>
      </c>
    </row>
    <row r="476" spans="1:2" x14ac:dyDescent="0.25">
      <c r="A476">
        <v>471.13946533203125</v>
      </c>
      <c r="B476">
        <v>211.47476196289062</v>
      </c>
    </row>
    <row r="477" spans="1:2" x14ac:dyDescent="0.25">
      <c r="A477">
        <v>462.89715576171875</v>
      </c>
      <c r="B477">
        <v>208.96255493164062</v>
      </c>
    </row>
    <row r="478" spans="1:2" x14ac:dyDescent="0.25">
      <c r="A478">
        <v>413.1317138671875</v>
      </c>
      <c r="B478">
        <v>209.51930236816406</v>
      </c>
    </row>
    <row r="479" spans="1:2" x14ac:dyDescent="0.25">
      <c r="A479">
        <v>298.36038208007812</v>
      </c>
      <c r="B479">
        <v>210.66119384765625</v>
      </c>
    </row>
    <row r="480" spans="1:2" x14ac:dyDescent="0.25">
      <c r="A480">
        <v>270.8087158203125</v>
      </c>
      <c r="B480">
        <v>210.43672180175781</v>
      </c>
    </row>
    <row r="481" spans="1:2" x14ac:dyDescent="0.25">
      <c r="A481">
        <v>253.72236633300781</v>
      </c>
      <c r="B481">
        <v>219.26123046875</v>
      </c>
    </row>
    <row r="482" spans="1:2" x14ac:dyDescent="0.25">
      <c r="A482">
        <v>251.79508972167969</v>
      </c>
      <c r="B482">
        <v>233.04386901855469</v>
      </c>
    </row>
    <row r="483" spans="1:2" x14ac:dyDescent="0.25">
      <c r="A483">
        <v>254.40290832519531</v>
      </c>
      <c r="B483">
        <v>332.162353515625</v>
      </c>
    </row>
    <row r="484" spans="1:2" x14ac:dyDescent="0.25">
      <c r="A484">
        <v>257.03475952148437</v>
      </c>
      <c r="B484">
        <v>418.45217895507812</v>
      </c>
    </row>
    <row r="485" spans="1:2" x14ac:dyDescent="0.25">
      <c r="A485">
        <v>258.302978515625</v>
      </c>
      <c r="B485">
        <v>399.46401977539062</v>
      </c>
    </row>
    <row r="486" spans="1:2" x14ac:dyDescent="0.25">
      <c r="A486">
        <v>259.721435546875</v>
      </c>
      <c r="B486">
        <v>380.72988891601562</v>
      </c>
    </row>
    <row r="487" spans="1:2" x14ac:dyDescent="0.25">
      <c r="A487">
        <v>269.99252319335937</v>
      </c>
      <c r="B487">
        <v>415.59832763671875</v>
      </c>
    </row>
    <row r="488" spans="1:2" x14ac:dyDescent="0.25">
      <c r="A488">
        <v>381.39288330078125</v>
      </c>
      <c r="B488">
        <v>402.1904296875</v>
      </c>
    </row>
    <row r="489" spans="1:2" x14ac:dyDescent="0.25">
      <c r="A489">
        <v>462.397216796875</v>
      </c>
      <c r="B489">
        <v>349.42135620117187</v>
      </c>
    </row>
    <row r="490" spans="1:2" x14ac:dyDescent="0.25">
      <c r="A490">
        <v>441.83786010742187</v>
      </c>
      <c r="B490">
        <v>353.29119873046875</v>
      </c>
    </row>
    <row r="491" spans="1:2" x14ac:dyDescent="0.25">
      <c r="A491">
        <v>432.07180786132813</v>
      </c>
      <c r="B491">
        <v>349.87875366210937</v>
      </c>
    </row>
    <row r="492" spans="1:2" x14ac:dyDescent="0.25">
      <c r="A492">
        <v>480.69589233398437</v>
      </c>
      <c r="B492">
        <v>359.77304077148437</v>
      </c>
    </row>
    <row r="493" spans="1:2" x14ac:dyDescent="0.25">
      <c r="A493">
        <v>455.42041015625</v>
      </c>
      <c r="B493">
        <v>447.0260009765625</v>
      </c>
    </row>
    <row r="494" spans="1:2" x14ac:dyDescent="0.25">
      <c r="A494">
        <v>394.38671875</v>
      </c>
      <c r="B494">
        <v>517.48980712890625</v>
      </c>
    </row>
    <row r="495" spans="1:2" x14ac:dyDescent="0.25">
      <c r="A495">
        <v>403.82305908203125</v>
      </c>
      <c r="B495">
        <v>523.04266357421875</v>
      </c>
    </row>
    <row r="496" spans="1:2" x14ac:dyDescent="0.25">
      <c r="A496">
        <v>399.40603637695312</v>
      </c>
      <c r="B496">
        <v>524.60546875</v>
      </c>
    </row>
    <row r="497" spans="1:2" x14ac:dyDescent="0.25">
      <c r="A497">
        <v>417.64035034179687</v>
      </c>
      <c r="B497">
        <v>504.34576416015625</v>
      </c>
    </row>
    <row r="498" spans="1:2" x14ac:dyDescent="0.25">
      <c r="A498">
        <v>518.21917724609375</v>
      </c>
      <c r="B498">
        <v>418.596435546875</v>
      </c>
    </row>
    <row r="499" spans="1:2" x14ac:dyDescent="0.25">
      <c r="A499">
        <v>596.02392578125</v>
      </c>
      <c r="B499">
        <v>322.22518920898437</v>
      </c>
    </row>
    <row r="500" spans="1:2" x14ac:dyDescent="0.25">
      <c r="A500">
        <v>601.26251220703125</v>
      </c>
      <c r="B500">
        <v>251.29356384277344</v>
      </c>
    </row>
    <row r="501" spans="1:2" x14ac:dyDescent="0.25">
      <c r="A501">
        <v>602.05804443359375</v>
      </c>
      <c r="B501">
        <v>207.43782043457031</v>
      </c>
    </row>
    <row r="502" spans="1:2" x14ac:dyDescent="0.25">
      <c r="A502">
        <v>576.20977783203125</v>
      </c>
      <c r="B502">
        <v>208.87657165527344</v>
      </c>
    </row>
    <row r="503" spans="1:2" x14ac:dyDescent="0.25">
      <c r="A503">
        <v>467.53579711914062</v>
      </c>
      <c r="B503">
        <v>210.57865905761719</v>
      </c>
    </row>
    <row r="504" spans="1:2" x14ac:dyDescent="0.25">
      <c r="A504">
        <v>368.44345092773437</v>
      </c>
      <c r="B504">
        <v>215.28233337402344</v>
      </c>
    </row>
    <row r="505" spans="1:2" x14ac:dyDescent="0.25">
      <c r="A505">
        <v>287.09365844726562</v>
      </c>
      <c r="B505">
        <v>212.20065307617187</v>
      </c>
    </row>
    <row r="506" spans="1:2" x14ac:dyDescent="0.25">
      <c r="A506">
        <v>249.08207702636719</v>
      </c>
      <c r="B506">
        <v>282.8570556640625</v>
      </c>
    </row>
    <row r="507" spans="1:2" x14ac:dyDescent="0.25">
      <c r="A507">
        <v>252.37519836425781</v>
      </c>
      <c r="B507">
        <v>426.5714111328125</v>
      </c>
    </row>
    <row r="508" spans="1:2" x14ac:dyDescent="0.25">
      <c r="A508">
        <v>253.68218994140625</v>
      </c>
      <c r="B508">
        <v>503.13095092773437</v>
      </c>
    </row>
    <row r="509" spans="1:2" x14ac:dyDescent="0.25">
      <c r="A509">
        <v>258.68954467773438</v>
      </c>
      <c r="B509">
        <v>526.6463623046875</v>
      </c>
    </row>
    <row r="510" spans="1:2" x14ac:dyDescent="0.25">
      <c r="A510">
        <v>253.79901123046875</v>
      </c>
      <c r="B510">
        <v>520.28802490234375</v>
      </c>
    </row>
    <row r="511" spans="1:2" x14ac:dyDescent="0.25">
      <c r="A511">
        <v>341.7401123046875</v>
      </c>
      <c r="B511">
        <v>508.934814453125</v>
      </c>
    </row>
    <row r="512" spans="1:2" x14ac:dyDescent="0.25">
      <c r="A512">
        <v>504.385986328125</v>
      </c>
      <c r="B512">
        <v>458.39080810546875</v>
      </c>
    </row>
    <row r="513" spans="1:2" x14ac:dyDescent="0.25">
      <c r="A513">
        <v>579.3056640625</v>
      </c>
      <c r="B513">
        <v>378.22006225585938</v>
      </c>
    </row>
    <row r="514" spans="1:2" x14ac:dyDescent="0.25">
      <c r="A514">
        <v>603.868408203125</v>
      </c>
      <c r="B514">
        <v>400.26126098632812</v>
      </c>
    </row>
    <row r="515" spans="1:2" x14ac:dyDescent="0.25">
      <c r="A515">
        <v>591.51678466796875</v>
      </c>
      <c r="B515">
        <v>427.396240234375</v>
      </c>
    </row>
    <row r="516" spans="1:2" x14ac:dyDescent="0.25">
      <c r="A516">
        <v>574.72607421875</v>
      </c>
      <c r="B516">
        <v>439.05752563476562</v>
      </c>
    </row>
    <row r="517" spans="1:2" x14ac:dyDescent="0.25">
      <c r="A517">
        <v>514.9935302734375</v>
      </c>
      <c r="B517">
        <v>463.39508056640625</v>
      </c>
    </row>
    <row r="518" spans="1:2" x14ac:dyDescent="0.25">
      <c r="A518">
        <v>428.03451538085937</v>
      </c>
      <c r="B518">
        <v>493.84445190429688</v>
      </c>
    </row>
    <row r="519" spans="1:2" x14ac:dyDescent="0.25">
      <c r="A519">
        <v>457.56591796875</v>
      </c>
      <c r="B519">
        <v>522.73345947265625</v>
      </c>
    </row>
    <row r="520" spans="1:2" x14ac:dyDescent="0.25">
      <c r="A520">
        <v>494.046630859375</v>
      </c>
      <c r="B520">
        <v>523.57196044921875</v>
      </c>
    </row>
    <row r="521" spans="1:2" x14ac:dyDescent="0.25">
      <c r="A521">
        <v>510.88848876953125</v>
      </c>
      <c r="B521">
        <v>468.3885498046875</v>
      </c>
    </row>
    <row r="522" spans="1:2" x14ac:dyDescent="0.25">
      <c r="A522">
        <v>542.8892822265625</v>
      </c>
      <c r="B522">
        <v>325.84152221679687</v>
      </c>
    </row>
    <row r="523" spans="1:2" x14ac:dyDescent="0.25">
      <c r="A523">
        <v>578.54840087890625</v>
      </c>
      <c r="B523">
        <v>216.88339233398438</v>
      </c>
    </row>
    <row r="524" spans="1:2" x14ac:dyDescent="0.25">
      <c r="A524">
        <v>615.8858642578125</v>
      </c>
      <c r="B524">
        <v>209.16160583496094</v>
      </c>
    </row>
    <row r="525" spans="1:2" x14ac:dyDescent="0.25">
      <c r="A525">
        <v>612.193603515625</v>
      </c>
      <c r="B525">
        <v>204.89491271972656</v>
      </c>
    </row>
    <row r="526" spans="1:2" x14ac:dyDescent="0.25">
      <c r="A526">
        <v>537.9573974609375</v>
      </c>
      <c r="B526">
        <v>205.23020935058594</v>
      </c>
    </row>
    <row r="527" spans="1:2" x14ac:dyDescent="0.25">
      <c r="A527">
        <v>369.13433837890625</v>
      </c>
      <c r="B527">
        <v>205.38397216796875</v>
      </c>
    </row>
    <row r="528" spans="1:2" x14ac:dyDescent="0.25">
      <c r="A528">
        <v>254.55683898925781</v>
      </c>
      <c r="B528">
        <v>205.59268188476562</v>
      </c>
    </row>
    <row r="529" spans="1:2" x14ac:dyDescent="0.25">
      <c r="A529">
        <v>249.16380310058594</v>
      </c>
      <c r="B529">
        <v>208.35858154296875</v>
      </c>
    </row>
    <row r="530" spans="1:2" x14ac:dyDescent="0.25">
      <c r="A530">
        <v>244.41091918945312</v>
      </c>
      <c r="B530">
        <v>244.69070434570312</v>
      </c>
    </row>
    <row r="531" spans="1:2" x14ac:dyDescent="0.25">
      <c r="A531">
        <v>244.24851989746094</v>
      </c>
      <c r="B531">
        <v>375.02108764648437</v>
      </c>
    </row>
    <row r="532" spans="1:2" x14ac:dyDescent="0.25">
      <c r="A532">
        <v>245.89828491210937</v>
      </c>
      <c r="B532">
        <v>453.24636840820312</v>
      </c>
    </row>
    <row r="533" spans="1:2" x14ac:dyDescent="0.25">
      <c r="A533">
        <v>245.36322021484375</v>
      </c>
      <c r="B533">
        <v>450.19964599609375</v>
      </c>
    </row>
    <row r="534" spans="1:2" x14ac:dyDescent="0.25">
      <c r="A534">
        <v>247.39765930175781</v>
      </c>
      <c r="B534">
        <v>483.54995727539062</v>
      </c>
    </row>
    <row r="535" spans="1:2" x14ac:dyDescent="0.25">
      <c r="A535">
        <v>298.27835083007812</v>
      </c>
      <c r="B535">
        <v>523.29254150390625</v>
      </c>
    </row>
    <row r="536" spans="1:2" x14ac:dyDescent="0.25">
      <c r="A536">
        <v>453.36810302734375</v>
      </c>
      <c r="B536">
        <v>513.405029296875</v>
      </c>
    </row>
    <row r="537" spans="1:2" x14ac:dyDescent="0.25">
      <c r="A537">
        <v>525.69049072265625</v>
      </c>
      <c r="B537">
        <v>425.88201904296875</v>
      </c>
    </row>
    <row r="538" spans="1:2" x14ac:dyDescent="0.25">
      <c r="A538">
        <v>523.165283203125</v>
      </c>
      <c r="B538">
        <v>346.4893798828125</v>
      </c>
    </row>
    <row r="539" spans="1:2" x14ac:dyDescent="0.25">
      <c r="A539">
        <v>554.3336181640625</v>
      </c>
      <c r="B539">
        <v>338.37942504882812</v>
      </c>
    </row>
    <row r="540" spans="1:2" x14ac:dyDescent="0.25">
      <c r="A540">
        <v>594.3895263671875</v>
      </c>
      <c r="B540">
        <v>379.29647827148437</v>
      </c>
    </row>
    <row r="541" spans="1:2" x14ac:dyDescent="0.25">
      <c r="A541">
        <v>577.90692138671875</v>
      </c>
      <c r="B541">
        <v>456.28060913085937</v>
      </c>
    </row>
    <row r="542" spans="1:2" x14ac:dyDescent="0.25">
      <c r="A542">
        <v>471.51312255859375</v>
      </c>
      <c r="B542">
        <v>465.30014038085937</v>
      </c>
    </row>
    <row r="543" spans="1:2" x14ac:dyDescent="0.25">
      <c r="A543">
        <v>389.03216552734375</v>
      </c>
      <c r="B543">
        <v>459.40335083007812</v>
      </c>
    </row>
    <row r="544" spans="1:2" x14ac:dyDescent="0.25">
      <c r="A544">
        <v>386.336181640625</v>
      </c>
      <c r="B544">
        <v>462.95211791992187</v>
      </c>
    </row>
    <row r="545" spans="1:2" x14ac:dyDescent="0.25">
      <c r="A545">
        <v>440.18728637695312</v>
      </c>
      <c r="B545">
        <v>448.59527587890625</v>
      </c>
    </row>
    <row r="546" spans="1:2" x14ac:dyDescent="0.25">
      <c r="A546">
        <v>530.01849365234375</v>
      </c>
      <c r="B546">
        <v>321.82638549804687</v>
      </c>
    </row>
    <row r="547" spans="1:2" x14ac:dyDescent="0.25">
      <c r="A547">
        <v>536.1893310546875</v>
      </c>
      <c r="B547">
        <v>254.38807678222656</v>
      </c>
    </row>
    <row r="548" spans="1:2" x14ac:dyDescent="0.25">
      <c r="A548">
        <v>527.80999755859375</v>
      </c>
      <c r="B548">
        <v>223.95184326171875</v>
      </c>
    </row>
    <row r="549" spans="1:2" x14ac:dyDescent="0.25">
      <c r="A549">
        <v>534.696044921875</v>
      </c>
      <c r="B549">
        <v>260.66201782226562</v>
      </c>
    </row>
    <row r="550" spans="1:2" x14ac:dyDescent="0.25">
      <c r="A550">
        <v>518.03497314453125</v>
      </c>
      <c r="B550">
        <v>219.77729797363281</v>
      </c>
    </row>
    <row r="551" spans="1:2" x14ac:dyDescent="0.25">
      <c r="A551">
        <v>368.55032348632812</v>
      </c>
      <c r="B551">
        <v>218.39968872070312</v>
      </c>
    </row>
    <row r="552" spans="1:2" x14ac:dyDescent="0.25">
      <c r="A552">
        <v>305.51034545898437</v>
      </c>
      <c r="B552">
        <v>218.21543884277344</v>
      </c>
    </row>
    <row r="553" spans="1:2" x14ac:dyDescent="0.25">
      <c r="A553">
        <v>271.14395141601562</v>
      </c>
      <c r="B553">
        <v>221.45802307128906</v>
      </c>
    </row>
    <row r="554" spans="1:2" x14ac:dyDescent="0.25">
      <c r="A554">
        <v>308.90658569335937</v>
      </c>
      <c r="B554">
        <v>208.26240539550781</v>
      </c>
    </row>
    <row r="555" spans="1:2" x14ac:dyDescent="0.25">
      <c r="A555">
        <v>256.5726318359375</v>
      </c>
      <c r="B555">
        <v>226.45182800292969</v>
      </c>
    </row>
    <row r="556" spans="1:2" x14ac:dyDescent="0.25">
      <c r="A556">
        <v>255.94732666015625</v>
      </c>
      <c r="B556">
        <v>291.23086547851562</v>
      </c>
    </row>
    <row r="557" spans="1:2" x14ac:dyDescent="0.25">
      <c r="A557">
        <v>258.3858642578125</v>
      </c>
      <c r="B557">
        <v>405.29061889648437</v>
      </c>
    </row>
    <row r="558" spans="1:2" x14ac:dyDescent="0.25">
      <c r="A558">
        <v>267.4554443359375</v>
      </c>
      <c r="B558">
        <v>477.49322509765625</v>
      </c>
    </row>
    <row r="559" spans="1:2" x14ac:dyDescent="0.25">
      <c r="A559">
        <v>257.83749389648437</v>
      </c>
      <c r="B559">
        <v>519.48736572265625</v>
      </c>
    </row>
    <row r="560" spans="1:2" x14ac:dyDescent="0.25">
      <c r="A560">
        <v>285.73849487304687</v>
      </c>
      <c r="B560">
        <v>477.03964233398437</v>
      </c>
    </row>
    <row r="561" spans="1:2" x14ac:dyDescent="0.25">
      <c r="A561">
        <v>367.4993896484375</v>
      </c>
      <c r="B561">
        <v>377.626220703125</v>
      </c>
    </row>
    <row r="562" spans="1:2" x14ac:dyDescent="0.25">
      <c r="A562">
        <v>492.59228515625</v>
      </c>
      <c r="B562">
        <v>259.41177368164062</v>
      </c>
    </row>
    <row r="563" spans="1:2" x14ac:dyDescent="0.25">
      <c r="A563">
        <v>564.08917236328125</v>
      </c>
      <c r="B563">
        <v>208.65077209472656</v>
      </c>
    </row>
    <row r="564" spans="1:2" x14ac:dyDescent="0.25">
      <c r="A564">
        <v>605.115234375</v>
      </c>
      <c r="B564">
        <v>210.43711853027344</v>
      </c>
    </row>
    <row r="565" spans="1:2" x14ac:dyDescent="0.25">
      <c r="A565">
        <v>544.447265625</v>
      </c>
      <c r="B565">
        <v>276.87701416015625</v>
      </c>
    </row>
    <row r="566" spans="1:2" x14ac:dyDescent="0.25">
      <c r="A566">
        <v>423.23611450195313</v>
      </c>
      <c r="B566">
        <v>419.26705932617188</v>
      </c>
    </row>
    <row r="567" spans="1:2" x14ac:dyDescent="0.25">
      <c r="A567">
        <v>296.61819458007812</v>
      </c>
      <c r="B567">
        <v>464.43121337890625</v>
      </c>
    </row>
    <row r="568" spans="1:2" x14ac:dyDescent="0.25">
      <c r="A568">
        <v>253.31294250488281</v>
      </c>
      <c r="B568">
        <v>445.30526733398437</v>
      </c>
    </row>
    <row r="569" spans="1:2" x14ac:dyDescent="0.25">
      <c r="A569">
        <v>260.4971923828125</v>
      </c>
      <c r="B569">
        <v>359.49444580078125</v>
      </c>
    </row>
    <row r="570" spans="1:2" x14ac:dyDescent="0.25">
      <c r="A570">
        <v>342.802490234375</v>
      </c>
      <c r="B570">
        <v>282.0965576171875</v>
      </c>
    </row>
    <row r="571" spans="1:2" x14ac:dyDescent="0.25">
      <c r="A571">
        <v>496.63922119140625</v>
      </c>
      <c r="B571">
        <v>214.19940185546875</v>
      </c>
    </row>
    <row r="572" spans="1:2" x14ac:dyDescent="0.25">
      <c r="A572">
        <v>534.00152587890625</v>
      </c>
      <c r="B572">
        <v>212.00450134277344</v>
      </c>
    </row>
    <row r="573" spans="1:2" x14ac:dyDescent="0.25">
      <c r="A573">
        <v>510.91748046875</v>
      </c>
      <c r="B573">
        <v>215.34735107421875</v>
      </c>
    </row>
    <row r="574" spans="1:2" x14ac:dyDescent="0.25">
      <c r="A574">
        <v>410.33297729492187</v>
      </c>
      <c r="B574">
        <v>216.49909973144531</v>
      </c>
    </row>
    <row r="575" spans="1:2" x14ac:dyDescent="0.25">
      <c r="A575">
        <v>325.93896484375</v>
      </c>
      <c r="B575">
        <v>208.42646789550781</v>
      </c>
    </row>
    <row r="576" spans="1:2" x14ac:dyDescent="0.25">
      <c r="A576">
        <v>255.88165283203125</v>
      </c>
      <c r="B576">
        <v>203.78395080566406</v>
      </c>
    </row>
    <row r="577" spans="1:2" x14ac:dyDescent="0.25">
      <c r="A577">
        <v>260.59185791015625</v>
      </c>
      <c r="B577">
        <v>206.76480102539062</v>
      </c>
    </row>
    <row r="578" spans="1:2" x14ac:dyDescent="0.25">
      <c r="A578">
        <v>264.7105712890625</v>
      </c>
      <c r="B578">
        <v>217.7823486328125</v>
      </c>
    </row>
    <row r="579" spans="1:2" x14ac:dyDescent="0.25">
      <c r="A579">
        <v>266.52847290039062</v>
      </c>
      <c r="B579">
        <v>213.18991088867187</v>
      </c>
    </row>
    <row r="580" spans="1:2" x14ac:dyDescent="0.25">
      <c r="A580">
        <v>254.95608520507812</v>
      </c>
      <c r="B580">
        <v>209.83235168457031</v>
      </c>
    </row>
    <row r="581" spans="1:2" x14ac:dyDescent="0.25">
      <c r="A581">
        <v>250.82252502441406</v>
      </c>
      <c r="B581">
        <v>210.67988586425781</v>
      </c>
    </row>
    <row r="582" spans="1:2" x14ac:dyDescent="0.25">
      <c r="A582">
        <v>252.72846984863281</v>
      </c>
      <c r="B582">
        <v>216.12651062011719</v>
      </c>
    </row>
    <row r="583" spans="1:2" x14ac:dyDescent="0.25">
      <c r="A583">
        <v>261.86300659179687</v>
      </c>
      <c r="B583">
        <v>216.54145812988281</v>
      </c>
    </row>
    <row r="584" spans="1:2" x14ac:dyDescent="0.25">
      <c r="A584">
        <v>255.76055908203125</v>
      </c>
      <c r="B584">
        <v>215.89678955078125</v>
      </c>
    </row>
    <row r="585" spans="1:2" x14ac:dyDescent="0.25">
      <c r="A585">
        <v>252.66728210449219</v>
      </c>
      <c r="B585">
        <v>215.2801513671875</v>
      </c>
    </row>
    <row r="586" spans="1:2" x14ac:dyDescent="0.25">
      <c r="A586">
        <v>255.55693054199219</v>
      </c>
      <c r="B586">
        <v>216.23237609863281</v>
      </c>
    </row>
    <row r="587" spans="1:2" x14ac:dyDescent="0.25">
      <c r="A587">
        <v>263.25588989257812</v>
      </c>
      <c r="B587">
        <v>215.34306335449219</v>
      </c>
    </row>
    <row r="588" spans="1:2" x14ac:dyDescent="0.25">
      <c r="A588">
        <v>262.809814453125</v>
      </c>
      <c r="B588">
        <v>232.34529113769531</v>
      </c>
    </row>
    <row r="589" spans="1:2" x14ac:dyDescent="0.25">
      <c r="A589">
        <v>264.77670288085937</v>
      </c>
      <c r="B589">
        <v>376.24172973632812</v>
      </c>
    </row>
    <row r="590" spans="1:2" x14ac:dyDescent="0.25">
      <c r="A590">
        <v>265.02212524414062</v>
      </c>
      <c r="B590">
        <v>521.87872314453125</v>
      </c>
    </row>
    <row r="591" spans="1:2" x14ac:dyDescent="0.25">
      <c r="A591">
        <v>263.42962646484375</v>
      </c>
      <c r="B591">
        <v>517.8232421875</v>
      </c>
    </row>
    <row r="592" spans="1:2" x14ac:dyDescent="0.25">
      <c r="A592">
        <v>262.92672729492187</v>
      </c>
      <c r="B592">
        <v>527.95916748046875</v>
      </c>
    </row>
    <row r="593" spans="1:2" x14ac:dyDescent="0.25">
      <c r="A593">
        <v>288.656982421875</v>
      </c>
      <c r="B593">
        <v>513.9913330078125</v>
      </c>
    </row>
    <row r="594" spans="1:2" x14ac:dyDescent="0.25">
      <c r="A594">
        <v>458.8614501953125</v>
      </c>
      <c r="B594">
        <v>440.6197509765625</v>
      </c>
    </row>
    <row r="595" spans="1:2" x14ac:dyDescent="0.25">
      <c r="A595">
        <v>620.64361572265625</v>
      </c>
      <c r="B595">
        <v>304.69635009765625</v>
      </c>
    </row>
    <row r="596" spans="1:2" x14ac:dyDescent="0.25">
      <c r="A596">
        <v>597.7349853515625</v>
      </c>
      <c r="B596">
        <v>224.95018005371094</v>
      </c>
    </row>
    <row r="597" spans="1:2" x14ac:dyDescent="0.25">
      <c r="A597">
        <v>609.39715576171875</v>
      </c>
      <c r="B597">
        <v>214.14535522460937</v>
      </c>
    </row>
    <row r="598" spans="1:2" x14ac:dyDescent="0.25">
      <c r="A598">
        <v>582.3946533203125</v>
      </c>
      <c r="B598">
        <v>207.04713439941406</v>
      </c>
    </row>
    <row r="599" spans="1:2" x14ac:dyDescent="0.25">
      <c r="A599">
        <v>487.83920288085937</v>
      </c>
      <c r="B599">
        <v>205.25946044921875</v>
      </c>
    </row>
    <row r="600" spans="1:2" x14ac:dyDescent="0.25">
      <c r="A600">
        <v>340.66888427734375</v>
      </c>
      <c r="B600">
        <v>207.93113708496094</v>
      </c>
    </row>
    <row r="601" spans="1:2" x14ac:dyDescent="0.25">
      <c r="A601">
        <v>259.35198974609375</v>
      </c>
      <c r="B601">
        <v>213.83062744140625</v>
      </c>
    </row>
    <row r="602" spans="1:2" x14ac:dyDescent="0.25">
      <c r="A602">
        <v>255.65528869628906</v>
      </c>
      <c r="B602">
        <v>287.52304077148437</v>
      </c>
    </row>
    <row r="603" spans="1:2" x14ac:dyDescent="0.25">
      <c r="A603">
        <v>246.78633117675781</v>
      </c>
      <c r="B603">
        <v>456.2657470703125</v>
      </c>
    </row>
    <row r="604" spans="1:2" x14ac:dyDescent="0.25">
      <c r="A604">
        <v>251.65025329589844</v>
      </c>
      <c r="B604">
        <v>511.21240234375</v>
      </c>
    </row>
    <row r="605" spans="1:2" x14ac:dyDescent="0.25">
      <c r="A605">
        <v>259.0174560546875</v>
      </c>
      <c r="B605">
        <v>504.74224853515625</v>
      </c>
    </row>
    <row r="606" spans="1:2" x14ac:dyDescent="0.25">
      <c r="A606">
        <v>261.32626342773437</v>
      </c>
      <c r="B606">
        <v>533.37744140625</v>
      </c>
    </row>
    <row r="607" spans="1:2" x14ac:dyDescent="0.25">
      <c r="A607">
        <v>362.32437133789062</v>
      </c>
      <c r="B607">
        <v>515.3408203125</v>
      </c>
    </row>
    <row r="608" spans="1:2" x14ac:dyDescent="0.25">
      <c r="A608">
        <v>547.795654296875</v>
      </c>
      <c r="B608">
        <v>519.37115478515625</v>
      </c>
    </row>
    <row r="609" spans="1:2" x14ac:dyDescent="0.25">
      <c r="A609">
        <v>589.83355712890625</v>
      </c>
      <c r="B609">
        <v>418.52261352539062</v>
      </c>
    </row>
    <row r="610" spans="1:2" x14ac:dyDescent="0.25">
      <c r="A610">
        <v>588.037841796875</v>
      </c>
      <c r="B610">
        <v>378.21755981445312</v>
      </c>
    </row>
    <row r="611" spans="1:2" x14ac:dyDescent="0.25">
      <c r="A611">
        <v>614.7393798828125</v>
      </c>
      <c r="B611">
        <v>389.5419921875</v>
      </c>
    </row>
    <row r="612" spans="1:2" x14ac:dyDescent="0.25">
      <c r="A612">
        <v>585.6717529296875</v>
      </c>
      <c r="B612">
        <v>420.45703125</v>
      </c>
    </row>
    <row r="613" spans="1:2" x14ac:dyDescent="0.25">
      <c r="A613">
        <v>588.7396240234375</v>
      </c>
      <c r="B613">
        <v>444.92498779296875</v>
      </c>
    </row>
    <row r="614" spans="1:2" x14ac:dyDescent="0.25">
      <c r="A614">
        <v>460.30279541015625</v>
      </c>
      <c r="B614">
        <v>472.46188354492187</v>
      </c>
    </row>
    <row r="615" spans="1:2" x14ac:dyDescent="0.25">
      <c r="A615">
        <v>424.238037109375</v>
      </c>
      <c r="B615">
        <v>513.2025146484375</v>
      </c>
    </row>
    <row r="616" spans="1:2" x14ac:dyDescent="0.25">
      <c r="A616">
        <v>439.6265869140625</v>
      </c>
      <c r="B616">
        <v>530.12799072265625</v>
      </c>
    </row>
    <row r="617" spans="1:2" x14ac:dyDescent="0.25">
      <c r="A617">
        <v>473.58990478515625</v>
      </c>
      <c r="B617">
        <v>526.2777099609375</v>
      </c>
    </row>
    <row r="618" spans="1:2" x14ac:dyDescent="0.25">
      <c r="A618">
        <v>505.0283203125</v>
      </c>
      <c r="B618">
        <v>454.35968017578125</v>
      </c>
    </row>
    <row r="619" spans="1:2" x14ac:dyDescent="0.25">
      <c r="A619">
        <v>534.79583740234375</v>
      </c>
      <c r="B619">
        <v>329.07330322265625</v>
      </c>
    </row>
    <row r="620" spans="1:2" x14ac:dyDescent="0.25">
      <c r="A620">
        <v>582.2115478515625</v>
      </c>
      <c r="B620">
        <v>242.03715515136719</v>
      </c>
    </row>
    <row r="621" spans="1:2" x14ac:dyDescent="0.25">
      <c r="A621">
        <v>599.19287109375</v>
      </c>
      <c r="B621">
        <v>219.56768798828125</v>
      </c>
    </row>
    <row r="622" spans="1:2" x14ac:dyDescent="0.25">
      <c r="A622">
        <v>596.25390625</v>
      </c>
      <c r="B622">
        <v>207.93815612792969</v>
      </c>
    </row>
    <row r="623" spans="1:2" x14ac:dyDescent="0.25">
      <c r="A623">
        <v>504.60971069335938</v>
      </c>
      <c r="B623">
        <v>206.25741577148437</v>
      </c>
    </row>
    <row r="624" spans="1:2" x14ac:dyDescent="0.25">
      <c r="A624">
        <v>363.07284545898437</v>
      </c>
      <c r="B624">
        <v>204.6212158203125</v>
      </c>
    </row>
    <row r="625" spans="1:2" x14ac:dyDescent="0.25">
      <c r="A625">
        <v>274.23660278320312</v>
      </c>
      <c r="B625">
        <v>204.41152954101562</v>
      </c>
    </row>
    <row r="626" spans="1:2" x14ac:dyDescent="0.25">
      <c r="A626">
        <v>257.40048217773437</v>
      </c>
      <c r="B626">
        <v>263.3201904296875</v>
      </c>
    </row>
    <row r="627" spans="1:2" x14ac:dyDescent="0.25">
      <c r="A627">
        <v>245.66506958007812</v>
      </c>
      <c r="B627">
        <v>423.54205322265625</v>
      </c>
    </row>
    <row r="628" spans="1:2" x14ac:dyDescent="0.25">
      <c r="A628">
        <v>246.26809692382812</v>
      </c>
      <c r="B628">
        <v>525.502685546875</v>
      </c>
    </row>
    <row r="629" spans="1:2" x14ac:dyDescent="0.25">
      <c r="A629">
        <v>250.98004150390625</v>
      </c>
      <c r="B629">
        <v>505.45053100585938</v>
      </c>
    </row>
    <row r="630" spans="1:2" x14ac:dyDescent="0.25">
      <c r="A630">
        <v>251.99256896972656</v>
      </c>
      <c r="B630">
        <v>486.47012329101563</v>
      </c>
    </row>
    <row r="631" spans="1:2" x14ac:dyDescent="0.25">
      <c r="A631">
        <v>331.65826416015625</v>
      </c>
      <c r="B631">
        <v>468.763427734375</v>
      </c>
    </row>
    <row r="632" spans="1:2" x14ac:dyDescent="0.25">
      <c r="A632">
        <v>508.4749755859375</v>
      </c>
      <c r="B632">
        <v>453.16897583007812</v>
      </c>
    </row>
    <row r="633" spans="1:2" x14ac:dyDescent="0.25">
      <c r="A633">
        <v>605.67926025390625</v>
      </c>
      <c r="B633">
        <v>439.16000366210937</v>
      </c>
    </row>
    <row r="634" spans="1:2" x14ac:dyDescent="0.25">
      <c r="A634">
        <v>582.9896240234375</v>
      </c>
      <c r="B634">
        <v>442.65838623046875</v>
      </c>
    </row>
    <row r="635" spans="1:2" x14ac:dyDescent="0.25">
      <c r="A635">
        <v>562.09844970703125</v>
      </c>
      <c r="B635">
        <v>408.11993408203125</v>
      </c>
    </row>
    <row r="636" spans="1:2" x14ac:dyDescent="0.25">
      <c r="A636">
        <v>542.65557861328125</v>
      </c>
      <c r="B636">
        <v>396.370849609375</v>
      </c>
    </row>
    <row r="637" spans="1:2" x14ac:dyDescent="0.25">
      <c r="A637">
        <v>521.62554931640625</v>
      </c>
      <c r="B637">
        <v>430.37405395507812</v>
      </c>
    </row>
    <row r="638" spans="1:2" x14ac:dyDescent="0.25">
      <c r="A638">
        <v>510.22640991210937</v>
      </c>
      <c r="B638">
        <v>458.77529907226562</v>
      </c>
    </row>
    <row r="639" spans="1:2" x14ac:dyDescent="0.25">
      <c r="A639">
        <v>511.07888793945313</v>
      </c>
      <c r="B639">
        <v>498.72457885742187</v>
      </c>
    </row>
    <row r="640" spans="1:2" x14ac:dyDescent="0.25">
      <c r="A640">
        <v>468.6365966796875</v>
      </c>
      <c r="B640">
        <v>526.84503173828125</v>
      </c>
    </row>
    <row r="641" spans="1:2" x14ac:dyDescent="0.25">
      <c r="A641">
        <v>453.32177734375</v>
      </c>
      <c r="B641">
        <v>498.78619384765625</v>
      </c>
    </row>
    <row r="642" spans="1:2" x14ac:dyDescent="0.25">
      <c r="A642">
        <v>497.51348876953125</v>
      </c>
      <c r="B642">
        <v>467.31503295898437</v>
      </c>
    </row>
    <row r="643" spans="1:2" x14ac:dyDescent="0.25">
      <c r="A643">
        <v>530.61248779296875</v>
      </c>
      <c r="B643">
        <v>408.81732177734375</v>
      </c>
    </row>
    <row r="644" spans="1:2" x14ac:dyDescent="0.25">
      <c r="A644">
        <v>574.9173583984375</v>
      </c>
      <c r="B644">
        <v>399.00796508789062</v>
      </c>
    </row>
    <row r="645" spans="1:2" x14ac:dyDescent="0.25">
      <c r="A645">
        <v>608.4307861328125</v>
      </c>
      <c r="B645">
        <v>299.32546997070312</v>
      </c>
    </row>
    <row r="646" spans="1:2" x14ac:dyDescent="0.25">
      <c r="A646">
        <v>566.99871826171875</v>
      </c>
      <c r="B646">
        <v>235.14579772949219</v>
      </c>
    </row>
    <row r="647" spans="1:2" x14ac:dyDescent="0.25">
      <c r="A647">
        <v>536.42877197265625</v>
      </c>
      <c r="B647">
        <v>201.94190979003906</v>
      </c>
    </row>
    <row r="648" spans="1:2" x14ac:dyDescent="0.25">
      <c r="A648">
        <v>465.9300537109375</v>
      </c>
      <c r="B648">
        <v>207.01365661621094</v>
      </c>
    </row>
    <row r="649" spans="1:2" x14ac:dyDescent="0.25">
      <c r="A649">
        <v>456.05923461914062</v>
      </c>
      <c r="B649">
        <v>209.15596008300781</v>
      </c>
    </row>
    <row r="650" spans="1:2" x14ac:dyDescent="0.25">
      <c r="A650">
        <v>343.47677612304688</v>
      </c>
      <c r="B650">
        <v>257.20101928710937</v>
      </c>
    </row>
    <row r="651" spans="1:2" x14ac:dyDescent="0.25">
      <c r="A651">
        <v>271.52655029296875</v>
      </c>
      <c r="B651">
        <v>402.61892700195313</v>
      </c>
    </row>
    <row r="652" spans="1:2" x14ac:dyDescent="0.25">
      <c r="A652">
        <v>245.15791320800781</v>
      </c>
      <c r="B652">
        <v>504.91812133789062</v>
      </c>
    </row>
    <row r="653" spans="1:2" x14ac:dyDescent="0.25">
      <c r="A653">
        <v>250.78974914550781</v>
      </c>
      <c r="B653">
        <v>435.29385375976562</v>
      </c>
    </row>
    <row r="654" spans="1:2" x14ac:dyDescent="0.25">
      <c r="A654">
        <v>252.26271057128906</v>
      </c>
      <c r="B654">
        <v>412.84115600585937</v>
      </c>
    </row>
    <row r="655" spans="1:2" x14ac:dyDescent="0.25">
      <c r="A655">
        <v>314.32632446289062</v>
      </c>
      <c r="B655">
        <v>356.89895629882812</v>
      </c>
    </row>
    <row r="656" spans="1:2" x14ac:dyDescent="0.25">
      <c r="A656">
        <v>479.52706909179687</v>
      </c>
      <c r="B656">
        <v>272.083740234375</v>
      </c>
    </row>
    <row r="657" spans="1:2" x14ac:dyDescent="0.25">
      <c r="A657">
        <v>577.040771484375</v>
      </c>
      <c r="B657">
        <v>209.9556884765625</v>
      </c>
    </row>
    <row r="658" spans="1:2" x14ac:dyDescent="0.25">
      <c r="A658">
        <v>487.76535034179687</v>
      </c>
      <c r="B658">
        <v>212.39013671875</v>
      </c>
    </row>
    <row r="659" spans="1:2" x14ac:dyDescent="0.25">
      <c r="A659">
        <v>463.74462890625</v>
      </c>
      <c r="B659">
        <v>212.25216674804687</v>
      </c>
    </row>
    <row r="660" spans="1:2" x14ac:dyDescent="0.25">
      <c r="A660">
        <v>395.1270751953125</v>
      </c>
      <c r="B660">
        <v>210.66073608398438</v>
      </c>
    </row>
    <row r="661" spans="1:2" x14ac:dyDescent="0.25">
      <c r="A661">
        <v>306.37326049804687</v>
      </c>
      <c r="B661">
        <v>303.71218872070312</v>
      </c>
    </row>
    <row r="662" spans="1:2" x14ac:dyDescent="0.25">
      <c r="A662">
        <v>241.10173034667969</v>
      </c>
      <c r="B662">
        <v>444.44125366210937</v>
      </c>
    </row>
    <row r="663" spans="1:2" x14ac:dyDescent="0.25">
      <c r="A663">
        <v>248.73141479492188</v>
      </c>
      <c r="B663">
        <v>509.64013671875</v>
      </c>
    </row>
    <row r="664" spans="1:2" x14ac:dyDescent="0.25">
      <c r="A664">
        <v>247.74623107910156</v>
      </c>
      <c r="B664">
        <v>507.107666015625</v>
      </c>
    </row>
    <row r="665" spans="1:2" x14ac:dyDescent="0.25">
      <c r="A665">
        <v>246.40478515625</v>
      </c>
      <c r="B665">
        <v>454.68423461914062</v>
      </c>
    </row>
    <row r="666" spans="1:2" x14ac:dyDescent="0.25">
      <c r="A666">
        <v>355.54220581054687</v>
      </c>
      <c r="B666">
        <v>339.71255493164062</v>
      </c>
    </row>
    <row r="667" spans="1:2" x14ac:dyDescent="0.25">
      <c r="A667">
        <v>508.82003784179687</v>
      </c>
      <c r="B667">
        <v>219.01052856445312</v>
      </c>
    </row>
    <row r="668" spans="1:2" x14ac:dyDescent="0.25">
      <c r="A668">
        <v>569.24847412109375</v>
      </c>
      <c r="B668">
        <v>199.11859130859375</v>
      </c>
    </row>
    <row r="669" spans="1:2" x14ac:dyDescent="0.25">
      <c r="A669">
        <v>558.123779296875</v>
      </c>
      <c r="B669">
        <v>201.91572570800781</v>
      </c>
    </row>
    <row r="670" spans="1:2" x14ac:dyDescent="0.25">
      <c r="A670">
        <v>497.22384643554687</v>
      </c>
      <c r="B670">
        <v>200.86634826660156</v>
      </c>
    </row>
    <row r="671" spans="1:2" x14ac:dyDescent="0.25">
      <c r="A671">
        <v>370.73147583007812</v>
      </c>
      <c r="B671">
        <v>201.44294738769531</v>
      </c>
    </row>
    <row r="672" spans="1:2" x14ac:dyDescent="0.25">
      <c r="A672">
        <v>250.98588562011719</v>
      </c>
      <c r="B672">
        <v>200.29812622070312</v>
      </c>
    </row>
    <row r="673" spans="1:2" x14ac:dyDescent="0.25">
      <c r="A673">
        <v>238.68307495117187</v>
      </c>
      <c r="B673">
        <v>202.16238403320312</v>
      </c>
    </row>
    <row r="674" spans="1:2" x14ac:dyDescent="0.25">
      <c r="A674">
        <v>239.0732421875</v>
      </c>
      <c r="B674">
        <v>216.90371704101562</v>
      </c>
    </row>
    <row r="675" spans="1:2" x14ac:dyDescent="0.25">
      <c r="A675">
        <v>240.23306274414062</v>
      </c>
      <c r="B675">
        <v>279.17507934570312</v>
      </c>
    </row>
    <row r="676" spans="1:2" x14ac:dyDescent="0.25">
      <c r="A676">
        <v>241.17933654785156</v>
      </c>
      <c r="B676">
        <v>341.97805786132812</v>
      </c>
    </row>
    <row r="677" spans="1:2" x14ac:dyDescent="0.25">
      <c r="A677">
        <v>241.5301513671875</v>
      </c>
      <c r="B677">
        <v>227.00498962402344</v>
      </c>
    </row>
    <row r="678" spans="1:2" x14ac:dyDescent="0.25">
      <c r="A678">
        <v>242.52682495117187</v>
      </c>
      <c r="B678">
        <v>275.87841796875</v>
      </c>
    </row>
    <row r="679" spans="1:2" x14ac:dyDescent="0.25">
      <c r="A679">
        <v>257.86941528320312</v>
      </c>
      <c r="B679">
        <v>312.48001098632812</v>
      </c>
    </row>
    <row r="680" spans="1:2" x14ac:dyDescent="0.25">
      <c r="A680">
        <v>333.61102294921875</v>
      </c>
      <c r="B680">
        <v>294.74435424804688</v>
      </c>
    </row>
    <row r="681" spans="1:2" x14ac:dyDescent="0.25">
      <c r="A681">
        <v>379.63711547851562</v>
      </c>
      <c r="B681">
        <v>245.70973205566406</v>
      </c>
    </row>
    <row r="682" spans="1:2" x14ac:dyDescent="0.25">
      <c r="A682">
        <v>259.46469116210937</v>
      </c>
      <c r="B682">
        <v>211.54190063476562</v>
      </c>
    </row>
    <row r="683" spans="1:2" x14ac:dyDescent="0.25">
      <c r="A683">
        <v>327.05624389648437</v>
      </c>
      <c r="B683">
        <v>205.45660400390625</v>
      </c>
    </row>
    <row r="684" spans="1:2" x14ac:dyDescent="0.25">
      <c r="A684">
        <v>354.4473876953125</v>
      </c>
      <c r="B684">
        <v>213.73623657226562</v>
      </c>
    </row>
    <row r="685" spans="1:2" x14ac:dyDescent="0.25">
      <c r="A685">
        <v>333.15185546875</v>
      </c>
      <c r="B685">
        <v>226.28318786621094</v>
      </c>
    </row>
    <row r="686" spans="1:2" x14ac:dyDescent="0.25">
      <c r="A686">
        <v>276.94097900390625</v>
      </c>
      <c r="B686">
        <v>351.83843994140625</v>
      </c>
    </row>
    <row r="687" spans="1:2" x14ac:dyDescent="0.25">
      <c r="A687">
        <v>251.61466979980469</v>
      </c>
      <c r="B687">
        <v>437.64651489257812</v>
      </c>
    </row>
    <row r="688" spans="1:2" x14ac:dyDescent="0.25">
      <c r="A688">
        <v>244.07551574707031</v>
      </c>
      <c r="B688">
        <v>435.56350708007813</v>
      </c>
    </row>
    <row r="689" spans="1:2" x14ac:dyDescent="0.25">
      <c r="A689">
        <v>252.5638427734375</v>
      </c>
      <c r="B689">
        <v>325.22036743164063</v>
      </c>
    </row>
    <row r="690" spans="1:2" x14ac:dyDescent="0.25">
      <c r="A690">
        <v>270.4639892578125</v>
      </c>
      <c r="B690">
        <v>248.89533996582031</v>
      </c>
    </row>
    <row r="691" spans="1:2" x14ac:dyDescent="0.25">
      <c r="A691">
        <v>418.51666259765625</v>
      </c>
      <c r="B691">
        <v>212.34242248535156</v>
      </c>
    </row>
    <row r="692" spans="1:2" x14ac:dyDescent="0.25">
      <c r="A692">
        <v>494.46771240234375</v>
      </c>
      <c r="B692">
        <v>201.84588623046875</v>
      </c>
    </row>
    <row r="693" spans="1:2" x14ac:dyDescent="0.25">
      <c r="A693">
        <v>489.30615234375</v>
      </c>
      <c r="B693">
        <v>201.748291015625</v>
      </c>
    </row>
    <row r="694" spans="1:2" x14ac:dyDescent="0.25">
      <c r="A694">
        <v>361.56216430664062</v>
      </c>
      <c r="B694">
        <v>200.89506530761719</v>
      </c>
    </row>
    <row r="695" spans="1:2" x14ac:dyDescent="0.25">
      <c r="A695">
        <v>281.4833984375</v>
      </c>
      <c r="B695">
        <v>201.06675720214844</v>
      </c>
    </row>
    <row r="696" spans="1:2" x14ac:dyDescent="0.25">
      <c r="A696">
        <v>250.21038818359375</v>
      </c>
      <c r="B696">
        <v>201.82286071777344</v>
      </c>
    </row>
    <row r="697" spans="1:2" x14ac:dyDescent="0.25">
      <c r="A697">
        <v>241.99546813964844</v>
      </c>
      <c r="B697">
        <v>213.18373107910156</v>
      </c>
    </row>
    <row r="698" spans="1:2" x14ac:dyDescent="0.25">
      <c r="A698">
        <v>241.83781433105469</v>
      </c>
      <c r="B698">
        <v>255.39213562011719</v>
      </c>
    </row>
    <row r="699" spans="1:2" x14ac:dyDescent="0.25">
      <c r="A699">
        <v>243.78303527832031</v>
      </c>
      <c r="B699">
        <v>393.33432006835937</v>
      </c>
    </row>
    <row r="700" spans="1:2" x14ac:dyDescent="0.25">
      <c r="A700">
        <v>245.42521667480469</v>
      </c>
      <c r="B700">
        <v>420.26776123046875</v>
      </c>
    </row>
    <row r="701" spans="1:2" x14ac:dyDescent="0.25">
      <c r="A701">
        <v>250.3511962890625</v>
      </c>
      <c r="B701">
        <v>420.06976318359375</v>
      </c>
    </row>
    <row r="702" spans="1:2" x14ac:dyDescent="0.25">
      <c r="A702">
        <v>259.70828247070312</v>
      </c>
      <c r="B702">
        <v>444.8306884765625</v>
      </c>
    </row>
    <row r="703" spans="1:2" x14ac:dyDescent="0.25">
      <c r="A703">
        <v>316.46499633789062</v>
      </c>
      <c r="B703">
        <v>499.20703125</v>
      </c>
    </row>
    <row r="704" spans="1:2" x14ac:dyDescent="0.25">
      <c r="A704">
        <v>460.40524291992187</v>
      </c>
      <c r="B704">
        <v>510.19638061523438</v>
      </c>
    </row>
    <row r="705" spans="1:2" x14ac:dyDescent="0.25">
      <c r="A705">
        <v>477.42578125</v>
      </c>
      <c r="B705">
        <v>445.45538330078125</v>
      </c>
    </row>
    <row r="706" spans="1:2" x14ac:dyDescent="0.25">
      <c r="A706">
        <v>472.24520874023437</v>
      </c>
      <c r="B706">
        <v>400.40060424804687</v>
      </c>
    </row>
    <row r="707" spans="1:2" x14ac:dyDescent="0.25">
      <c r="A707">
        <v>511.7115478515625</v>
      </c>
      <c r="B707">
        <v>262.99661254882812</v>
      </c>
    </row>
    <row r="708" spans="1:2" x14ac:dyDescent="0.25">
      <c r="A708">
        <v>573.9288330078125</v>
      </c>
      <c r="B708">
        <v>232.1649169921875</v>
      </c>
    </row>
    <row r="709" spans="1:2" x14ac:dyDescent="0.25">
      <c r="A709">
        <v>579.558349609375</v>
      </c>
      <c r="B709">
        <v>241.8316650390625</v>
      </c>
    </row>
    <row r="710" spans="1:2" x14ac:dyDescent="0.25">
      <c r="A710">
        <v>501.96356201171875</v>
      </c>
      <c r="B710">
        <v>377.57302856445312</v>
      </c>
    </row>
    <row r="711" spans="1:2" x14ac:dyDescent="0.25">
      <c r="A711">
        <v>447.020751953125</v>
      </c>
      <c r="B711">
        <v>495.69989013671875</v>
      </c>
    </row>
    <row r="712" spans="1:2" x14ac:dyDescent="0.25">
      <c r="A712">
        <v>286.4012451171875</v>
      </c>
      <c r="B712">
        <v>504.32086181640625</v>
      </c>
    </row>
    <row r="713" spans="1:2" x14ac:dyDescent="0.25">
      <c r="A713">
        <v>272.77752685546875</v>
      </c>
      <c r="B713">
        <v>490.52520751953125</v>
      </c>
    </row>
    <row r="714" spans="1:2" x14ac:dyDescent="0.25">
      <c r="A714">
        <v>290.11038208007812</v>
      </c>
      <c r="B714">
        <v>479.82244873046875</v>
      </c>
    </row>
    <row r="715" spans="1:2" x14ac:dyDescent="0.25">
      <c r="A715">
        <v>450.27499389648437</v>
      </c>
      <c r="B715">
        <v>378.22705078125</v>
      </c>
    </row>
    <row r="716" spans="1:2" x14ac:dyDescent="0.25">
      <c r="A716">
        <v>572.86651611328125</v>
      </c>
      <c r="B716">
        <v>278.888916015625</v>
      </c>
    </row>
    <row r="717" spans="1:2" x14ac:dyDescent="0.25">
      <c r="A717">
        <v>574.24407958984375</v>
      </c>
      <c r="B717">
        <v>214.62138366699219</v>
      </c>
    </row>
    <row r="718" spans="1:2" x14ac:dyDescent="0.25">
      <c r="A718">
        <v>548.60064697265625</v>
      </c>
      <c r="B718">
        <v>217.16796875</v>
      </c>
    </row>
    <row r="719" spans="1:2" x14ac:dyDescent="0.25">
      <c r="A719">
        <v>537.8758544921875</v>
      </c>
      <c r="B719">
        <v>207.89738464355469</v>
      </c>
    </row>
    <row r="720" spans="1:2" x14ac:dyDescent="0.25">
      <c r="A720">
        <v>411.7857666015625</v>
      </c>
      <c r="B720">
        <v>209.08029174804687</v>
      </c>
    </row>
    <row r="721" spans="1:2" x14ac:dyDescent="0.25">
      <c r="A721">
        <v>315.25265502929687</v>
      </c>
      <c r="B721">
        <v>214.61386108398437</v>
      </c>
    </row>
    <row r="722" spans="1:2" x14ac:dyDescent="0.25">
      <c r="A722">
        <v>251.77485656738281</v>
      </c>
      <c r="B722">
        <v>252.32032775878906</v>
      </c>
    </row>
    <row r="723" spans="1:2" x14ac:dyDescent="0.25">
      <c r="A723">
        <v>256.68417358398437</v>
      </c>
      <c r="B723">
        <v>384.8294677734375</v>
      </c>
    </row>
    <row r="724" spans="1:2" x14ac:dyDescent="0.25">
      <c r="A724">
        <v>246.90841674804687</v>
      </c>
      <c r="B724">
        <v>411.76437377929687</v>
      </c>
    </row>
    <row r="725" spans="1:2" x14ac:dyDescent="0.25">
      <c r="A725">
        <v>247.27922058105469</v>
      </c>
      <c r="B725">
        <v>495.5299072265625</v>
      </c>
    </row>
    <row r="726" spans="1:2" x14ac:dyDescent="0.25">
      <c r="A726">
        <v>254.42654418945313</v>
      </c>
      <c r="B726">
        <v>519.17437744140625</v>
      </c>
    </row>
    <row r="727" spans="1:2" x14ac:dyDescent="0.25">
      <c r="A727">
        <v>298.81100463867187</v>
      </c>
      <c r="B727">
        <v>513.27130126953125</v>
      </c>
    </row>
    <row r="728" spans="1:2" x14ac:dyDescent="0.25">
      <c r="A728">
        <v>441.13925170898437</v>
      </c>
      <c r="B728">
        <v>479.50967407226562</v>
      </c>
    </row>
    <row r="729" spans="1:2" x14ac:dyDescent="0.25">
      <c r="A729">
        <v>463.4066162109375</v>
      </c>
      <c r="B729">
        <v>382.79876708984375</v>
      </c>
    </row>
    <row r="730" spans="1:2" x14ac:dyDescent="0.25">
      <c r="A730">
        <v>550.08782958984375</v>
      </c>
      <c r="B730">
        <v>297.9161376953125</v>
      </c>
    </row>
    <row r="731" spans="1:2" x14ac:dyDescent="0.25">
      <c r="A731">
        <v>572.32720947265625</v>
      </c>
      <c r="B731">
        <v>288.68557739257812</v>
      </c>
    </row>
    <row r="732" spans="1:2" x14ac:dyDescent="0.25">
      <c r="A732">
        <v>559.4739990234375</v>
      </c>
      <c r="B732">
        <v>320.46646118164062</v>
      </c>
    </row>
    <row r="733" spans="1:2" x14ac:dyDescent="0.25">
      <c r="A733">
        <v>518.905029296875</v>
      </c>
      <c r="B733">
        <v>430.77053833007812</v>
      </c>
    </row>
    <row r="734" spans="1:2" x14ac:dyDescent="0.25">
      <c r="A734">
        <v>414.1741943359375</v>
      </c>
      <c r="B734">
        <v>515.8165283203125</v>
      </c>
    </row>
    <row r="735" spans="1:2" x14ac:dyDescent="0.25">
      <c r="A735">
        <v>333.55560302734375</v>
      </c>
      <c r="B735">
        <v>500.6241455078125</v>
      </c>
    </row>
    <row r="736" spans="1:2" x14ac:dyDescent="0.25">
      <c r="A736">
        <v>330.07406616210937</v>
      </c>
      <c r="B736">
        <v>491.75390625</v>
      </c>
    </row>
    <row r="737" spans="1:2" x14ac:dyDescent="0.25">
      <c r="A737">
        <v>368.60626220703125</v>
      </c>
      <c r="B737">
        <v>371.65634155273438</v>
      </c>
    </row>
    <row r="738" spans="1:2" x14ac:dyDescent="0.25">
      <c r="A738">
        <v>497.78445434570312</v>
      </c>
      <c r="B738">
        <v>253.76689147949219</v>
      </c>
    </row>
    <row r="739" spans="1:2" x14ac:dyDescent="0.25">
      <c r="A739">
        <v>574.23101806640625</v>
      </c>
      <c r="B739">
        <v>211.41928100585937</v>
      </c>
    </row>
    <row r="740" spans="1:2" x14ac:dyDescent="0.25">
      <c r="A740">
        <v>553.47674560546875</v>
      </c>
      <c r="B740">
        <v>211.75456237792969</v>
      </c>
    </row>
    <row r="741" spans="1:2" x14ac:dyDescent="0.25">
      <c r="A741">
        <v>541.0382080078125</v>
      </c>
      <c r="B741">
        <v>200.39886474609375</v>
      </c>
    </row>
    <row r="742" spans="1:2" x14ac:dyDescent="0.25">
      <c r="A742">
        <v>397.94073486328125</v>
      </c>
      <c r="B742">
        <v>201.24871826171875</v>
      </c>
    </row>
    <row r="743" spans="1:2" x14ac:dyDescent="0.25">
      <c r="A743">
        <v>277.06231689453125</v>
      </c>
      <c r="B743">
        <v>201.68656921386719</v>
      </c>
    </row>
    <row r="744" spans="1:2" x14ac:dyDescent="0.25">
      <c r="A744">
        <v>245.70492553710937</v>
      </c>
      <c r="B744">
        <v>204.2496337890625</v>
      </c>
    </row>
    <row r="745" spans="1:2" x14ac:dyDescent="0.25">
      <c r="A745">
        <v>253.41290283203125</v>
      </c>
      <c r="B745">
        <v>202.55348205566406</v>
      </c>
    </row>
    <row r="746" spans="1:2" x14ac:dyDescent="0.25">
      <c r="A746">
        <v>242.19230651855469</v>
      </c>
      <c r="B746">
        <v>202.54640197753906</v>
      </c>
    </row>
    <row r="747" spans="1:2" x14ac:dyDescent="0.25">
      <c r="A747">
        <v>243.25651550292969</v>
      </c>
      <c r="B747">
        <v>201.00436401367187</v>
      </c>
    </row>
    <row r="748" spans="1:2" x14ac:dyDescent="0.25">
      <c r="A748">
        <v>243.96205139160156</v>
      </c>
      <c r="B748">
        <v>202.9859619140625</v>
      </c>
    </row>
    <row r="749" spans="1:2" x14ac:dyDescent="0.25">
      <c r="A749">
        <v>241.10342407226562</v>
      </c>
      <c r="B749">
        <v>199.9931640625</v>
      </c>
    </row>
    <row r="750" spans="1:2" x14ac:dyDescent="0.25">
      <c r="A750">
        <v>238.19285583496094</v>
      </c>
      <c r="B750">
        <v>213.6004638671875</v>
      </c>
    </row>
    <row r="751" spans="1:2" x14ac:dyDescent="0.25">
      <c r="A751">
        <v>237.24308776855469</v>
      </c>
      <c r="B751">
        <v>218.09010314941406</v>
      </c>
    </row>
    <row r="752" spans="1:2" x14ac:dyDescent="0.25">
      <c r="A752">
        <v>238.02871704101562</v>
      </c>
      <c r="B752">
        <v>222.4041748046875</v>
      </c>
    </row>
    <row r="753" spans="1:2" x14ac:dyDescent="0.25">
      <c r="A753">
        <v>239.07296752929687</v>
      </c>
      <c r="B753">
        <v>219.19920349121094</v>
      </c>
    </row>
    <row r="754" spans="1:2" x14ac:dyDescent="0.25">
      <c r="A754">
        <v>236.36186218261719</v>
      </c>
      <c r="B754">
        <v>212.93679809570312</v>
      </c>
    </row>
    <row r="755" spans="1:2" x14ac:dyDescent="0.25">
      <c r="A755">
        <v>252.0296630859375</v>
      </c>
      <c r="B755">
        <v>196.1513671875</v>
      </c>
    </row>
    <row r="756" spans="1:2" x14ac:dyDescent="0.25">
      <c r="A756">
        <v>253.12234497070312</v>
      </c>
      <c r="B756">
        <v>197.80461120605469</v>
      </c>
    </row>
    <row r="757" spans="1:2" x14ac:dyDescent="0.25">
      <c r="A757">
        <v>260.9794921875</v>
      </c>
      <c r="B757">
        <v>208.90650939941406</v>
      </c>
    </row>
    <row r="758" spans="1:2" x14ac:dyDescent="0.25">
      <c r="A758">
        <v>254.42686462402344</v>
      </c>
      <c r="B758">
        <v>237.79776000976562</v>
      </c>
    </row>
    <row r="759" spans="1:2" x14ac:dyDescent="0.25">
      <c r="A759">
        <v>246.34275817871094</v>
      </c>
      <c r="B759">
        <v>207.26409912109375</v>
      </c>
    </row>
    <row r="760" spans="1:2" x14ac:dyDescent="0.25">
      <c r="A760">
        <v>232.114013671875</v>
      </c>
      <c r="B760">
        <v>205.94612121582031</v>
      </c>
    </row>
    <row r="761" spans="1:2" x14ac:dyDescent="0.25">
      <c r="A761">
        <v>234.01728820800781</v>
      </c>
      <c r="B761">
        <v>205.54252624511719</v>
      </c>
    </row>
    <row r="762" spans="1:2" x14ac:dyDescent="0.25">
      <c r="A762">
        <v>247.24868774414062</v>
      </c>
      <c r="B762">
        <v>203.63670349121094</v>
      </c>
    </row>
    <row r="763" spans="1:2" x14ac:dyDescent="0.25">
      <c r="A763">
        <v>277.30001831054687</v>
      </c>
      <c r="B763">
        <v>198.49562072753906</v>
      </c>
    </row>
    <row r="764" spans="1:2" x14ac:dyDescent="0.25">
      <c r="A764">
        <v>234.64259338378906</v>
      </c>
      <c r="B764">
        <v>197.361328125</v>
      </c>
    </row>
    <row r="765" spans="1:2" x14ac:dyDescent="0.25">
      <c r="A765">
        <v>240.28715515136719</v>
      </c>
      <c r="B765">
        <v>200.16006469726562</v>
      </c>
    </row>
    <row r="766" spans="1:2" x14ac:dyDescent="0.25">
      <c r="A766">
        <v>238.81716918945312</v>
      </c>
      <c r="B766">
        <v>199.41993713378906</v>
      </c>
    </row>
    <row r="767" spans="1:2" x14ac:dyDescent="0.25">
      <c r="A767">
        <v>236.75607299804687</v>
      </c>
      <c r="B767">
        <v>200.12516784667969</v>
      </c>
    </row>
    <row r="768" spans="1:2" x14ac:dyDescent="0.25">
      <c r="A768">
        <v>230.99369812011719</v>
      </c>
      <c r="B768">
        <v>198.90364074707031</v>
      </c>
    </row>
    <row r="769" spans="1:2" x14ac:dyDescent="0.25">
      <c r="A769">
        <v>234.51406860351562</v>
      </c>
      <c r="B769">
        <v>204.68386840820312</v>
      </c>
    </row>
    <row r="770" spans="1:2" x14ac:dyDescent="0.25">
      <c r="A770">
        <v>235.57426452636719</v>
      </c>
      <c r="B770">
        <v>218.65901184082031</v>
      </c>
    </row>
    <row r="771" spans="1:2" x14ac:dyDescent="0.25">
      <c r="A771">
        <v>236.15451049804687</v>
      </c>
      <c r="B771">
        <v>336.58163452148437</v>
      </c>
    </row>
    <row r="772" spans="1:2" x14ac:dyDescent="0.25">
      <c r="A772">
        <v>235.08973693847656</v>
      </c>
      <c r="B772">
        <v>421.77044677734375</v>
      </c>
    </row>
    <row r="773" spans="1:2" x14ac:dyDescent="0.25">
      <c r="A773">
        <v>235.12104797363281</v>
      </c>
      <c r="B773">
        <v>419.7025146484375</v>
      </c>
    </row>
    <row r="774" spans="1:2" x14ac:dyDescent="0.25">
      <c r="A774">
        <v>240.39083862304688</v>
      </c>
      <c r="B774">
        <v>503.41067504882812</v>
      </c>
    </row>
    <row r="775" spans="1:2" x14ac:dyDescent="0.25">
      <c r="A775">
        <v>259.50381469726562</v>
      </c>
      <c r="B775">
        <v>526.61749267578125</v>
      </c>
    </row>
    <row r="776" spans="1:2" x14ac:dyDescent="0.25">
      <c r="A776">
        <v>392.93063354492187</v>
      </c>
      <c r="B776">
        <v>527.126708984375</v>
      </c>
    </row>
    <row r="777" spans="1:2" x14ac:dyDescent="0.25">
      <c r="A777">
        <v>469.5516357421875</v>
      </c>
      <c r="B777">
        <v>509.08941650390625</v>
      </c>
    </row>
    <row r="778" spans="1:2" x14ac:dyDescent="0.25">
      <c r="A778">
        <v>465.12957763671875</v>
      </c>
      <c r="B778">
        <v>434.6685791015625</v>
      </c>
    </row>
    <row r="779" spans="1:2" x14ac:dyDescent="0.25">
      <c r="A779">
        <v>569.9378662109375</v>
      </c>
      <c r="B779">
        <v>326.04519653320312</v>
      </c>
    </row>
    <row r="780" spans="1:2" x14ac:dyDescent="0.25">
      <c r="A780">
        <v>585.93426513671875</v>
      </c>
      <c r="B780">
        <v>346.22262573242187</v>
      </c>
    </row>
    <row r="781" spans="1:2" x14ac:dyDescent="0.25">
      <c r="A781">
        <v>584.04058837890625</v>
      </c>
      <c r="B781">
        <v>354.81375122070312</v>
      </c>
    </row>
    <row r="782" spans="1:2" x14ac:dyDescent="0.25">
      <c r="A782">
        <v>558.12420654296875</v>
      </c>
      <c r="B782">
        <v>446.75604248046875</v>
      </c>
    </row>
    <row r="783" spans="1:2" x14ac:dyDescent="0.25">
      <c r="A783">
        <v>469.17599487304687</v>
      </c>
      <c r="B783">
        <v>523.61151123046875</v>
      </c>
    </row>
    <row r="784" spans="1:2" x14ac:dyDescent="0.25">
      <c r="A784">
        <v>354.05514526367187</v>
      </c>
      <c r="B784">
        <v>530.76171875</v>
      </c>
    </row>
    <row r="785" spans="1:2" x14ac:dyDescent="0.25">
      <c r="A785">
        <v>382.49032592773437</v>
      </c>
      <c r="B785">
        <v>516.3568115234375</v>
      </c>
    </row>
    <row r="786" spans="1:2" x14ac:dyDescent="0.25">
      <c r="A786">
        <v>394.34890747070312</v>
      </c>
      <c r="B786">
        <v>420.744384765625</v>
      </c>
    </row>
    <row r="787" spans="1:2" x14ac:dyDescent="0.25">
      <c r="A787">
        <v>497.64602661132812</v>
      </c>
      <c r="B787">
        <v>262.58538818359375</v>
      </c>
    </row>
    <row r="788" spans="1:2" x14ac:dyDescent="0.25">
      <c r="A788">
        <v>578.20135498046875</v>
      </c>
      <c r="B788">
        <v>202.99920654296875</v>
      </c>
    </row>
    <row r="789" spans="1:2" x14ac:dyDescent="0.25">
      <c r="A789">
        <v>583.20599365234375</v>
      </c>
      <c r="B789">
        <v>199.32286071777344</v>
      </c>
    </row>
    <row r="790" spans="1:2" x14ac:dyDescent="0.25">
      <c r="A790">
        <v>563.373291015625</v>
      </c>
      <c r="B790">
        <v>199.69264221191406</v>
      </c>
    </row>
    <row r="791" spans="1:2" x14ac:dyDescent="0.25">
      <c r="A791">
        <v>447.31375122070312</v>
      </c>
      <c r="B791">
        <v>198.88177490234375</v>
      </c>
    </row>
    <row r="792" spans="1:2" x14ac:dyDescent="0.25">
      <c r="A792">
        <v>280.0926513671875</v>
      </c>
      <c r="B792">
        <v>203.73834228515625</v>
      </c>
    </row>
    <row r="793" spans="1:2" x14ac:dyDescent="0.25">
      <c r="A793">
        <v>232.86549377441406</v>
      </c>
      <c r="B793">
        <v>217.68096923828125</v>
      </c>
    </row>
    <row r="794" spans="1:2" x14ac:dyDescent="0.25">
      <c r="A794">
        <v>228.75279235839844</v>
      </c>
      <c r="B794">
        <v>345.38858032226562</v>
      </c>
    </row>
    <row r="795" spans="1:2" x14ac:dyDescent="0.25">
      <c r="A795">
        <v>228.3350830078125</v>
      </c>
      <c r="B795">
        <v>493.5755615234375</v>
      </c>
    </row>
    <row r="796" spans="1:2" x14ac:dyDescent="0.25">
      <c r="A796">
        <v>229.78019714355469</v>
      </c>
      <c r="B796">
        <v>498.02764892578125</v>
      </c>
    </row>
    <row r="797" spans="1:2" x14ac:dyDescent="0.25">
      <c r="A797">
        <v>235.37602233886719</v>
      </c>
      <c r="B797">
        <v>533.9327392578125</v>
      </c>
    </row>
    <row r="798" spans="1:2" x14ac:dyDescent="0.25">
      <c r="A798">
        <v>256.55630493164062</v>
      </c>
      <c r="B798">
        <v>517.741943359375</v>
      </c>
    </row>
    <row r="799" spans="1:2" x14ac:dyDescent="0.25">
      <c r="A799">
        <v>398.78500366210937</v>
      </c>
      <c r="B799">
        <v>483.57379150390625</v>
      </c>
    </row>
    <row r="800" spans="1:2" x14ac:dyDescent="0.25">
      <c r="A800">
        <v>550.00848388671875</v>
      </c>
      <c r="B800">
        <v>464.170654296875</v>
      </c>
    </row>
    <row r="801" spans="1:2" x14ac:dyDescent="0.25">
      <c r="A801">
        <v>546.4461669921875</v>
      </c>
      <c r="B801">
        <v>390.772216796875</v>
      </c>
    </row>
    <row r="802" spans="1:2" x14ac:dyDescent="0.25">
      <c r="A802">
        <v>588.06317138671875</v>
      </c>
      <c r="B802">
        <v>455.5733642578125</v>
      </c>
    </row>
    <row r="803" spans="1:2" x14ac:dyDescent="0.25">
      <c r="A803">
        <v>561.825439453125</v>
      </c>
      <c r="B803">
        <v>444.01858520507812</v>
      </c>
    </row>
    <row r="804" spans="1:2" x14ac:dyDescent="0.25">
      <c r="A804">
        <v>519.4927978515625</v>
      </c>
      <c r="B804">
        <v>347.41848754882812</v>
      </c>
    </row>
    <row r="805" spans="1:2" x14ac:dyDescent="0.25">
      <c r="A805">
        <v>505.592529296875</v>
      </c>
      <c r="B805">
        <v>417.99139404296875</v>
      </c>
    </row>
    <row r="806" spans="1:2" x14ac:dyDescent="0.25">
      <c r="A806">
        <v>427.81573486328125</v>
      </c>
      <c r="B806">
        <v>473.86212158203125</v>
      </c>
    </row>
    <row r="807" spans="1:2" x14ac:dyDescent="0.25">
      <c r="A807">
        <v>505.09530639648437</v>
      </c>
      <c r="B807">
        <v>394.0880126953125</v>
      </c>
    </row>
    <row r="808" spans="1:2" x14ac:dyDescent="0.25">
      <c r="A808">
        <v>480.40066528320312</v>
      </c>
      <c r="B808">
        <v>350.78469848632812</v>
      </c>
    </row>
    <row r="809" spans="1:2" x14ac:dyDescent="0.25">
      <c r="A809">
        <v>379.1370849609375</v>
      </c>
      <c r="B809">
        <v>411.8077392578125</v>
      </c>
    </row>
    <row r="810" spans="1:2" x14ac:dyDescent="0.25">
      <c r="A810">
        <v>472.7628173828125</v>
      </c>
      <c r="B810">
        <v>415.48568725585937</v>
      </c>
    </row>
    <row r="811" spans="1:2" x14ac:dyDescent="0.25">
      <c r="A811">
        <v>516.38555908203125</v>
      </c>
      <c r="B811">
        <v>300.72271728515625</v>
      </c>
    </row>
    <row r="812" spans="1:2" x14ac:dyDescent="0.25">
      <c r="A812">
        <v>424.31329345703125</v>
      </c>
      <c r="B812">
        <v>207.1400146484375</v>
      </c>
    </row>
    <row r="813" spans="1:2" x14ac:dyDescent="0.25">
      <c r="A813">
        <v>392.30880737304687</v>
      </c>
      <c r="B813">
        <v>198.15565490722656</v>
      </c>
    </row>
    <row r="814" spans="1:2" x14ac:dyDescent="0.25">
      <c r="A814">
        <v>464.80825805664062</v>
      </c>
      <c r="B814">
        <v>199.1427001953125</v>
      </c>
    </row>
    <row r="815" spans="1:2" x14ac:dyDescent="0.25">
      <c r="A815">
        <v>462.334716796875</v>
      </c>
      <c r="B815">
        <v>198.68310546875</v>
      </c>
    </row>
    <row r="816" spans="1:2" x14ac:dyDescent="0.25">
      <c r="A816">
        <v>332.00399780273437</v>
      </c>
      <c r="B816">
        <v>197.55218505859375</v>
      </c>
    </row>
    <row r="817" spans="1:2" x14ac:dyDescent="0.25">
      <c r="A817">
        <v>237.747314453125</v>
      </c>
      <c r="B817">
        <v>197.86924743652344</v>
      </c>
    </row>
    <row r="818" spans="1:2" x14ac:dyDescent="0.25">
      <c r="A818">
        <v>234.80642700195312</v>
      </c>
      <c r="B818">
        <v>212.617431640625</v>
      </c>
    </row>
    <row r="819" spans="1:2" x14ac:dyDescent="0.25">
      <c r="A819">
        <v>234.45767211914063</v>
      </c>
      <c r="B819">
        <v>240.7900390625</v>
      </c>
    </row>
    <row r="820" spans="1:2" x14ac:dyDescent="0.25">
      <c r="A820">
        <v>234.89512634277344</v>
      </c>
      <c r="B820">
        <v>283.0848388671875</v>
      </c>
    </row>
    <row r="821" spans="1:2" x14ac:dyDescent="0.25">
      <c r="A821">
        <v>232.65171813964844</v>
      </c>
      <c r="B821">
        <v>217.56802368164062</v>
      </c>
    </row>
    <row r="822" spans="1:2" x14ac:dyDescent="0.25">
      <c r="A822">
        <v>235.80279541015625</v>
      </c>
      <c r="B822">
        <v>206.13339233398437</v>
      </c>
    </row>
    <row r="823" spans="1:2" x14ac:dyDescent="0.25">
      <c r="A823">
        <v>254.09443664550781</v>
      </c>
      <c r="B823">
        <v>204.18121337890625</v>
      </c>
    </row>
    <row r="824" spans="1:2" x14ac:dyDescent="0.25">
      <c r="A824">
        <v>286.066650390625</v>
      </c>
      <c r="B824">
        <v>203.79095458984375</v>
      </c>
    </row>
    <row r="825" spans="1:2" x14ac:dyDescent="0.25">
      <c r="A825">
        <v>326.30825805664062</v>
      </c>
      <c r="B825">
        <v>204.19404602050781</v>
      </c>
    </row>
    <row r="826" spans="1:2" x14ac:dyDescent="0.25">
      <c r="A826">
        <v>255.96420288085937</v>
      </c>
      <c r="B826">
        <v>200.17805480957031</v>
      </c>
    </row>
    <row r="827" spans="1:2" x14ac:dyDescent="0.25">
      <c r="A827">
        <v>251.72770690917969</v>
      </c>
      <c r="B827">
        <v>199.95018005371094</v>
      </c>
    </row>
    <row r="828" spans="1:2" x14ac:dyDescent="0.25">
      <c r="A828">
        <v>251.15733337402344</v>
      </c>
      <c r="B828">
        <v>203.01838684082031</v>
      </c>
    </row>
    <row r="829" spans="1:2" x14ac:dyDescent="0.25">
      <c r="A829">
        <v>253.42886352539062</v>
      </c>
      <c r="B829">
        <v>207.13877868652344</v>
      </c>
    </row>
    <row r="830" spans="1:2" x14ac:dyDescent="0.25">
      <c r="A830">
        <v>249.87376403808594</v>
      </c>
      <c r="B830">
        <v>256.2479248046875</v>
      </c>
    </row>
    <row r="831" spans="1:2" x14ac:dyDescent="0.25">
      <c r="A831">
        <v>243.77459716796875</v>
      </c>
      <c r="B831">
        <v>346.09063720703125</v>
      </c>
    </row>
    <row r="832" spans="1:2" x14ac:dyDescent="0.25">
      <c r="A832">
        <v>243.5048828125</v>
      </c>
      <c r="B832">
        <v>315.38796997070312</v>
      </c>
    </row>
    <row r="833" spans="1:2" x14ac:dyDescent="0.25">
      <c r="A833">
        <v>250.80021667480469</v>
      </c>
      <c r="B833">
        <v>291.80532836914063</v>
      </c>
    </row>
    <row r="834" spans="1:2" x14ac:dyDescent="0.25">
      <c r="A834">
        <v>255.43795776367187</v>
      </c>
      <c r="B834">
        <v>265.3807373046875</v>
      </c>
    </row>
    <row r="835" spans="1:2" x14ac:dyDescent="0.25">
      <c r="A835">
        <v>317.83938598632812</v>
      </c>
      <c r="B835">
        <v>204.65414428710937</v>
      </c>
    </row>
    <row r="836" spans="1:2" x14ac:dyDescent="0.25">
      <c r="A836">
        <v>409.71701049804687</v>
      </c>
      <c r="B836">
        <v>195.95217895507812</v>
      </c>
    </row>
    <row r="837" spans="1:2" x14ac:dyDescent="0.25">
      <c r="A837">
        <v>360.73336791992187</v>
      </c>
      <c r="B837">
        <v>199.97846984863281</v>
      </c>
    </row>
    <row r="838" spans="1:2" x14ac:dyDescent="0.25">
      <c r="A838">
        <v>350.64852905273438</v>
      </c>
      <c r="B838">
        <v>200.02239990234375</v>
      </c>
    </row>
    <row r="839" spans="1:2" x14ac:dyDescent="0.25">
      <c r="A839">
        <v>312.47488403320312</v>
      </c>
      <c r="B839">
        <v>200.33186340332031</v>
      </c>
    </row>
    <row r="840" spans="1:2" x14ac:dyDescent="0.25">
      <c r="A840">
        <v>252.37516784667969</v>
      </c>
      <c r="B840">
        <v>200.18519592285156</v>
      </c>
    </row>
    <row r="841" spans="1:2" x14ac:dyDescent="0.25">
      <c r="A841">
        <v>248.11663818359375</v>
      </c>
      <c r="B841">
        <v>207.22647094726562</v>
      </c>
    </row>
    <row r="842" spans="1:2" x14ac:dyDescent="0.25">
      <c r="A842">
        <v>249.14462280273437</v>
      </c>
      <c r="B842">
        <v>243.11891174316406</v>
      </c>
    </row>
    <row r="843" spans="1:2" x14ac:dyDescent="0.25">
      <c r="A843">
        <v>248.62931823730469</v>
      </c>
      <c r="B843">
        <v>358.869140625</v>
      </c>
    </row>
    <row r="844" spans="1:2" x14ac:dyDescent="0.25">
      <c r="A844">
        <v>247.44688415527344</v>
      </c>
      <c r="B844">
        <v>508.1934814453125</v>
      </c>
    </row>
    <row r="845" spans="1:2" x14ac:dyDescent="0.25">
      <c r="A845">
        <v>247.8221435546875</v>
      </c>
      <c r="B845">
        <v>529.498779296875</v>
      </c>
    </row>
    <row r="846" spans="1:2" x14ac:dyDescent="0.25">
      <c r="A846">
        <v>252.60795593261719</v>
      </c>
      <c r="B846">
        <v>528.96429443359375</v>
      </c>
    </row>
    <row r="847" spans="1:2" x14ac:dyDescent="0.25">
      <c r="A847">
        <v>297.55447387695312</v>
      </c>
      <c r="B847">
        <v>530.32763671875</v>
      </c>
    </row>
    <row r="848" spans="1:2" x14ac:dyDescent="0.25">
      <c r="A848">
        <v>420.93759155273437</v>
      </c>
      <c r="B848">
        <v>530.280029296875</v>
      </c>
    </row>
    <row r="849" spans="1:2" x14ac:dyDescent="0.25">
      <c r="A849">
        <v>577.82391357421875</v>
      </c>
      <c r="B849">
        <v>444.05615234375</v>
      </c>
    </row>
    <row r="850" spans="1:2" x14ac:dyDescent="0.25">
      <c r="A850">
        <v>597.80511474609375</v>
      </c>
      <c r="B850">
        <v>293.20904541015625</v>
      </c>
    </row>
    <row r="851" spans="1:2" x14ac:dyDescent="0.25">
      <c r="A851">
        <v>604.50494384765625</v>
      </c>
      <c r="B851">
        <v>199.2459716796875</v>
      </c>
    </row>
    <row r="852" spans="1:2" x14ac:dyDescent="0.25">
      <c r="A852">
        <v>606.3162841796875</v>
      </c>
      <c r="B852">
        <v>203.0240478515625</v>
      </c>
    </row>
    <row r="853" spans="1:2" x14ac:dyDescent="0.25">
      <c r="A853">
        <v>606.8592529296875</v>
      </c>
      <c r="B853">
        <v>210.32467651367188</v>
      </c>
    </row>
    <row r="854" spans="1:2" x14ac:dyDescent="0.25">
      <c r="A854">
        <v>494.23980712890625</v>
      </c>
      <c r="B854">
        <v>249.1561279296875</v>
      </c>
    </row>
    <row r="855" spans="1:2" x14ac:dyDescent="0.25">
      <c r="A855">
        <v>325.64047241210937</v>
      </c>
      <c r="B855">
        <v>378.13980102539062</v>
      </c>
    </row>
    <row r="856" spans="1:2" x14ac:dyDescent="0.25">
      <c r="A856">
        <v>240.51174926757812</v>
      </c>
      <c r="B856">
        <v>351.10671997070312</v>
      </c>
    </row>
    <row r="857" spans="1:2" x14ac:dyDescent="0.25">
      <c r="A857">
        <v>248.69998168945312</v>
      </c>
      <c r="B857">
        <v>299.3494873046875</v>
      </c>
    </row>
    <row r="858" spans="1:2" x14ac:dyDescent="0.25">
      <c r="A858">
        <v>258.3201904296875</v>
      </c>
      <c r="B858">
        <v>216.55775451660156</v>
      </c>
    </row>
    <row r="859" spans="1:2" x14ac:dyDescent="0.25">
      <c r="A859">
        <v>308.05172729492187</v>
      </c>
      <c r="B859">
        <v>195.5982666015625</v>
      </c>
    </row>
    <row r="860" spans="1:2" x14ac:dyDescent="0.25">
      <c r="A860">
        <v>445.835693359375</v>
      </c>
      <c r="B860">
        <v>211.75067138671875</v>
      </c>
    </row>
    <row r="861" spans="1:2" x14ac:dyDescent="0.25">
      <c r="A861">
        <v>406.1070556640625</v>
      </c>
      <c r="B861">
        <v>198.39508056640625</v>
      </c>
    </row>
    <row r="862" spans="1:2" x14ac:dyDescent="0.25">
      <c r="A862">
        <v>349.2784423828125</v>
      </c>
      <c r="B862">
        <v>198.30873107910156</v>
      </c>
    </row>
    <row r="863" spans="1:2" x14ac:dyDescent="0.25">
      <c r="A863">
        <v>252.34703063964844</v>
      </c>
      <c r="B863">
        <v>197.92752075195312</v>
      </c>
    </row>
    <row r="864" spans="1:2" x14ac:dyDescent="0.25">
      <c r="A864">
        <v>244.59027099609375</v>
      </c>
      <c r="B864">
        <v>203.04280090332031</v>
      </c>
    </row>
    <row r="865" spans="1:2" x14ac:dyDescent="0.25">
      <c r="A865">
        <v>262.07781982421875</v>
      </c>
      <c r="B865">
        <v>220.37930297851563</v>
      </c>
    </row>
    <row r="866" spans="1:2" x14ac:dyDescent="0.25">
      <c r="A866">
        <v>245.05636596679687</v>
      </c>
      <c r="B866">
        <v>300.18252563476562</v>
      </c>
    </row>
    <row r="867" spans="1:2" x14ac:dyDescent="0.25">
      <c r="A867">
        <v>246.00900268554687</v>
      </c>
      <c r="B867">
        <v>446.58261108398437</v>
      </c>
    </row>
    <row r="868" spans="1:2" x14ac:dyDescent="0.25">
      <c r="A868">
        <v>247.14042663574219</v>
      </c>
      <c r="B868">
        <v>505.4007568359375</v>
      </c>
    </row>
    <row r="869" spans="1:2" x14ac:dyDescent="0.25">
      <c r="A869">
        <v>255.3095703125</v>
      </c>
      <c r="B869">
        <v>465.21926879882812</v>
      </c>
    </row>
    <row r="870" spans="1:2" x14ac:dyDescent="0.25">
      <c r="A870">
        <v>274.5693359375</v>
      </c>
      <c r="B870">
        <v>483.19046020507812</v>
      </c>
    </row>
    <row r="871" spans="1:2" x14ac:dyDescent="0.25">
      <c r="A871">
        <v>371.26821899414062</v>
      </c>
      <c r="B871">
        <v>444.92874145507812</v>
      </c>
    </row>
    <row r="872" spans="1:2" x14ac:dyDescent="0.25">
      <c r="A872">
        <v>541.10247802734375</v>
      </c>
      <c r="B872">
        <v>441.75372314453125</v>
      </c>
    </row>
    <row r="873" spans="1:2" x14ac:dyDescent="0.25">
      <c r="A873">
        <v>593.8157958984375</v>
      </c>
      <c r="B873">
        <v>419.80007934570312</v>
      </c>
    </row>
    <row r="874" spans="1:2" x14ac:dyDescent="0.25">
      <c r="A874">
        <v>551.1873779296875</v>
      </c>
      <c r="B874">
        <v>406.61209106445312</v>
      </c>
    </row>
    <row r="875" spans="1:2" x14ac:dyDescent="0.25">
      <c r="A875">
        <v>560.24139404296875</v>
      </c>
      <c r="B875">
        <v>317.35153198242187</v>
      </c>
    </row>
    <row r="876" spans="1:2" x14ac:dyDescent="0.25">
      <c r="A876">
        <v>517.98553466796875</v>
      </c>
      <c r="B876">
        <v>255.61029052734375</v>
      </c>
    </row>
    <row r="877" spans="1:2" x14ac:dyDescent="0.25">
      <c r="A877">
        <v>513.2227783203125</v>
      </c>
      <c r="B877">
        <v>217.32748413085937</v>
      </c>
    </row>
    <row r="878" spans="1:2" x14ac:dyDescent="0.25">
      <c r="A878">
        <v>484.74307250976562</v>
      </c>
      <c r="B878">
        <v>279.45208740234375</v>
      </c>
    </row>
    <row r="879" spans="1:2" x14ac:dyDescent="0.25">
      <c r="A879">
        <v>466.59896850585937</v>
      </c>
      <c r="B879">
        <v>353.40805053710937</v>
      </c>
    </row>
    <row r="880" spans="1:2" x14ac:dyDescent="0.25">
      <c r="A880">
        <v>366.38253784179687</v>
      </c>
      <c r="B880">
        <v>272.30416870117187</v>
      </c>
    </row>
    <row r="881" spans="1:2" x14ac:dyDescent="0.25">
      <c r="A881">
        <v>296.83526611328125</v>
      </c>
      <c r="B881">
        <v>207.30924987792969</v>
      </c>
    </row>
    <row r="882" spans="1:2" x14ac:dyDescent="0.25">
      <c r="A882">
        <v>258.68222045898437</v>
      </c>
      <c r="B882">
        <v>197.77699279785156</v>
      </c>
    </row>
    <row r="883" spans="1:2" x14ac:dyDescent="0.25">
      <c r="A883">
        <v>337.7066650390625</v>
      </c>
      <c r="B883">
        <v>199.21690368652344</v>
      </c>
    </row>
    <row r="884" spans="1:2" x14ac:dyDescent="0.25">
      <c r="A884">
        <v>411.51605224609375</v>
      </c>
      <c r="B884">
        <v>198.26809692382812</v>
      </c>
    </row>
    <row r="885" spans="1:2" x14ac:dyDescent="0.25">
      <c r="A885">
        <v>312.4610595703125</v>
      </c>
      <c r="B885">
        <v>200.91590881347656</v>
      </c>
    </row>
    <row r="886" spans="1:2" x14ac:dyDescent="0.25">
      <c r="A886">
        <v>248.86672973632812</v>
      </c>
      <c r="B886">
        <v>196.60833740234375</v>
      </c>
    </row>
    <row r="887" spans="1:2" x14ac:dyDescent="0.25">
      <c r="A887">
        <v>242.330322265625</v>
      </c>
      <c r="B887">
        <v>199.89387512207031</v>
      </c>
    </row>
    <row r="888" spans="1:2" x14ac:dyDescent="0.25">
      <c r="A888">
        <v>241.61923217773437</v>
      </c>
      <c r="B888">
        <v>198.58424377441406</v>
      </c>
    </row>
    <row r="889" spans="1:2" x14ac:dyDescent="0.25">
      <c r="A889">
        <v>242.24575805664062</v>
      </c>
      <c r="B889">
        <v>199.06193542480469</v>
      </c>
    </row>
    <row r="890" spans="1:2" x14ac:dyDescent="0.25">
      <c r="A890">
        <v>239.06695556640625</v>
      </c>
      <c r="B890">
        <v>203.72653198242187</v>
      </c>
    </row>
    <row r="891" spans="1:2" x14ac:dyDescent="0.25">
      <c r="A891">
        <v>236.27128601074219</v>
      </c>
      <c r="B891">
        <v>227.20904541015625</v>
      </c>
    </row>
    <row r="892" spans="1:2" x14ac:dyDescent="0.25">
      <c r="A892">
        <v>237.17242431640625</v>
      </c>
      <c r="B892">
        <v>214.75918579101562</v>
      </c>
    </row>
    <row r="893" spans="1:2" x14ac:dyDescent="0.25">
      <c r="A893">
        <v>237.59072875976562</v>
      </c>
      <c r="B893">
        <v>238.42767333984375</v>
      </c>
    </row>
    <row r="894" spans="1:2" x14ac:dyDescent="0.25">
      <c r="A894">
        <v>238.33682250976563</v>
      </c>
      <c r="B894">
        <v>206.31878662109375</v>
      </c>
    </row>
    <row r="895" spans="1:2" x14ac:dyDescent="0.25">
      <c r="A895">
        <v>244.77604675292969</v>
      </c>
      <c r="B895">
        <v>204.0235595703125</v>
      </c>
    </row>
    <row r="896" spans="1:2" x14ac:dyDescent="0.25">
      <c r="A896">
        <v>265.69976806640625</v>
      </c>
      <c r="B896">
        <v>204.64793395996094</v>
      </c>
    </row>
    <row r="897" spans="1:2" x14ac:dyDescent="0.25">
      <c r="A897">
        <v>259.4228515625</v>
      </c>
      <c r="B897">
        <v>206.46371459960937</v>
      </c>
    </row>
    <row r="898" spans="1:2" x14ac:dyDescent="0.25">
      <c r="A898">
        <v>292.05084228515625</v>
      </c>
      <c r="B898">
        <v>200.81475830078125</v>
      </c>
    </row>
    <row r="899" spans="1:2" x14ac:dyDescent="0.25">
      <c r="A899">
        <v>249.20278930664062</v>
      </c>
      <c r="B899">
        <v>197.53620910644531</v>
      </c>
    </row>
    <row r="900" spans="1:2" x14ac:dyDescent="0.25">
      <c r="A900">
        <v>249.34266662597656</v>
      </c>
      <c r="B900">
        <v>199.28054809570312</v>
      </c>
    </row>
    <row r="901" spans="1:2" x14ac:dyDescent="0.25">
      <c r="A901">
        <v>249.92825317382812</v>
      </c>
      <c r="B901">
        <v>199.25787353515625</v>
      </c>
    </row>
    <row r="902" spans="1:2" x14ac:dyDescent="0.25">
      <c r="A902">
        <v>249.79623413085937</v>
      </c>
      <c r="B902">
        <v>234.00559997558594</v>
      </c>
    </row>
    <row r="903" spans="1:2" x14ac:dyDescent="0.25">
      <c r="A903">
        <v>241.27630615234375</v>
      </c>
      <c r="B903">
        <v>249.06550598144531</v>
      </c>
    </row>
    <row r="904" spans="1:2" x14ac:dyDescent="0.25">
      <c r="A904">
        <v>245.75004577636719</v>
      </c>
      <c r="B904">
        <v>203.11868286132812</v>
      </c>
    </row>
    <row r="905" spans="1:2" x14ac:dyDescent="0.25">
      <c r="A905">
        <v>246.22407531738281</v>
      </c>
      <c r="B905">
        <v>202.52279663085937</v>
      </c>
    </row>
    <row r="906" spans="1:2" x14ac:dyDescent="0.25">
      <c r="A906">
        <v>244.84494018554687</v>
      </c>
      <c r="B906">
        <v>199.26290893554687</v>
      </c>
    </row>
    <row r="907" spans="1:2" x14ac:dyDescent="0.25">
      <c r="A907">
        <v>293.26336669921875</v>
      </c>
      <c r="B907">
        <v>204.80783081054687</v>
      </c>
    </row>
    <row r="908" spans="1:2" x14ac:dyDescent="0.25">
      <c r="A908">
        <v>291.88641357421875</v>
      </c>
      <c r="B908">
        <v>200.85160827636719</v>
      </c>
    </row>
    <row r="909" spans="1:2" x14ac:dyDescent="0.25">
      <c r="A909">
        <v>248.64053344726562</v>
      </c>
      <c r="B909">
        <v>199.71002197265625</v>
      </c>
    </row>
    <row r="910" spans="1:2" x14ac:dyDescent="0.25">
      <c r="A910">
        <v>250.28665161132812</v>
      </c>
      <c r="B910">
        <v>199.54095458984375</v>
      </c>
    </row>
    <row r="911" spans="1:2" x14ac:dyDescent="0.25">
      <c r="A911">
        <v>249.30592346191406</v>
      </c>
      <c r="B911">
        <v>200.32322692871094</v>
      </c>
    </row>
    <row r="912" spans="1:2" x14ac:dyDescent="0.25">
      <c r="A912">
        <v>252.1697998046875</v>
      </c>
      <c r="B912">
        <v>198.79371643066406</v>
      </c>
    </row>
    <row r="913" spans="1:2" x14ac:dyDescent="0.25">
      <c r="A913">
        <v>248.72755432128906</v>
      </c>
      <c r="B913">
        <v>199.12663269042969</v>
      </c>
    </row>
    <row r="914" spans="1:2" x14ac:dyDescent="0.25">
      <c r="A914">
        <v>247.86244201660156</v>
      </c>
      <c r="B914">
        <v>199.90470886230469</v>
      </c>
    </row>
    <row r="915" spans="1:2" x14ac:dyDescent="0.25">
      <c r="A915">
        <v>246.791748046875</v>
      </c>
      <c r="B915">
        <v>199.54151916503906</v>
      </c>
    </row>
    <row r="916" spans="1:2" x14ac:dyDescent="0.25">
      <c r="A916">
        <v>247.85801696777344</v>
      </c>
      <c r="B916">
        <v>199.587646484375</v>
      </c>
    </row>
    <row r="917" spans="1:2" x14ac:dyDescent="0.25">
      <c r="A917">
        <v>247.11117553710937</v>
      </c>
      <c r="B917">
        <v>212.05783081054687</v>
      </c>
    </row>
    <row r="918" spans="1:2" x14ac:dyDescent="0.25">
      <c r="A918">
        <v>247.04296875</v>
      </c>
      <c r="B918">
        <v>210.81019592285156</v>
      </c>
    </row>
    <row r="919" spans="1:2" x14ac:dyDescent="0.25">
      <c r="A919">
        <v>245.66499328613281</v>
      </c>
      <c r="B919">
        <v>207.81570434570312</v>
      </c>
    </row>
    <row r="920" spans="1:2" x14ac:dyDescent="0.25">
      <c r="A920">
        <v>244.49655151367187</v>
      </c>
      <c r="B920">
        <v>203.88523864746094</v>
      </c>
    </row>
    <row r="921" spans="1:2" x14ac:dyDescent="0.25">
      <c r="A921">
        <v>245.84234619140625</v>
      </c>
      <c r="B921">
        <v>208.03860473632812</v>
      </c>
    </row>
    <row r="922" spans="1:2" x14ac:dyDescent="0.25">
      <c r="A922">
        <v>256.58746337890625</v>
      </c>
      <c r="B922">
        <v>204.62092590332031</v>
      </c>
    </row>
    <row r="923" spans="1:2" x14ac:dyDescent="0.25">
      <c r="A923">
        <v>254.49700927734375</v>
      </c>
      <c r="B923">
        <v>204.25656127929687</v>
      </c>
    </row>
    <row r="924" spans="1:2" x14ac:dyDescent="0.25">
      <c r="A924">
        <v>250.78019714355469</v>
      </c>
      <c r="B924">
        <v>210.29661560058594</v>
      </c>
    </row>
    <row r="925" spans="1:2" x14ac:dyDescent="0.25">
      <c r="A925">
        <v>251.05499267578125</v>
      </c>
      <c r="B925">
        <v>226.41998291015625</v>
      </c>
    </row>
    <row r="926" spans="1:2" x14ac:dyDescent="0.25">
      <c r="A926">
        <v>257.00155639648437</v>
      </c>
      <c r="B926">
        <v>294.42913818359375</v>
      </c>
    </row>
    <row r="927" spans="1:2" x14ac:dyDescent="0.25">
      <c r="A927">
        <v>254.47123718261719</v>
      </c>
      <c r="B927">
        <v>405.47930908203125</v>
      </c>
    </row>
    <row r="928" spans="1:2" x14ac:dyDescent="0.25">
      <c r="A928">
        <v>254.19766235351562</v>
      </c>
      <c r="B928">
        <v>348.86819458007813</v>
      </c>
    </row>
    <row r="929" spans="1:2" x14ac:dyDescent="0.25">
      <c r="A929">
        <v>259.7633056640625</v>
      </c>
      <c r="B929">
        <v>273.72540283203125</v>
      </c>
    </row>
    <row r="930" spans="1:2" x14ac:dyDescent="0.25">
      <c r="A930">
        <v>279.20846557617187</v>
      </c>
      <c r="B930">
        <v>205.12841796875</v>
      </c>
    </row>
    <row r="931" spans="1:2" x14ac:dyDescent="0.25">
      <c r="A931">
        <v>361.93844604492187</v>
      </c>
      <c r="B931">
        <v>206.8416748046875</v>
      </c>
    </row>
    <row r="932" spans="1:2" x14ac:dyDescent="0.25">
      <c r="A932">
        <v>481.82516479492187</v>
      </c>
      <c r="B932">
        <v>199.32894897460937</v>
      </c>
    </row>
    <row r="933" spans="1:2" x14ac:dyDescent="0.25">
      <c r="A933">
        <v>404.28097534179687</v>
      </c>
      <c r="B933">
        <v>200.19590759277344</v>
      </c>
    </row>
    <row r="934" spans="1:2" x14ac:dyDescent="0.25">
      <c r="A934">
        <v>320.5736083984375</v>
      </c>
      <c r="B934">
        <v>198.77818298339844</v>
      </c>
    </row>
    <row r="935" spans="1:2" x14ac:dyDescent="0.25">
      <c r="A935">
        <v>250.58390808105469</v>
      </c>
      <c r="B935">
        <v>200.87359619140625</v>
      </c>
    </row>
    <row r="936" spans="1:2" x14ac:dyDescent="0.25">
      <c r="A936">
        <v>254.4080810546875</v>
      </c>
      <c r="B936">
        <v>198.37907409667969</v>
      </c>
    </row>
    <row r="937" spans="1:2" x14ac:dyDescent="0.25">
      <c r="A937">
        <v>245.42684936523437</v>
      </c>
      <c r="B937">
        <v>207.65774536132812</v>
      </c>
    </row>
    <row r="938" spans="1:2" x14ac:dyDescent="0.25">
      <c r="A938">
        <v>242.88688659667969</v>
      </c>
      <c r="B938">
        <v>260.24014282226562</v>
      </c>
    </row>
    <row r="939" spans="1:2" x14ac:dyDescent="0.25">
      <c r="A939">
        <v>242.43867492675781</v>
      </c>
      <c r="B939">
        <v>381.40133666992187</v>
      </c>
    </row>
    <row r="940" spans="1:2" x14ac:dyDescent="0.25">
      <c r="A940">
        <v>240.09812927246094</v>
      </c>
      <c r="B940">
        <v>503.44906616210937</v>
      </c>
    </row>
    <row r="941" spans="1:2" x14ac:dyDescent="0.25">
      <c r="A941">
        <v>239.97462463378906</v>
      </c>
      <c r="B941">
        <v>529.40606689453125</v>
      </c>
    </row>
    <row r="942" spans="1:2" x14ac:dyDescent="0.25">
      <c r="A942">
        <v>249.86817932128906</v>
      </c>
      <c r="B942">
        <v>533.44073486328125</v>
      </c>
    </row>
    <row r="943" spans="1:2" x14ac:dyDescent="0.25">
      <c r="A943">
        <v>314.28167724609375</v>
      </c>
      <c r="B943">
        <v>533.04779052734375</v>
      </c>
    </row>
    <row r="944" spans="1:2" x14ac:dyDescent="0.25">
      <c r="A944">
        <v>450.63436889648437</v>
      </c>
      <c r="B944">
        <v>531.6181640625</v>
      </c>
    </row>
    <row r="945" spans="1:2" x14ac:dyDescent="0.25">
      <c r="A945">
        <v>586.75054931640625</v>
      </c>
      <c r="B945">
        <v>534.76531982421875</v>
      </c>
    </row>
    <row r="946" spans="1:2" x14ac:dyDescent="0.25">
      <c r="A946">
        <v>607.7623291015625</v>
      </c>
      <c r="B946">
        <v>521.7017822265625</v>
      </c>
    </row>
    <row r="947" spans="1:2" x14ac:dyDescent="0.25">
      <c r="A947">
        <v>606.164306640625</v>
      </c>
      <c r="B947">
        <v>496.0616455078125</v>
      </c>
    </row>
    <row r="948" spans="1:2" x14ac:dyDescent="0.25">
      <c r="A948">
        <v>602.585205078125</v>
      </c>
      <c r="B948">
        <v>456.95870971679687</v>
      </c>
    </row>
    <row r="949" spans="1:2" x14ac:dyDescent="0.25">
      <c r="A949">
        <v>601.011962890625</v>
      </c>
      <c r="B949">
        <v>508.27224731445312</v>
      </c>
    </row>
    <row r="950" spans="1:2" x14ac:dyDescent="0.25">
      <c r="A950">
        <v>597.51251220703125</v>
      </c>
      <c r="B950">
        <v>533.814453125</v>
      </c>
    </row>
    <row r="951" spans="1:2" x14ac:dyDescent="0.25">
      <c r="A951">
        <v>575.99920654296875</v>
      </c>
      <c r="B951">
        <v>532.84173583984375</v>
      </c>
    </row>
    <row r="952" spans="1:2" x14ac:dyDescent="0.25">
      <c r="A952">
        <v>542.35760498046875</v>
      </c>
      <c r="B952">
        <v>535.3697509765625</v>
      </c>
    </row>
    <row r="953" spans="1:2" x14ac:dyDescent="0.25">
      <c r="A953">
        <v>501.92449951171875</v>
      </c>
      <c r="B953">
        <v>525.62200927734375</v>
      </c>
    </row>
    <row r="954" spans="1:2" x14ac:dyDescent="0.25">
      <c r="A954">
        <v>567.4105224609375</v>
      </c>
      <c r="B954">
        <v>431.02474975585937</v>
      </c>
    </row>
    <row r="955" spans="1:2" x14ac:dyDescent="0.25">
      <c r="A955">
        <v>590.31201171875</v>
      </c>
      <c r="B955">
        <v>306.44491577148437</v>
      </c>
    </row>
    <row r="956" spans="1:2" x14ac:dyDescent="0.25">
      <c r="A956">
        <v>591.0260009765625</v>
      </c>
      <c r="B956">
        <v>222.38166809082031</v>
      </c>
    </row>
    <row r="957" spans="1:2" x14ac:dyDescent="0.25">
      <c r="A957">
        <v>592.92034912109375</v>
      </c>
      <c r="B957">
        <v>204.73121643066406</v>
      </c>
    </row>
    <row r="958" spans="1:2" x14ac:dyDescent="0.25">
      <c r="A958">
        <v>577.65948486328125</v>
      </c>
      <c r="B958">
        <v>198.57780456542969</v>
      </c>
    </row>
    <row r="959" spans="1:2" x14ac:dyDescent="0.25">
      <c r="A959">
        <v>461.56466674804687</v>
      </c>
      <c r="B959">
        <v>198.58187866210937</v>
      </c>
    </row>
    <row r="960" spans="1:2" x14ac:dyDescent="0.25">
      <c r="A960">
        <v>332.14926147460937</v>
      </c>
      <c r="B960">
        <v>207.57423400878906</v>
      </c>
    </row>
    <row r="961" spans="1:2" x14ac:dyDescent="0.25">
      <c r="A961">
        <v>247.05262756347656</v>
      </c>
      <c r="B961">
        <v>241.67485046386719</v>
      </c>
    </row>
    <row r="962" spans="1:2" x14ac:dyDescent="0.25">
      <c r="A962">
        <v>239.135986328125</v>
      </c>
      <c r="B962">
        <v>390.85031127929687</v>
      </c>
    </row>
    <row r="963" spans="1:2" x14ac:dyDescent="0.25">
      <c r="A963">
        <v>242.49348449707031</v>
      </c>
      <c r="B963">
        <v>515.08624267578125</v>
      </c>
    </row>
    <row r="964" spans="1:2" x14ac:dyDescent="0.25">
      <c r="A964">
        <v>246.03434753417969</v>
      </c>
      <c r="B964">
        <v>521.232421875</v>
      </c>
    </row>
    <row r="965" spans="1:2" x14ac:dyDescent="0.25">
      <c r="A965">
        <v>259.4874267578125</v>
      </c>
      <c r="B965">
        <v>530.94525146484375</v>
      </c>
    </row>
    <row r="966" spans="1:2" x14ac:dyDescent="0.25">
      <c r="A966">
        <v>301.43231201171875</v>
      </c>
      <c r="B966">
        <v>532.7327880859375</v>
      </c>
    </row>
    <row r="967" spans="1:2" x14ac:dyDescent="0.25">
      <c r="A967">
        <v>467.48690795898437</v>
      </c>
      <c r="B967">
        <v>522.7000732421875</v>
      </c>
    </row>
    <row r="968" spans="1:2" x14ac:dyDescent="0.25">
      <c r="A968">
        <v>595.07659912109375</v>
      </c>
      <c r="B968">
        <v>507.762939453125</v>
      </c>
    </row>
    <row r="969" spans="1:2" x14ac:dyDescent="0.25">
      <c r="A969">
        <v>600.4351806640625</v>
      </c>
      <c r="B969">
        <v>399.56680297851562</v>
      </c>
    </row>
    <row r="970" spans="1:2" x14ac:dyDescent="0.25">
      <c r="A970">
        <v>618.31964111328125</v>
      </c>
      <c r="B970">
        <v>299.87451171875</v>
      </c>
    </row>
    <row r="971" spans="1:2" x14ac:dyDescent="0.25">
      <c r="A971">
        <v>614.71142578125</v>
      </c>
      <c r="B971">
        <v>214.4312744140625</v>
      </c>
    </row>
    <row r="972" spans="1:2" x14ac:dyDescent="0.25">
      <c r="A972">
        <v>602.16912841796875</v>
      </c>
      <c r="B972">
        <v>206.33384704589844</v>
      </c>
    </row>
    <row r="973" spans="1:2" x14ac:dyDescent="0.25">
      <c r="A973">
        <v>578.48101806640625</v>
      </c>
      <c r="B973">
        <v>219.08154296875</v>
      </c>
    </row>
    <row r="974" spans="1:2" x14ac:dyDescent="0.25">
      <c r="A974">
        <v>443.80899047851562</v>
      </c>
      <c r="B974">
        <v>312.25723266601562</v>
      </c>
    </row>
    <row r="975" spans="1:2" x14ac:dyDescent="0.25">
      <c r="A975">
        <v>339.57638549804687</v>
      </c>
      <c r="B975">
        <v>404.96023559570312</v>
      </c>
    </row>
    <row r="976" spans="1:2" x14ac:dyDescent="0.25">
      <c r="A976">
        <v>248.72109985351562</v>
      </c>
      <c r="B976">
        <v>363.12100219726562</v>
      </c>
    </row>
    <row r="977" spans="1:2" x14ac:dyDescent="0.25">
      <c r="A977">
        <v>248.35026550292969</v>
      </c>
      <c r="B977">
        <v>337.88021850585937</v>
      </c>
    </row>
    <row r="978" spans="1:2" x14ac:dyDescent="0.25">
      <c r="A978">
        <v>263.05438232421875</v>
      </c>
      <c r="B978">
        <v>263.74429321289062</v>
      </c>
    </row>
    <row r="979" spans="1:2" x14ac:dyDescent="0.25">
      <c r="A979">
        <v>377.57559204101562</v>
      </c>
      <c r="B979">
        <v>200.79086303710937</v>
      </c>
    </row>
    <row r="980" spans="1:2" x14ac:dyDescent="0.25">
      <c r="A980">
        <v>452.12738037109375</v>
      </c>
      <c r="B980">
        <v>216.066162109375</v>
      </c>
    </row>
    <row r="981" spans="1:2" x14ac:dyDescent="0.25">
      <c r="A981">
        <v>408.5</v>
      </c>
      <c r="B981">
        <v>204.42195129394531</v>
      </c>
    </row>
    <row r="982" spans="1:2" x14ac:dyDescent="0.25">
      <c r="A982">
        <v>378.5107421875</v>
      </c>
      <c r="B982">
        <v>197.49205017089844</v>
      </c>
    </row>
    <row r="983" spans="1:2" x14ac:dyDescent="0.25">
      <c r="A983">
        <v>286.87908935546875</v>
      </c>
      <c r="B983">
        <v>197.68052673339844</v>
      </c>
    </row>
    <row r="984" spans="1:2" x14ac:dyDescent="0.25">
      <c r="A984">
        <v>234.76341247558594</v>
      </c>
      <c r="B984">
        <v>201.21745300292969</v>
      </c>
    </row>
    <row r="985" spans="1:2" x14ac:dyDescent="0.25">
      <c r="A985">
        <v>256.87786865234375</v>
      </c>
      <c r="B985">
        <v>207.36820983886719</v>
      </c>
    </row>
    <row r="986" spans="1:2" x14ac:dyDescent="0.25">
      <c r="A986">
        <v>242.92680358886719</v>
      </c>
      <c r="B986">
        <v>241.79881286621094</v>
      </c>
    </row>
    <row r="987" spans="1:2" x14ac:dyDescent="0.25">
      <c r="A987">
        <v>238.59986877441406</v>
      </c>
      <c r="B987">
        <v>378.77740478515625</v>
      </c>
    </row>
    <row r="988" spans="1:2" x14ac:dyDescent="0.25">
      <c r="A988">
        <v>240.12062072753906</v>
      </c>
      <c r="B988">
        <v>427.15829467773437</v>
      </c>
    </row>
    <row r="989" spans="1:2" x14ac:dyDescent="0.25">
      <c r="A989">
        <v>244.94998168945312</v>
      </c>
      <c r="B989">
        <v>337.20999145507812</v>
      </c>
    </row>
    <row r="990" spans="1:2" x14ac:dyDescent="0.25">
      <c r="A990">
        <v>244.86395263671875</v>
      </c>
      <c r="B990">
        <v>275.61636352539062</v>
      </c>
    </row>
    <row r="991" spans="1:2" x14ac:dyDescent="0.25">
      <c r="A991">
        <v>292.7183837890625</v>
      </c>
      <c r="B991">
        <v>224.83976745605469</v>
      </c>
    </row>
    <row r="992" spans="1:2" x14ac:dyDescent="0.25">
      <c r="A992">
        <v>440.01275634765625</v>
      </c>
      <c r="B992">
        <v>210.99624633789062</v>
      </c>
    </row>
    <row r="993" spans="1:2" x14ac:dyDescent="0.25">
      <c r="A993">
        <v>469.51589965820312</v>
      </c>
      <c r="B993">
        <v>205.89314270019531</v>
      </c>
    </row>
    <row r="994" spans="1:2" x14ac:dyDescent="0.25">
      <c r="A994">
        <v>375.00634765625</v>
      </c>
      <c r="B994">
        <v>199.61968994140625</v>
      </c>
    </row>
    <row r="995" spans="1:2" x14ac:dyDescent="0.25">
      <c r="A995">
        <v>312.93991088867187</v>
      </c>
      <c r="B995">
        <v>210.46208190917969</v>
      </c>
    </row>
    <row r="996" spans="1:2" x14ac:dyDescent="0.25">
      <c r="A996">
        <v>257.291748046875</v>
      </c>
      <c r="B996">
        <v>203.10765075683594</v>
      </c>
    </row>
    <row r="997" spans="1:2" x14ac:dyDescent="0.25">
      <c r="A997">
        <v>249.42001342773437</v>
      </c>
      <c r="B997">
        <v>216.48660278320312</v>
      </c>
    </row>
    <row r="998" spans="1:2" x14ac:dyDescent="0.25">
      <c r="A998">
        <v>241.86322021484375</v>
      </c>
      <c r="B998">
        <v>236.34678649902344</v>
      </c>
    </row>
    <row r="999" spans="1:2" x14ac:dyDescent="0.25">
      <c r="A999">
        <v>243.12168884277344</v>
      </c>
      <c r="B999">
        <v>336.74862670898437</v>
      </c>
    </row>
    <row r="1000" spans="1:2" x14ac:dyDescent="0.25">
      <c r="A1000">
        <v>253.51298522949219</v>
      </c>
      <c r="B1000">
        <v>339.47665405273437</v>
      </c>
    </row>
    <row r="1001" spans="1:2" x14ac:dyDescent="0.25">
      <c r="A1001">
        <v>244.03103637695312</v>
      </c>
      <c r="B1001">
        <v>330.339599609375</v>
      </c>
    </row>
    <row r="1002" spans="1:2" x14ac:dyDescent="0.25">
      <c r="A1002">
        <v>256.23910522460937</v>
      </c>
      <c r="B1002">
        <v>248.6986083984375</v>
      </c>
    </row>
    <row r="1003" spans="1:2" x14ac:dyDescent="0.25">
      <c r="A1003">
        <v>289.01791381835937</v>
      </c>
      <c r="B1003">
        <v>198.09693908691406</v>
      </c>
    </row>
    <row r="1004" spans="1:2" x14ac:dyDescent="0.25">
      <c r="A1004">
        <v>391.9476318359375</v>
      </c>
      <c r="B1004">
        <v>200.27137756347656</v>
      </c>
    </row>
    <row r="1005" spans="1:2" x14ac:dyDescent="0.25">
      <c r="A1005">
        <v>386.66244506835937</v>
      </c>
      <c r="B1005">
        <v>199.05087280273437</v>
      </c>
    </row>
    <row r="1006" spans="1:2" x14ac:dyDescent="0.25">
      <c r="A1006">
        <v>381.07464599609375</v>
      </c>
      <c r="B1006">
        <v>199.23664855957031</v>
      </c>
    </row>
    <row r="1007" spans="1:2" x14ac:dyDescent="0.25">
      <c r="A1007">
        <v>279.61117553710937</v>
      </c>
      <c r="B1007">
        <v>198.50677490234375</v>
      </c>
    </row>
    <row r="1008" spans="1:2" x14ac:dyDescent="0.25">
      <c r="A1008">
        <v>243.41249084472656</v>
      </c>
      <c r="B1008">
        <v>200.40007019042969</v>
      </c>
    </row>
    <row r="1009" spans="1:2" x14ac:dyDescent="0.25">
      <c r="A1009">
        <v>242.75035095214844</v>
      </c>
      <c r="B1009">
        <v>244.94976806640625</v>
      </c>
    </row>
    <row r="1010" spans="1:2" x14ac:dyDescent="0.25">
      <c r="A1010">
        <v>242.2734375</v>
      </c>
      <c r="B1010">
        <v>318.90020751953125</v>
      </c>
    </row>
    <row r="1011" spans="1:2" x14ac:dyDescent="0.25">
      <c r="A1011">
        <v>243.52394104003906</v>
      </c>
      <c r="B1011">
        <v>451.967529296875</v>
      </c>
    </row>
    <row r="1012" spans="1:2" x14ac:dyDescent="0.25">
      <c r="A1012">
        <v>243.78282165527344</v>
      </c>
      <c r="B1012">
        <v>519.889404296875</v>
      </c>
    </row>
    <row r="1013" spans="1:2" x14ac:dyDescent="0.25">
      <c r="A1013">
        <v>245.87167358398438</v>
      </c>
      <c r="B1013">
        <v>535.57342529296875</v>
      </c>
    </row>
    <row r="1014" spans="1:2" x14ac:dyDescent="0.25">
      <c r="A1014">
        <v>302.38101196289062</v>
      </c>
      <c r="B1014">
        <v>531.20831298828125</v>
      </c>
    </row>
    <row r="1015" spans="1:2" x14ac:dyDescent="0.25">
      <c r="A1015">
        <v>384.00283813476562</v>
      </c>
      <c r="B1015">
        <v>530.5616455078125</v>
      </c>
    </row>
    <row r="1016" spans="1:2" x14ac:dyDescent="0.25">
      <c r="A1016">
        <v>531.90484619140625</v>
      </c>
      <c r="B1016">
        <v>531.7344970703125</v>
      </c>
    </row>
    <row r="1017" spans="1:2" x14ac:dyDescent="0.25">
      <c r="A1017">
        <v>597.69085693359375</v>
      </c>
      <c r="B1017">
        <v>532.3701171875</v>
      </c>
    </row>
    <row r="1018" spans="1:2" x14ac:dyDescent="0.25">
      <c r="A1018">
        <v>618.89263916015625</v>
      </c>
      <c r="B1018">
        <v>527.36932373046875</v>
      </c>
    </row>
    <row r="1019" spans="1:2" x14ac:dyDescent="0.25">
      <c r="A1019">
        <v>612.40966796875</v>
      </c>
      <c r="B1019">
        <v>447.09796142578125</v>
      </c>
    </row>
    <row r="1020" spans="1:2" x14ac:dyDescent="0.25">
      <c r="A1020">
        <v>612.39984130859375</v>
      </c>
      <c r="B1020">
        <v>372.767822265625</v>
      </c>
    </row>
    <row r="1021" spans="1:2" x14ac:dyDescent="0.25">
      <c r="A1021">
        <v>611.90533447265625</v>
      </c>
      <c r="B1021">
        <v>421.76876831054687</v>
      </c>
    </row>
    <row r="1022" spans="1:2" x14ac:dyDescent="0.25">
      <c r="A1022">
        <v>612.54010009765625</v>
      </c>
      <c r="B1022">
        <v>515.4486083984375</v>
      </c>
    </row>
    <row r="1023" spans="1:2" x14ac:dyDescent="0.25">
      <c r="A1023">
        <v>607.19061279296875</v>
      </c>
      <c r="B1023">
        <v>534.88592529296875</v>
      </c>
    </row>
    <row r="1024" spans="1:2" x14ac:dyDescent="0.25">
      <c r="A1024">
        <v>507.04986572265625</v>
      </c>
      <c r="B1024">
        <v>533.63067626953125</v>
      </c>
    </row>
    <row r="1025" spans="1:2" x14ac:dyDescent="0.25">
      <c r="A1025">
        <v>431.22943115234375</v>
      </c>
      <c r="B1025">
        <v>534.427490234375</v>
      </c>
    </row>
    <row r="1026" spans="1:2" x14ac:dyDescent="0.25">
      <c r="A1026">
        <v>502.28350830078125</v>
      </c>
      <c r="B1026">
        <v>527.1939697265625</v>
      </c>
    </row>
    <row r="1027" spans="1:2" x14ac:dyDescent="0.25">
      <c r="A1027">
        <v>609.32989501953125</v>
      </c>
      <c r="B1027">
        <v>478.86685180664062</v>
      </c>
    </row>
    <row r="1028" spans="1:2" x14ac:dyDescent="0.25">
      <c r="A1028">
        <v>624.89434814453125</v>
      </c>
      <c r="B1028">
        <v>376.9215087890625</v>
      </c>
    </row>
    <row r="1029" spans="1:2" x14ac:dyDescent="0.25">
      <c r="A1029">
        <v>616.5291748046875</v>
      </c>
      <c r="B1029">
        <v>299.72125244140625</v>
      </c>
    </row>
    <row r="1030" spans="1:2" x14ac:dyDescent="0.25">
      <c r="A1030">
        <v>611.7086181640625</v>
      </c>
      <c r="B1030">
        <v>266.82855224609375</v>
      </c>
    </row>
    <row r="1031" spans="1:2" x14ac:dyDescent="0.25">
      <c r="A1031">
        <v>595.36541748046875</v>
      </c>
      <c r="B1031">
        <v>269.2056884765625</v>
      </c>
    </row>
    <row r="1032" spans="1:2" x14ac:dyDescent="0.25">
      <c r="A1032">
        <v>527.24066162109375</v>
      </c>
      <c r="B1032">
        <v>283.68630981445312</v>
      </c>
    </row>
    <row r="1033" spans="1:2" x14ac:dyDescent="0.25">
      <c r="A1033">
        <v>410.71719360351562</v>
      </c>
      <c r="B1033">
        <v>337.14334106445312</v>
      </c>
    </row>
    <row r="1034" spans="1:2" x14ac:dyDescent="0.25">
      <c r="A1034">
        <v>327.002197265625</v>
      </c>
      <c r="B1034">
        <v>394.90457153320312</v>
      </c>
    </row>
    <row r="1035" spans="1:2" x14ac:dyDescent="0.25">
      <c r="A1035">
        <v>299.49063110351562</v>
      </c>
      <c r="B1035">
        <v>503.84271240234375</v>
      </c>
    </row>
    <row r="1036" spans="1:2" x14ac:dyDescent="0.25">
      <c r="A1036">
        <v>296.51806640625</v>
      </c>
      <c r="B1036">
        <v>524.6240234375</v>
      </c>
    </row>
    <row r="1037" spans="1:2" x14ac:dyDescent="0.25">
      <c r="A1037">
        <v>316.31387329101562</v>
      </c>
      <c r="B1037">
        <v>516.39410400390625</v>
      </c>
    </row>
    <row r="1038" spans="1:2" x14ac:dyDescent="0.25">
      <c r="A1038">
        <v>375.83255004882812</v>
      </c>
      <c r="B1038">
        <v>518.85992431640625</v>
      </c>
    </row>
    <row r="1039" spans="1:2" x14ac:dyDescent="0.25">
      <c r="A1039">
        <v>432.9044189453125</v>
      </c>
      <c r="B1039">
        <v>514.7403564453125</v>
      </c>
    </row>
    <row r="1040" spans="1:2" x14ac:dyDescent="0.25">
      <c r="A1040">
        <v>551.02838134765625</v>
      </c>
      <c r="B1040">
        <v>490.478271484375</v>
      </c>
    </row>
    <row r="1041" spans="1:2" x14ac:dyDescent="0.25">
      <c r="A1041">
        <v>562.57025146484375</v>
      </c>
      <c r="B1041">
        <v>384.34375</v>
      </c>
    </row>
    <row r="1042" spans="1:2" x14ac:dyDescent="0.25">
      <c r="A1042">
        <v>559.4962158203125</v>
      </c>
      <c r="B1042">
        <v>297.05429077148437</v>
      </c>
    </row>
    <row r="1043" spans="1:2" x14ac:dyDescent="0.25">
      <c r="A1043">
        <v>560.11663818359375</v>
      </c>
      <c r="B1043">
        <v>313.82876586914062</v>
      </c>
    </row>
    <row r="1044" spans="1:2" x14ac:dyDescent="0.25">
      <c r="A1044">
        <v>559.6495361328125</v>
      </c>
      <c r="B1044">
        <v>329.73529052734375</v>
      </c>
    </row>
    <row r="1045" spans="1:2" x14ac:dyDescent="0.25">
      <c r="A1045">
        <v>525.64263916015625</v>
      </c>
      <c r="B1045">
        <v>336.27053833007812</v>
      </c>
    </row>
    <row r="1046" spans="1:2" x14ac:dyDescent="0.25">
      <c r="A1046">
        <v>400.49380493164062</v>
      </c>
      <c r="B1046">
        <v>325.89617919921875</v>
      </c>
    </row>
    <row r="1047" spans="1:2" x14ac:dyDescent="0.25">
      <c r="A1047">
        <v>321.48904418945312</v>
      </c>
      <c r="B1047">
        <v>272.52471923828125</v>
      </c>
    </row>
    <row r="1048" spans="1:2" x14ac:dyDescent="0.25">
      <c r="A1048">
        <v>341.48931884765625</v>
      </c>
      <c r="B1048">
        <v>248.04244995117187</v>
      </c>
    </row>
    <row r="1049" spans="1:2" x14ac:dyDescent="0.25">
      <c r="A1049">
        <v>360.06964111328125</v>
      </c>
      <c r="B1049">
        <v>146.82247924804687</v>
      </c>
    </row>
    <row r="1050" spans="1:2" x14ac:dyDescent="0.25">
      <c r="A1050">
        <v>364.7186279296875</v>
      </c>
      <c r="B1050">
        <v>45.222122192382813</v>
      </c>
    </row>
    <row r="1051" spans="1:2" x14ac:dyDescent="0.25">
      <c r="A1051">
        <v>346.02117919921875</v>
      </c>
      <c r="B1051">
        <v>4.6097744256258011E-2</v>
      </c>
    </row>
    <row r="1052" spans="1:2" x14ac:dyDescent="0.25">
      <c r="A1052">
        <v>290.78298950195313</v>
      </c>
      <c r="B1052">
        <v>4.6095874160528183E-2</v>
      </c>
    </row>
    <row r="1053" spans="1:2" x14ac:dyDescent="0.25">
      <c r="A1053">
        <v>245.24749755859375</v>
      </c>
      <c r="B1053">
        <v>5.1093373447656631E-2</v>
      </c>
    </row>
    <row r="1054" spans="1:2" x14ac:dyDescent="0.25">
      <c r="A1054">
        <v>116.48213958740234</v>
      </c>
      <c r="B1054">
        <v>5.5397793650627136E-2</v>
      </c>
    </row>
    <row r="1055" spans="1:2" x14ac:dyDescent="0.25">
      <c r="A1055">
        <v>34.251556396484375</v>
      </c>
      <c r="B1055">
        <v>4.6327114105224609E-2</v>
      </c>
    </row>
    <row r="1056" spans="1:2" x14ac:dyDescent="0.25">
      <c r="A1056">
        <v>0</v>
      </c>
      <c r="B1056">
        <v>5.1107112318277359E-2</v>
      </c>
    </row>
    <row r="1057" spans="1:2" x14ac:dyDescent="0.25">
      <c r="A1057">
        <v>0</v>
      </c>
      <c r="B1057">
        <v>5.5627807974815369E-2</v>
      </c>
    </row>
    <row r="1058" spans="1:2" x14ac:dyDescent="0.25">
      <c r="A1058">
        <v>0</v>
      </c>
      <c r="B1058">
        <v>6.5159708261489868E-2</v>
      </c>
    </row>
    <row r="1059" spans="1:2" x14ac:dyDescent="0.25">
      <c r="A1059">
        <v>0</v>
      </c>
      <c r="B1059">
        <v>6.0401935130357742E-2</v>
      </c>
    </row>
    <row r="1060" spans="1:2" x14ac:dyDescent="0.25">
      <c r="A1060">
        <v>0</v>
      </c>
      <c r="B1060">
        <v>4.1329942643642426E-2</v>
      </c>
    </row>
    <row r="1061" spans="1:2" x14ac:dyDescent="0.25">
      <c r="A1061">
        <v>0</v>
      </c>
      <c r="B1061">
        <v>5.086168646812439E-2</v>
      </c>
    </row>
    <row r="1062" spans="1:2" x14ac:dyDescent="0.25">
      <c r="A1062">
        <v>0</v>
      </c>
      <c r="B1062">
        <v>5.0863731652498245E-2</v>
      </c>
    </row>
    <row r="1063" spans="1:2" x14ac:dyDescent="0.25">
      <c r="A1063">
        <v>0</v>
      </c>
      <c r="B1063">
        <v>5.0620384514331818E-2</v>
      </c>
    </row>
    <row r="1064" spans="1:2" x14ac:dyDescent="0.25">
      <c r="A1064">
        <v>0</v>
      </c>
      <c r="B1064">
        <v>4.6340156346559525E-2</v>
      </c>
    </row>
    <row r="1065" spans="1:2" x14ac:dyDescent="0.25">
      <c r="A1065">
        <v>0</v>
      </c>
      <c r="B1065">
        <v>6.4915470778942108E-2</v>
      </c>
    </row>
    <row r="1066" spans="1:2" x14ac:dyDescent="0.25">
      <c r="A1066">
        <v>0</v>
      </c>
      <c r="B1066">
        <v>4.634387418627739E-2</v>
      </c>
    </row>
    <row r="1067" spans="1:2" x14ac:dyDescent="0.25">
      <c r="A1067">
        <v>0</v>
      </c>
      <c r="B1067">
        <v>5.086139589548111E-2</v>
      </c>
    </row>
    <row r="1068" spans="1:2" x14ac:dyDescent="0.25">
      <c r="A1068">
        <v>0</v>
      </c>
      <c r="B1068">
        <v>4.1329942643642426E-2</v>
      </c>
    </row>
    <row r="1069" spans="1:2" x14ac:dyDescent="0.25">
      <c r="A1069">
        <v>0</v>
      </c>
      <c r="B1069">
        <v>4.6096436679363251E-2</v>
      </c>
    </row>
    <row r="1070" spans="1:2" x14ac:dyDescent="0.25">
      <c r="A1070">
        <v>0</v>
      </c>
      <c r="B1070">
        <v>5.0863999873399734E-2</v>
      </c>
    </row>
    <row r="1071" spans="1:2" x14ac:dyDescent="0.25">
      <c r="A1071">
        <v>0</v>
      </c>
      <c r="B1071">
        <v>5.0617687404155731E-2</v>
      </c>
    </row>
    <row r="1072" spans="1:2" x14ac:dyDescent="0.25">
      <c r="A1072">
        <v>0</v>
      </c>
      <c r="B1072">
        <v>4.1573882102966309E-2</v>
      </c>
    </row>
    <row r="1073" spans="1:2" x14ac:dyDescent="0.25">
      <c r="A1073">
        <v>1.0266286134719849</v>
      </c>
      <c r="B1073">
        <v>5.5384188890457153E-2</v>
      </c>
    </row>
    <row r="1074" spans="1:2" x14ac:dyDescent="0.25">
      <c r="A1074">
        <v>0</v>
      </c>
      <c r="B1074">
        <v>5.0862345844507217E-2</v>
      </c>
    </row>
    <row r="1075" spans="1:2" x14ac:dyDescent="0.25">
      <c r="A1075">
        <v>0</v>
      </c>
      <c r="B1075">
        <v>5.1108065992593765E-2</v>
      </c>
    </row>
    <row r="1076" spans="1:2" x14ac:dyDescent="0.25">
      <c r="A1076">
        <v>0</v>
      </c>
      <c r="B1076">
        <v>4.1329942643642426E-2</v>
      </c>
    </row>
    <row r="1077" spans="1:2" x14ac:dyDescent="0.25">
      <c r="A1077">
        <v>0</v>
      </c>
      <c r="B1077">
        <v>6.0394607484340668E-2</v>
      </c>
    </row>
    <row r="1078" spans="1:2" x14ac:dyDescent="0.25">
      <c r="A1078">
        <v>0</v>
      </c>
      <c r="B1078">
        <v>5.5628556758165359E-2</v>
      </c>
    </row>
    <row r="1079" spans="1:2" x14ac:dyDescent="0.25">
      <c r="A1079">
        <v>0</v>
      </c>
      <c r="B1079">
        <v>5.086212232708931E-2</v>
      </c>
    </row>
    <row r="1080" spans="1:2" x14ac:dyDescent="0.25">
      <c r="A1080">
        <v>0</v>
      </c>
      <c r="B1080">
        <v>6.5162055194377899E-2</v>
      </c>
    </row>
    <row r="1081" spans="1:2" x14ac:dyDescent="0.25">
      <c r="A1081">
        <v>0</v>
      </c>
      <c r="B1081">
        <v>5.4909300059080124E-2</v>
      </c>
    </row>
    <row r="1082" spans="1:2" x14ac:dyDescent="0.25">
      <c r="A1082">
        <v>0</v>
      </c>
      <c r="B1082">
        <v>5.1585394889116287E-2</v>
      </c>
    </row>
    <row r="1083" spans="1:2" x14ac:dyDescent="0.25">
      <c r="A1083">
        <v>0</v>
      </c>
      <c r="B1083">
        <v>5.014028400182724E-2</v>
      </c>
    </row>
    <row r="1084" spans="1:2" x14ac:dyDescent="0.25">
      <c r="A1084">
        <v>0</v>
      </c>
      <c r="B1084">
        <v>5.6351073086261749E-2</v>
      </c>
    </row>
    <row r="1085" spans="1:2" x14ac:dyDescent="0.25">
      <c r="A1085">
        <v>0</v>
      </c>
      <c r="B1085">
        <v>6.0397390276193619E-2</v>
      </c>
    </row>
    <row r="1086" spans="1:2" x14ac:dyDescent="0.25">
      <c r="A1086">
        <v>0</v>
      </c>
      <c r="B1086">
        <v>4.6096187084913254E-2</v>
      </c>
    </row>
    <row r="1087" spans="1:2" x14ac:dyDescent="0.25">
      <c r="A1087">
        <v>0</v>
      </c>
      <c r="B1087">
        <v>5.9675335884094238E-2</v>
      </c>
    </row>
    <row r="1088" spans="1:2" x14ac:dyDescent="0.25">
      <c r="A1088">
        <v>0</v>
      </c>
      <c r="B1088">
        <v>6.1115000396966934E-2</v>
      </c>
    </row>
    <row r="1089" spans="1:2" x14ac:dyDescent="0.25">
      <c r="A1089">
        <v>0</v>
      </c>
      <c r="B1089">
        <v>6.039312481880188E-2</v>
      </c>
    </row>
    <row r="1090" spans="1:2" x14ac:dyDescent="0.25">
      <c r="A1090">
        <v>0</v>
      </c>
      <c r="B1090">
        <v>6.0394730418920517E-2</v>
      </c>
    </row>
    <row r="1091" spans="1:2" x14ac:dyDescent="0.25">
      <c r="A1091">
        <v>0</v>
      </c>
      <c r="B1091">
        <v>5.9674054384231567E-2</v>
      </c>
    </row>
    <row r="1092" spans="1:2" x14ac:dyDescent="0.25">
      <c r="A1092">
        <v>0</v>
      </c>
      <c r="B1092">
        <v>5.0862900912761688E-2</v>
      </c>
    </row>
    <row r="1093" spans="1:2" x14ac:dyDescent="0.25">
      <c r="A1093">
        <v>0</v>
      </c>
      <c r="B1093">
        <v>6.5883107483386993E-2</v>
      </c>
    </row>
    <row r="1094" spans="1:2" x14ac:dyDescent="0.25">
      <c r="A1094">
        <v>0</v>
      </c>
      <c r="B1094">
        <v>6.0392476618289948E-2</v>
      </c>
    </row>
    <row r="1095" spans="1:2" x14ac:dyDescent="0.25">
      <c r="A1095">
        <v>0</v>
      </c>
      <c r="B1095">
        <v>5.9674359858036041E-2</v>
      </c>
    </row>
    <row r="1096" spans="1:2" x14ac:dyDescent="0.25">
      <c r="A1096">
        <v>0</v>
      </c>
      <c r="B1096">
        <v>6.5160945057868958E-2</v>
      </c>
    </row>
    <row r="1097" spans="1:2" x14ac:dyDescent="0.25">
      <c r="A1097">
        <v>0</v>
      </c>
      <c r="B1097">
        <v>5.6828618049621582E-2</v>
      </c>
    </row>
    <row r="1098" spans="1:2" x14ac:dyDescent="0.25">
      <c r="A1098">
        <v>0</v>
      </c>
      <c r="B1098">
        <v>5.0861809402704239E-2</v>
      </c>
    </row>
    <row r="1099" spans="1:2" x14ac:dyDescent="0.25">
      <c r="A1099">
        <v>0</v>
      </c>
      <c r="B1099">
        <v>6.3962340354919434E-2</v>
      </c>
    </row>
    <row r="1100" spans="1:2" x14ac:dyDescent="0.25">
      <c r="A1100">
        <v>0</v>
      </c>
      <c r="B1100">
        <v>6.0394275933504105E-2</v>
      </c>
    </row>
    <row r="1101" spans="1:2" x14ac:dyDescent="0.25">
      <c r="A1101">
        <v>0</v>
      </c>
      <c r="B1101">
        <v>4.7293610870838165E-2</v>
      </c>
    </row>
    <row r="1102" spans="1:2" x14ac:dyDescent="0.25">
      <c r="A1102">
        <v>0</v>
      </c>
      <c r="B1102">
        <v>5.3952362388372421E-2</v>
      </c>
    </row>
    <row r="1103" spans="1:2" x14ac:dyDescent="0.25">
      <c r="A1103">
        <v>0</v>
      </c>
      <c r="B1103">
        <v>5.086173489689827E-2</v>
      </c>
    </row>
    <row r="1104" spans="1:2" x14ac:dyDescent="0.25">
      <c r="A1104">
        <v>0</v>
      </c>
      <c r="B1104">
        <v>4.3004680424928665E-2</v>
      </c>
    </row>
    <row r="1105" spans="1:2" x14ac:dyDescent="0.25">
      <c r="A1105">
        <v>0</v>
      </c>
      <c r="B1105">
        <v>4.9188695847988129E-2</v>
      </c>
    </row>
    <row r="1106" spans="1:2" x14ac:dyDescent="0.25">
      <c r="A1106">
        <v>0</v>
      </c>
      <c r="B1106">
        <v>4.7770228236913681E-2</v>
      </c>
    </row>
    <row r="1107" spans="1:2" x14ac:dyDescent="0.25">
      <c r="A1107">
        <v>0</v>
      </c>
      <c r="B1107">
        <v>5.0863545387983322E-2</v>
      </c>
    </row>
    <row r="1108" spans="1:2" x14ac:dyDescent="0.25">
      <c r="A1108">
        <v>0</v>
      </c>
      <c r="B1108">
        <v>4.6095319092273712E-2</v>
      </c>
    </row>
    <row r="1109" spans="1:2" x14ac:dyDescent="0.25">
      <c r="A1109">
        <v>0</v>
      </c>
      <c r="B1109">
        <v>5.3956456482410431E-2</v>
      </c>
    </row>
    <row r="1110" spans="1:2" x14ac:dyDescent="0.25">
      <c r="A1110">
        <v>0</v>
      </c>
      <c r="B1110">
        <v>5.2540544420480728E-2</v>
      </c>
    </row>
    <row r="1111" spans="1:2" x14ac:dyDescent="0.25">
      <c r="A1111">
        <v>0</v>
      </c>
      <c r="B1111">
        <v>5.5625766515731812E-2</v>
      </c>
    </row>
    <row r="1112" spans="1:2" x14ac:dyDescent="0.25">
      <c r="A1112">
        <v>0</v>
      </c>
      <c r="B1112">
        <v>6.0392469167709351E-2</v>
      </c>
    </row>
    <row r="1113" spans="1:2" x14ac:dyDescent="0.25">
      <c r="A1113">
        <v>0</v>
      </c>
      <c r="B1113">
        <v>5.5626813322305679E-2</v>
      </c>
    </row>
    <row r="1114" spans="1:2" x14ac:dyDescent="0.25">
      <c r="A1114">
        <v>0</v>
      </c>
      <c r="B1114">
        <v>5.3477637469768524E-2</v>
      </c>
    </row>
    <row r="1115" spans="1:2" x14ac:dyDescent="0.25">
      <c r="A1115">
        <v>0</v>
      </c>
      <c r="B1115">
        <v>5.5627595633268356E-2</v>
      </c>
    </row>
    <row r="1116" spans="1:2" x14ac:dyDescent="0.25">
      <c r="A1116">
        <v>0</v>
      </c>
      <c r="B1116">
        <v>5.7300832122564316E-2</v>
      </c>
    </row>
    <row r="1117" spans="1:2" x14ac:dyDescent="0.25">
      <c r="A1117">
        <v>0</v>
      </c>
      <c r="B1117">
        <v>5.8719988912343979E-2</v>
      </c>
    </row>
    <row r="1118" spans="1:2" x14ac:dyDescent="0.25">
      <c r="A1118">
        <v>0</v>
      </c>
      <c r="B1118">
        <v>5.730447918176651E-2</v>
      </c>
    </row>
    <row r="1119" spans="1:2" x14ac:dyDescent="0.25">
      <c r="A1119">
        <v>0</v>
      </c>
      <c r="B1119">
        <v>5.991806834936142E-2</v>
      </c>
    </row>
    <row r="1120" spans="1:2" x14ac:dyDescent="0.25">
      <c r="A1120">
        <v>0</v>
      </c>
      <c r="B1120">
        <v>5.086212232708931E-2</v>
      </c>
    </row>
    <row r="1121" spans="1:2" x14ac:dyDescent="0.25">
      <c r="A1121">
        <v>0</v>
      </c>
      <c r="B1121">
        <v>5.5627677589654922E-2</v>
      </c>
    </row>
    <row r="1122" spans="1:2" x14ac:dyDescent="0.25">
      <c r="A1122">
        <v>0</v>
      </c>
      <c r="B1122">
        <v>4.6097304672002792E-2</v>
      </c>
    </row>
    <row r="1123" spans="1:2" x14ac:dyDescent="0.25">
      <c r="A1123">
        <v>0</v>
      </c>
      <c r="B1123">
        <v>4.6095632016658783E-2</v>
      </c>
    </row>
    <row r="1124" spans="1:2" x14ac:dyDescent="0.25">
      <c r="A1124">
        <v>0</v>
      </c>
      <c r="B1124">
        <v>5.8243624866008759E-2</v>
      </c>
    </row>
    <row r="1125" spans="1:2" x14ac:dyDescent="0.25">
      <c r="A1125">
        <v>0</v>
      </c>
      <c r="B1125">
        <v>5.0863154232501984E-2</v>
      </c>
    </row>
    <row r="1126" spans="1:2" x14ac:dyDescent="0.25">
      <c r="A1126">
        <v>0</v>
      </c>
      <c r="B1126">
        <v>5.3014803677797318E-2</v>
      </c>
    </row>
    <row r="1127" spans="1:2" x14ac:dyDescent="0.25">
      <c r="A1127">
        <v>0</v>
      </c>
      <c r="B1127">
        <v>5.0863549113273621E-2</v>
      </c>
    </row>
    <row r="1128" spans="1:2" x14ac:dyDescent="0.25">
      <c r="A1128">
        <v>0</v>
      </c>
      <c r="B1128">
        <v>5.8243520557880402E-2</v>
      </c>
    </row>
    <row r="1129" spans="1:2" x14ac:dyDescent="0.25">
      <c r="A1129">
        <v>0</v>
      </c>
      <c r="B1129">
        <v>5.3014572709798813E-2</v>
      </c>
    </row>
    <row r="1130" spans="1:2" x14ac:dyDescent="0.25">
      <c r="A1130">
        <v>0</v>
      </c>
      <c r="B1130">
        <v>6.3010334968566895E-2</v>
      </c>
    </row>
    <row r="1131" spans="1:2" x14ac:dyDescent="0.25">
      <c r="A1131">
        <v>0</v>
      </c>
      <c r="B1131">
        <v>5.3016200661659241E-2</v>
      </c>
    </row>
    <row r="1132" spans="1:2" x14ac:dyDescent="0.25">
      <c r="A1132">
        <v>0</v>
      </c>
      <c r="B1132">
        <v>5.0862058997154236E-2</v>
      </c>
    </row>
    <row r="1133" spans="1:2" x14ac:dyDescent="0.25">
      <c r="A1133">
        <v>0</v>
      </c>
      <c r="B1133">
        <v>4.6095073223114014E-2</v>
      </c>
    </row>
    <row r="1134" spans="1:2" x14ac:dyDescent="0.25">
      <c r="A1134">
        <v>0</v>
      </c>
      <c r="B1134">
        <v>4.3945226818323135E-2</v>
      </c>
    </row>
    <row r="1135" spans="1:2" x14ac:dyDescent="0.25">
      <c r="A1135">
        <v>0</v>
      </c>
      <c r="B1135">
        <v>6.2545441091060638E-2</v>
      </c>
    </row>
    <row r="1136" spans="1:2" x14ac:dyDescent="0.25">
      <c r="A1136">
        <v>0</v>
      </c>
      <c r="B1136">
        <v>5.8245711028575897E-2</v>
      </c>
    </row>
    <row r="1137" spans="1:2" x14ac:dyDescent="0.25">
      <c r="A1137">
        <v>0</v>
      </c>
      <c r="B1137">
        <v>6.0395948588848114E-2</v>
      </c>
    </row>
    <row r="1138" spans="1:2" x14ac:dyDescent="0.25">
      <c r="A1138">
        <v>0</v>
      </c>
      <c r="B1138">
        <v>4.8245362937450409E-2</v>
      </c>
    </row>
    <row r="1139" spans="1:2" x14ac:dyDescent="0.25">
      <c r="A1139">
        <v>0</v>
      </c>
      <c r="B1139">
        <v>5.5627837777137756E-2</v>
      </c>
    </row>
    <row r="1140" spans="1:2" x14ac:dyDescent="0.25">
      <c r="A1140">
        <v>0</v>
      </c>
      <c r="B1140">
        <v>5.5626757442951202E-2</v>
      </c>
    </row>
    <row r="1141" spans="1:2" x14ac:dyDescent="0.25">
      <c r="A1141">
        <v>0</v>
      </c>
      <c r="B1141">
        <v>5.3001720458269119E-2</v>
      </c>
    </row>
    <row r="1142" spans="1:2" x14ac:dyDescent="0.25">
      <c r="A1142">
        <v>0</v>
      </c>
      <c r="B1142">
        <v>6.0392722487449646E-2</v>
      </c>
    </row>
    <row r="1143" spans="1:2" x14ac:dyDescent="0.25">
      <c r="A1143">
        <v>0</v>
      </c>
      <c r="B1143">
        <v>5.8257393538951874E-2</v>
      </c>
    </row>
    <row r="1144" spans="1:2" x14ac:dyDescent="0.25">
      <c r="A1144">
        <v>0</v>
      </c>
      <c r="B1144">
        <v>4.6095691621303558E-2</v>
      </c>
    </row>
    <row r="1145" spans="1:2" x14ac:dyDescent="0.25">
      <c r="A1145">
        <v>0</v>
      </c>
      <c r="B1145">
        <v>6.5161474049091339E-2</v>
      </c>
    </row>
    <row r="1146" spans="1:2" x14ac:dyDescent="0.25">
      <c r="A1146">
        <v>0</v>
      </c>
      <c r="B1146">
        <v>6.0398969799280167E-2</v>
      </c>
    </row>
    <row r="1147" spans="1:2" x14ac:dyDescent="0.25">
      <c r="A1147">
        <v>0</v>
      </c>
      <c r="B1147">
        <v>5.0863545387983322E-2</v>
      </c>
    </row>
    <row r="1148" spans="1:2" x14ac:dyDescent="0.25">
      <c r="A1148">
        <v>0</v>
      </c>
      <c r="B1148">
        <v>5.0862580537796021E-2</v>
      </c>
    </row>
    <row r="1149" spans="1:2" x14ac:dyDescent="0.25">
      <c r="A1149">
        <v>0</v>
      </c>
      <c r="B1149">
        <v>5.7288281619548798E-2</v>
      </c>
    </row>
    <row r="1150" spans="1:2" x14ac:dyDescent="0.25">
      <c r="A1150">
        <v>0</v>
      </c>
      <c r="B1150">
        <v>5.8732450008392334E-2</v>
      </c>
    </row>
    <row r="1151" spans="1:2" x14ac:dyDescent="0.25">
      <c r="A1151">
        <v>0</v>
      </c>
      <c r="B1151">
        <v>6.0395229607820511E-2</v>
      </c>
    </row>
    <row r="1152" spans="1:2" x14ac:dyDescent="0.25">
      <c r="A1152">
        <v>0</v>
      </c>
      <c r="B1152">
        <v>6.2057372182607651E-2</v>
      </c>
    </row>
    <row r="1153" spans="1:2" x14ac:dyDescent="0.25">
      <c r="A1153">
        <v>0</v>
      </c>
      <c r="B1153">
        <v>5.5629272013902664E-2</v>
      </c>
    </row>
    <row r="1154" spans="1:2" x14ac:dyDescent="0.25">
      <c r="A1154">
        <v>0</v>
      </c>
      <c r="B1154">
        <v>6.5161943435668945E-2</v>
      </c>
    </row>
    <row r="1155" spans="1:2" x14ac:dyDescent="0.25">
      <c r="A1155">
        <v>0</v>
      </c>
      <c r="B1155">
        <v>4.9200776964426041E-2</v>
      </c>
    </row>
    <row r="1156" spans="1:2" x14ac:dyDescent="0.25">
      <c r="A1156">
        <v>0</v>
      </c>
      <c r="B1156">
        <v>4.6095628291368484E-2</v>
      </c>
    </row>
    <row r="1157" spans="1:2" x14ac:dyDescent="0.25">
      <c r="A1157">
        <v>0</v>
      </c>
      <c r="B1157">
        <v>5.5630620568990707E-2</v>
      </c>
    </row>
    <row r="1158" spans="1:2" x14ac:dyDescent="0.25">
      <c r="A1158">
        <v>0</v>
      </c>
      <c r="B1158">
        <v>4.6096369624137878E-2</v>
      </c>
    </row>
    <row r="1159" spans="1:2" x14ac:dyDescent="0.25">
      <c r="A1159">
        <v>0</v>
      </c>
      <c r="B1159">
        <v>5.0859954208135605E-2</v>
      </c>
    </row>
    <row r="1160" spans="1:2" x14ac:dyDescent="0.25">
      <c r="A1160">
        <v>0</v>
      </c>
      <c r="B1160">
        <v>4.7757506370544434E-2</v>
      </c>
    </row>
    <row r="1161" spans="1:2" x14ac:dyDescent="0.25">
      <c r="A1161">
        <v>0</v>
      </c>
      <c r="B1161">
        <v>6.992688775062561E-2</v>
      </c>
    </row>
    <row r="1162" spans="1:2" x14ac:dyDescent="0.25">
      <c r="A1162">
        <v>0</v>
      </c>
      <c r="B1162">
        <v>4.9202501773834229E-2</v>
      </c>
    </row>
    <row r="1163" spans="1:2" x14ac:dyDescent="0.25">
      <c r="A1163">
        <v>0</v>
      </c>
      <c r="B1163">
        <v>4.7756377607584E-2</v>
      </c>
    </row>
    <row r="1164" spans="1:2" x14ac:dyDescent="0.25">
      <c r="A1164">
        <v>0</v>
      </c>
      <c r="B1164">
        <v>5.7291064411401749E-2</v>
      </c>
    </row>
    <row r="1165" spans="1:2" x14ac:dyDescent="0.25">
      <c r="A1165">
        <v>0</v>
      </c>
      <c r="B1165">
        <v>6.3499428331851959E-2</v>
      </c>
    </row>
    <row r="1166" spans="1:2" x14ac:dyDescent="0.25">
      <c r="A1166">
        <v>0</v>
      </c>
      <c r="B1166">
        <v>5.8732550591230392E-2</v>
      </c>
    </row>
    <row r="1167" spans="1:2" x14ac:dyDescent="0.25">
      <c r="A1167">
        <v>0</v>
      </c>
      <c r="B1167">
        <v>4.7758914530277252E-2</v>
      </c>
    </row>
    <row r="1168" spans="1:2" x14ac:dyDescent="0.25">
      <c r="A1168">
        <v>0</v>
      </c>
      <c r="B1168">
        <v>5.3964771330356598E-2</v>
      </c>
    </row>
    <row r="1169" spans="1:2" x14ac:dyDescent="0.25">
      <c r="A1169">
        <v>0</v>
      </c>
      <c r="B1169">
        <v>5.5626321583986282E-2</v>
      </c>
    </row>
    <row r="1170" spans="1:2" x14ac:dyDescent="0.25">
      <c r="A1170">
        <v>0</v>
      </c>
      <c r="B1170">
        <v>4.6095691621303558E-2</v>
      </c>
    </row>
    <row r="1171" spans="1:2" x14ac:dyDescent="0.25">
      <c r="A1171">
        <v>0</v>
      </c>
      <c r="B1171">
        <v>4.6095877885818481E-2</v>
      </c>
    </row>
    <row r="1172" spans="1:2" x14ac:dyDescent="0.25">
      <c r="A1172">
        <v>0</v>
      </c>
      <c r="B1172">
        <v>5.086299404501915E-2</v>
      </c>
    </row>
    <row r="1173" spans="1:2" x14ac:dyDescent="0.25">
      <c r="A1173">
        <v>0</v>
      </c>
      <c r="B1173">
        <v>5.0862178206443787E-2</v>
      </c>
    </row>
    <row r="1174" spans="1:2" x14ac:dyDescent="0.25">
      <c r="A1174">
        <v>0</v>
      </c>
      <c r="B1174">
        <v>4.728354886174202E-2</v>
      </c>
    </row>
    <row r="1175" spans="1:2" x14ac:dyDescent="0.25">
      <c r="A1175">
        <v>0</v>
      </c>
      <c r="B1175">
        <v>5.991927906870842E-2</v>
      </c>
    </row>
    <row r="1176" spans="1:2" x14ac:dyDescent="0.25">
      <c r="A1176">
        <v>0</v>
      </c>
      <c r="B1176">
        <v>5.5630680173635483E-2</v>
      </c>
    </row>
    <row r="1177" spans="1:2" x14ac:dyDescent="0.25">
      <c r="A1177">
        <v>0</v>
      </c>
      <c r="B1177">
        <v>5.9685900807380676E-2</v>
      </c>
    </row>
    <row r="1178" spans="1:2" x14ac:dyDescent="0.25">
      <c r="A1178">
        <v>0</v>
      </c>
      <c r="B1178">
        <v>4.6804230660200119E-2</v>
      </c>
    </row>
    <row r="1179" spans="1:2" x14ac:dyDescent="0.25">
      <c r="A1179">
        <v>0</v>
      </c>
      <c r="B1179">
        <v>6.5160579979419708E-2</v>
      </c>
    </row>
    <row r="1180" spans="1:2" x14ac:dyDescent="0.25">
      <c r="A1180">
        <v>0</v>
      </c>
      <c r="B1180">
        <v>5.4919112473726273E-2</v>
      </c>
    </row>
    <row r="1181" spans="1:2" x14ac:dyDescent="0.25">
      <c r="A1181">
        <v>0</v>
      </c>
      <c r="B1181">
        <v>5.0861001014709473E-2</v>
      </c>
    </row>
    <row r="1182" spans="1:2" x14ac:dyDescent="0.25">
      <c r="A1182">
        <v>0</v>
      </c>
      <c r="B1182">
        <v>4.1329942643642426E-2</v>
      </c>
    </row>
    <row r="1183" spans="1:2" x14ac:dyDescent="0.25">
      <c r="A1183">
        <v>0</v>
      </c>
      <c r="B1183">
        <v>4.680478572845459E-2</v>
      </c>
    </row>
    <row r="1184" spans="1:2" x14ac:dyDescent="0.25">
      <c r="A1184">
        <v>0</v>
      </c>
      <c r="B1184">
        <v>5.9684775769710541E-2</v>
      </c>
    </row>
    <row r="1185" spans="1:2" x14ac:dyDescent="0.25">
      <c r="A1185">
        <v>0</v>
      </c>
      <c r="B1185">
        <v>5.5628448724746704E-2</v>
      </c>
    </row>
    <row r="1186" spans="1:2" x14ac:dyDescent="0.25">
      <c r="A1186">
        <v>0</v>
      </c>
      <c r="B1186">
        <v>4.2038820683956146E-2</v>
      </c>
    </row>
    <row r="1187" spans="1:2" x14ac:dyDescent="0.25">
      <c r="A1187">
        <v>0</v>
      </c>
      <c r="B1187">
        <v>5.4919734597206116E-2</v>
      </c>
    </row>
    <row r="1188" spans="1:2" x14ac:dyDescent="0.25">
      <c r="A1188">
        <v>0</v>
      </c>
      <c r="B1188">
        <v>6.0626771301031113E-2</v>
      </c>
    </row>
    <row r="1189" spans="1:2" x14ac:dyDescent="0.25">
      <c r="A1189">
        <v>0</v>
      </c>
      <c r="B1189">
        <v>5.0862286239862442E-2</v>
      </c>
    </row>
    <row r="1190" spans="1:2" x14ac:dyDescent="0.25">
      <c r="A1190">
        <v>0</v>
      </c>
      <c r="B1190">
        <v>6.4451679587364197E-2</v>
      </c>
    </row>
    <row r="1191" spans="1:2" x14ac:dyDescent="0.25">
      <c r="A1191">
        <v>0</v>
      </c>
      <c r="B1191">
        <v>5.1572795957326889E-2</v>
      </c>
    </row>
    <row r="1192" spans="1:2" x14ac:dyDescent="0.25">
      <c r="A1192">
        <v>0</v>
      </c>
      <c r="B1192">
        <v>5.9684682637453079E-2</v>
      </c>
    </row>
    <row r="1193" spans="1:2" x14ac:dyDescent="0.25">
      <c r="A1193">
        <v>0</v>
      </c>
      <c r="B1193">
        <v>5.1325656473636627E-2</v>
      </c>
    </row>
    <row r="1194" spans="1:2" x14ac:dyDescent="0.25">
      <c r="A1194">
        <v>0</v>
      </c>
      <c r="B1194">
        <v>6.9462783634662628E-2</v>
      </c>
    </row>
    <row r="1195" spans="1:2" x14ac:dyDescent="0.25">
      <c r="A1195">
        <v>0</v>
      </c>
      <c r="B1195">
        <v>6.0394439846277237E-2</v>
      </c>
    </row>
    <row r="1196" spans="1:2" x14ac:dyDescent="0.25">
      <c r="A1196">
        <v>0</v>
      </c>
      <c r="B1196">
        <v>4.6326186507940292E-2</v>
      </c>
    </row>
    <row r="1197" spans="1:2" x14ac:dyDescent="0.25">
      <c r="A1197">
        <v>0</v>
      </c>
      <c r="B1197">
        <v>6.5161928534507751E-2</v>
      </c>
    </row>
    <row r="1198" spans="1:2" x14ac:dyDescent="0.25">
      <c r="A1198">
        <v>0</v>
      </c>
      <c r="B1198">
        <v>5.0627809017896652E-2</v>
      </c>
    </row>
    <row r="1199" spans="1:2" x14ac:dyDescent="0.25">
      <c r="A1199">
        <v>0</v>
      </c>
      <c r="B1199">
        <v>4.6328246593475342E-2</v>
      </c>
    </row>
    <row r="1200" spans="1:2" x14ac:dyDescent="0.25">
      <c r="A1200">
        <v>0</v>
      </c>
      <c r="B1200">
        <v>4.5862924307584763E-2</v>
      </c>
    </row>
    <row r="1201" spans="1:2" x14ac:dyDescent="0.25">
      <c r="A1201">
        <v>0</v>
      </c>
      <c r="B1201">
        <v>5.5628340691328049E-2</v>
      </c>
    </row>
    <row r="1202" spans="1:2" x14ac:dyDescent="0.25">
      <c r="A1202">
        <v>0</v>
      </c>
      <c r="B1202">
        <v>5.5863369256258011E-2</v>
      </c>
    </row>
    <row r="1203" spans="1:2" x14ac:dyDescent="0.25">
      <c r="A1203">
        <v>0</v>
      </c>
      <c r="B1203">
        <v>5.5150311440229416E-2</v>
      </c>
    </row>
    <row r="1204" spans="1:2" x14ac:dyDescent="0.25">
      <c r="A1204">
        <v>0</v>
      </c>
      <c r="B1204">
        <v>4.6339798718690872E-2</v>
      </c>
    </row>
    <row r="1205" spans="1:2" x14ac:dyDescent="0.25">
      <c r="A1205">
        <v>0</v>
      </c>
      <c r="B1205">
        <v>4.1329942643642426E-2</v>
      </c>
    </row>
    <row r="1206" spans="1:2" x14ac:dyDescent="0.25">
      <c r="A1206">
        <v>0</v>
      </c>
      <c r="B1206">
        <v>5.5383630096912384E-2</v>
      </c>
    </row>
    <row r="1207" spans="1:2" x14ac:dyDescent="0.25">
      <c r="A1207">
        <v>0</v>
      </c>
      <c r="B1207">
        <v>6.0394708067178726E-2</v>
      </c>
    </row>
    <row r="1208" spans="1:2" x14ac:dyDescent="0.25">
      <c r="A1208">
        <v>0</v>
      </c>
      <c r="B1208">
        <v>6.0395766049623489E-2</v>
      </c>
    </row>
    <row r="1209" spans="1:2" x14ac:dyDescent="0.25">
      <c r="A1209">
        <v>0</v>
      </c>
      <c r="B1209">
        <v>5.1108520478010178E-2</v>
      </c>
    </row>
    <row r="1210" spans="1:2" x14ac:dyDescent="0.25">
      <c r="A1210">
        <v>0</v>
      </c>
      <c r="B1210">
        <v>5.5382713675498962E-2</v>
      </c>
    </row>
    <row r="1211" spans="1:2" x14ac:dyDescent="0.25">
      <c r="A1211">
        <v>0</v>
      </c>
      <c r="B1211">
        <v>6.5161757171154022E-2</v>
      </c>
    </row>
    <row r="1212" spans="1:2" x14ac:dyDescent="0.25">
      <c r="A1212">
        <v>0</v>
      </c>
      <c r="B1212">
        <v>6.0393426567316055E-2</v>
      </c>
    </row>
    <row r="1213" spans="1:2" x14ac:dyDescent="0.25">
      <c r="A1213">
        <v>0</v>
      </c>
      <c r="B1213">
        <v>5.4629724472761154E-2</v>
      </c>
    </row>
    <row r="1214" spans="1:2" x14ac:dyDescent="0.25">
      <c r="A1214">
        <v>0</v>
      </c>
      <c r="B1214">
        <v>5.9011287987232208E-2</v>
      </c>
    </row>
    <row r="1215" spans="1:2" x14ac:dyDescent="0.25">
      <c r="A1215">
        <v>0</v>
      </c>
      <c r="B1215">
        <v>6.5162330865859985E-2</v>
      </c>
    </row>
    <row r="1216" spans="1:2" x14ac:dyDescent="0.25">
      <c r="A1216">
        <v>0</v>
      </c>
      <c r="B1216">
        <v>5.086078867316246E-2</v>
      </c>
    </row>
    <row r="1217" spans="1:2" x14ac:dyDescent="0.25">
      <c r="A1217">
        <v>0</v>
      </c>
      <c r="B1217">
        <v>5.5629830807447433E-2</v>
      </c>
    </row>
    <row r="1218" spans="1:2" x14ac:dyDescent="0.25">
      <c r="A1218">
        <v>0</v>
      </c>
      <c r="B1218">
        <v>5.1108609884977341E-2</v>
      </c>
    </row>
    <row r="1219" spans="1:2" x14ac:dyDescent="0.25">
      <c r="A1219">
        <v>0</v>
      </c>
      <c r="B1219">
        <v>5.5628180503845215E-2</v>
      </c>
    </row>
    <row r="1220" spans="1:2" x14ac:dyDescent="0.25">
      <c r="A1220">
        <v>0</v>
      </c>
      <c r="B1220">
        <v>4.5850798487663269E-2</v>
      </c>
    </row>
    <row r="1221" spans="1:2" x14ac:dyDescent="0.25">
      <c r="A1221">
        <v>0</v>
      </c>
      <c r="B1221">
        <v>5.1105737686157227E-2</v>
      </c>
    </row>
    <row r="1222" spans="1:2" x14ac:dyDescent="0.25">
      <c r="A1222">
        <v>0</v>
      </c>
      <c r="B1222">
        <v>4.6095013618469238E-2</v>
      </c>
    </row>
    <row r="1223" spans="1:2" x14ac:dyDescent="0.25">
      <c r="A1223">
        <v>0</v>
      </c>
      <c r="B1223">
        <v>5.0862614065408707E-2</v>
      </c>
    </row>
    <row r="1224" spans="1:2" x14ac:dyDescent="0.25">
      <c r="A1224">
        <v>0</v>
      </c>
      <c r="B1224">
        <v>5.0862118601799011E-2</v>
      </c>
    </row>
    <row r="1225" spans="1:2" x14ac:dyDescent="0.25">
      <c r="A1225">
        <v>0</v>
      </c>
      <c r="B1225">
        <v>5.0141800194978714E-2</v>
      </c>
    </row>
    <row r="1226" spans="1:2" x14ac:dyDescent="0.25">
      <c r="A1226">
        <v>0</v>
      </c>
      <c r="B1226">
        <v>6.992688775062561E-2</v>
      </c>
    </row>
    <row r="1227" spans="1:2" x14ac:dyDescent="0.25">
      <c r="A1227">
        <v>0</v>
      </c>
      <c r="B1227">
        <v>6.0394957661628723E-2</v>
      </c>
    </row>
    <row r="1228" spans="1:2" x14ac:dyDescent="0.25">
      <c r="A1228">
        <v>0</v>
      </c>
      <c r="B1228">
        <v>5.6348986923694611E-2</v>
      </c>
    </row>
    <row r="1229" spans="1:2" x14ac:dyDescent="0.25">
      <c r="A1229">
        <v>0</v>
      </c>
      <c r="B1229">
        <v>5.9673070907592773E-2</v>
      </c>
    </row>
    <row r="1230" spans="1:2" x14ac:dyDescent="0.25">
      <c r="A1230">
        <v>0</v>
      </c>
      <c r="B1230">
        <v>4.6816170215606689E-2</v>
      </c>
    </row>
    <row r="1231" spans="1:2" x14ac:dyDescent="0.25">
      <c r="A1231">
        <v>0</v>
      </c>
      <c r="B1231">
        <v>5.0862804055213928E-2</v>
      </c>
    </row>
    <row r="1232" spans="1:2" x14ac:dyDescent="0.25">
      <c r="A1232">
        <v>0</v>
      </c>
      <c r="B1232">
        <v>4.6093642711639404E-2</v>
      </c>
    </row>
    <row r="1233" spans="1:2" x14ac:dyDescent="0.25">
      <c r="A1233">
        <v>0</v>
      </c>
      <c r="B1233">
        <v>5.014115571975708E-2</v>
      </c>
    </row>
    <row r="1234" spans="1:2" x14ac:dyDescent="0.25">
      <c r="A1234">
        <v>0</v>
      </c>
      <c r="B1234">
        <v>5.0863899290561676E-2</v>
      </c>
    </row>
    <row r="1235" spans="1:2" x14ac:dyDescent="0.25">
      <c r="A1235">
        <v>0</v>
      </c>
      <c r="B1235">
        <v>4.2051870375871658E-2</v>
      </c>
    </row>
    <row r="1236" spans="1:2" x14ac:dyDescent="0.25">
      <c r="A1236">
        <v>0</v>
      </c>
      <c r="B1236">
        <v>4.6095196157693863E-2</v>
      </c>
    </row>
    <row r="1237" spans="1:2" x14ac:dyDescent="0.25">
      <c r="A1237">
        <v>0</v>
      </c>
      <c r="B1237">
        <v>5.0861936062574387E-2</v>
      </c>
    </row>
    <row r="1238" spans="1:2" x14ac:dyDescent="0.25">
      <c r="A1238">
        <v>0</v>
      </c>
      <c r="B1238">
        <v>5.0860386341810226E-2</v>
      </c>
    </row>
    <row r="1239" spans="1:2" x14ac:dyDescent="0.25">
      <c r="A1239">
        <v>0</v>
      </c>
      <c r="B1239">
        <v>5.4906662553548813E-2</v>
      </c>
    </row>
    <row r="1240" spans="1:2" x14ac:dyDescent="0.25">
      <c r="A1240">
        <v>0</v>
      </c>
      <c r="B1240">
        <v>5.1584731787443161E-2</v>
      </c>
    </row>
    <row r="1241" spans="1:2" x14ac:dyDescent="0.25">
      <c r="A1241">
        <v>0</v>
      </c>
      <c r="B1241">
        <v>5.0140980631113052E-2</v>
      </c>
    </row>
    <row r="1242" spans="1:2" x14ac:dyDescent="0.25">
      <c r="A1242">
        <v>0</v>
      </c>
      <c r="B1242">
        <v>6.1119060963392258E-2</v>
      </c>
    </row>
    <row r="1243" spans="1:2" x14ac:dyDescent="0.25">
      <c r="A1243">
        <v>0</v>
      </c>
      <c r="B1243">
        <v>5.4905686527490616E-2</v>
      </c>
    </row>
    <row r="1244" spans="1:2" x14ac:dyDescent="0.25">
      <c r="A1244">
        <v>0</v>
      </c>
      <c r="B1244">
        <v>5.0860732793807983E-2</v>
      </c>
    </row>
    <row r="1245" spans="1:2" x14ac:dyDescent="0.25">
      <c r="A1245">
        <v>0</v>
      </c>
      <c r="B1245">
        <v>6.0395326465368271E-2</v>
      </c>
    </row>
    <row r="1246" spans="1:2" x14ac:dyDescent="0.25">
      <c r="A1246">
        <v>0</v>
      </c>
      <c r="B1246">
        <v>6.5160147845745087E-2</v>
      </c>
    </row>
    <row r="1247" spans="1:2" x14ac:dyDescent="0.25">
      <c r="A1247">
        <v>0</v>
      </c>
      <c r="B1247">
        <v>5.1581904292106628E-2</v>
      </c>
    </row>
    <row r="1248" spans="1:2" x14ac:dyDescent="0.25">
      <c r="A1248">
        <v>0</v>
      </c>
      <c r="B1248">
        <v>5.0862368196249008E-2</v>
      </c>
    </row>
    <row r="1249" spans="1:2" x14ac:dyDescent="0.25">
      <c r="A1249">
        <v>0</v>
      </c>
      <c r="B1249">
        <v>7.3497369885444641E-2</v>
      </c>
    </row>
    <row r="1250" spans="1:2" x14ac:dyDescent="0.25">
      <c r="A1250">
        <v>0</v>
      </c>
      <c r="B1250">
        <v>6.992688775062561E-2</v>
      </c>
    </row>
    <row r="1251" spans="1:2" x14ac:dyDescent="0.25">
      <c r="A1251">
        <v>0</v>
      </c>
      <c r="B1251">
        <v>6.0394894331693649E-2</v>
      </c>
    </row>
    <row r="1252" spans="1:2" x14ac:dyDescent="0.25">
      <c r="A1252">
        <v>0</v>
      </c>
      <c r="B1252">
        <v>6.1594638973474503E-2</v>
      </c>
    </row>
    <row r="1253" spans="1:2" x14ac:dyDescent="0.25">
      <c r="A1253">
        <v>0</v>
      </c>
      <c r="B1253">
        <v>6.3963599503040314E-2</v>
      </c>
    </row>
    <row r="1254" spans="1:2" x14ac:dyDescent="0.25">
      <c r="A1254">
        <v>0</v>
      </c>
      <c r="B1254">
        <v>6.5406873822212219E-2</v>
      </c>
    </row>
    <row r="1255" spans="1:2" x14ac:dyDescent="0.25">
      <c r="A1255">
        <v>0</v>
      </c>
      <c r="B1255">
        <v>5.0863049924373627E-2</v>
      </c>
    </row>
    <row r="1256" spans="1:2" x14ac:dyDescent="0.25">
      <c r="A1256">
        <v>0</v>
      </c>
      <c r="B1256">
        <v>5.5628679692745209E-2</v>
      </c>
    </row>
    <row r="1257" spans="1:2" x14ac:dyDescent="0.25">
      <c r="A1257">
        <v>0</v>
      </c>
      <c r="B1257">
        <v>5.9197790920734406E-2</v>
      </c>
    </row>
    <row r="1258" spans="1:2" x14ac:dyDescent="0.25">
      <c r="A1258">
        <v>0</v>
      </c>
      <c r="B1258">
        <v>5.562920868396759E-2</v>
      </c>
    </row>
    <row r="1259" spans="1:2" x14ac:dyDescent="0.25">
      <c r="A1259">
        <v>0</v>
      </c>
      <c r="B1259">
        <v>5.2058115601539612E-2</v>
      </c>
    </row>
    <row r="1260" spans="1:2" x14ac:dyDescent="0.25">
      <c r="A1260">
        <v>0</v>
      </c>
      <c r="B1260">
        <v>6.7532837390899658E-2</v>
      </c>
    </row>
    <row r="1261" spans="1:2" x14ac:dyDescent="0.25">
      <c r="A1261">
        <v>0</v>
      </c>
      <c r="B1261">
        <v>6.1591960489749908E-2</v>
      </c>
    </row>
    <row r="1262" spans="1:2" x14ac:dyDescent="0.25">
      <c r="A1262">
        <v>0</v>
      </c>
      <c r="B1262">
        <v>6.0394898056983948E-2</v>
      </c>
    </row>
    <row r="1263" spans="1:2" x14ac:dyDescent="0.25">
      <c r="A1263">
        <v>0</v>
      </c>
      <c r="B1263">
        <v>5.6825079023838043E-2</v>
      </c>
    </row>
    <row r="1264" spans="1:2" x14ac:dyDescent="0.25">
      <c r="A1264">
        <v>0</v>
      </c>
      <c r="B1264">
        <v>4.9665406346321106E-2</v>
      </c>
    </row>
    <row r="1265" spans="1:2" x14ac:dyDescent="0.25">
      <c r="A1265">
        <v>0</v>
      </c>
      <c r="B1265">
        <v>6.992688775062561E-2</v>
      </c>
    </row>
    <row r="1266" spans="1:2" x14ac:dyDescent="0.25">
      <c r="A1266">
        <v>0</v>
      </c>
      <c r="B1266">
        <v>5.20595982670784E-2</v>
      </c>
    </row>
    <row r="1267" spans="1:2" x14ac:dyDescent="0.25">
      <c r="A1267">
        <v>0</v>
      </c>
      <c r="B1267">
        <v>7.2302691638469696E-2</v>
      </c>
    </row>
    <row r="1268" spans="1:2" x14ac:dyDescent="0.25">
      <c r="A1268">
        <v>0</v>
      </c>
      <c r="B1268">
        <v>5.8019623160362244E-2</v>
      </c>
    </row>
    <row r="1269" spans="1:2" x14ac:dyDescent="0.25">
      <c r="A1269">
        <v>0</v>
      </c>
      <c r="B1269">
        <v>5.5625330656766891E-2</v>
      </c>
    </row>
    <row r="1270" spans="1:2" x14ac:dyDescent="0.25">
      <c r="A1270">
        <v>0</v>
      </c>
      <c r="B1270">
        <v>5.8722272515296936E-2</v>
      </c>
    </row>
    <row r="1271" spans="1:2" x14ac:dyDescent="0.25">
      <c r="A1271">
        <v>0</v>
      </c>
      <c r="B1271">
        <v>6.6357977688312531E-2</v>
      </c>
    </row>
    <row r="1272" spans="1:2" x14ac:dyDescent="0.25">
      <c r="A1272">
        <v>0</v>
      </c>
      <c r="B1272">
        <v>5.4903145879507065E-2</v>
      </c>
    </row>
    <row r="1273" spans="1:2" x14ac:dyDescent="0.25">
      <c r="A1273">
        <v>0</v>
      </c>
      <c r="B1273">
        <v>5.0382208079099655E-2</v>
      </c>
    </row>
    <row r="1274" spans="1:2" x14ac:dyDescent="0.25">
      <c r="A1274">
        <v>0</v>
      </c>
      <c r="B1274">
        <v>4.7771420329809189E-2</v>
      </c>
    </row>
    <row r="1275" spans="1:2" x14ac:dyDescent="0.25">
      <c r="A1275">
        <v>0</v>
      </c>
      <c r="B1275">
        <v>5.0860635936260223E-2</v>
      </c>
    </row>
    <row r="1276" spans="1:2" x14ac:dyDescent="0.25">
      <c r="A1276">
        <v>0</v>
      </c>
      <c r="B1276">
        <v>5.0861384719610214E-2</v>
      </c>
    </row>
    <row r="1277" spans="1:2" x14ac:dyDescent="0.25">
      <c r="A1277">
        <v>0</v>
      </c>
      <c r="B1277">
        <v>5.0862513482570648E-2</v>
      </c>
    </row>
    <row r="1278" spans="1:2" x14ac:dyDescent="0.25">
      <c r="A1278">
        <v>0</v>
      </c>
      <c r="B1278">
        <v>5.7048704475164413E-2</v>
      </c>
    </row>
    <row r="1279" spans="1:2" x14ac:dyDescent="0.25">
      <c r="A1279">
        <v>0</v>
      </c>
      <c r="B1279">
        <v>7.3284663259983063E-2</v>
      </c>
    </row>
    <row r="1280" spans="1:2" x14ac:dyDescent="0.25">
      <c r="A1280">
        <v>0</v>
      </c>
      <c r="B1280">
        <v>4.9187134951353073E-2</v>
      </c>
    </row>
    <row r="1281" spans="1:2" x14ac:dyDescent="0.25">
      <c r="A1281">
        <v>0</v>
      </c>
      <c r="B1281">
        <v>4.7770682722330093E-2</v>
      </c>
    </row>
    <row r="1282" spans="1:2" x14ac:dyDescent="0.25">
      <c r="A1282">
        <v>0</v>
      </c>
      <c r="B1282">
        <v>5.5633161216974258E-2</v>
      </c>
    </row>
    <row r="1283" spans="1:2" x14ac:dyDescent="0.25">
      <c r="A1283">
        <v>0</v>
      </c>
      <c r="B1283">
        <v>5.8724526315927505E-2</v>
      </c>
    </row>
    <row r="1284" spans="1:2" x14ac:dyDescent="0.25">
      <c r="A1284">
        <v>0</v>
      </c>
      <c r="B1284">
        <v>5.5625364184379578E-2</v>
      </c>
    </row>
    <row r="1285" spans="1:2" x14ac:dyDescent="0.25">
      <c r="A1285">
        <v>0</v>
      </c>
      <c r="B1285">
        <v>5.7779140770435333E-2</v>
      </c>
    </row>
    <row r="1286" spans="1:2" x14ac:dyDescent="0.25">
      <c r="A1286">
        <v>0</v>
      </c>
      <c r="B1286">
        <v>6.7773893475532532E-2</v>
      </c>
    </row>
    <row r="1287" spans="1:2" x14ac:dyDescent="0.25">
      <c r="A1287">
        <v>0</v>
      </c>
      <c r="B1287">
        <v>6.7315906286239624E-2</v>
      </c>
    </row>
    <row r="1288" spans="1:2" x14ac:dyDescent="0.25">
      <c r="A1288">
        <v>0</v>
      </c>
      <c r="B1288">
        <v>5.3476881235837936E-2</v>
      </c>
    </row>
    <row r="1289" spans="1:2" x14ac:dyDescent="0.25">
      <c r="A1289">
        <v>0</v>
      </c>
      <c r="B1289">
        <v>6.5161816775798798E-2</v>
      </c>
    </row>
    <row r="1290" spans="1:2" x14ac:dyDescent="0.25">
      <c r="A1290">
        <v>0</v>
      </c>
      <c r="B1290">
        <v>6.516767293214798E-2</v>
      </c>
    </row>
    <row r="1291" spans="1:2" x14ac:dyDescent="0.25">
      <c r="A1291">
        <v>0</v>
      </c>
      <c r="B1291">
        <v>6.2544658780097961E-2</v>
      </c>
    </row>
    <row r="1292" spans="1:2" x14ac:dyDescent="0.25">
      <c r="A1292">
        <v>0</v>
      </c>
      <c r="B1292">
        <v>6.0392193496227264E-2</v>
      </c>
    </row>
    <row r="1293" spans="1:2" x14ac:dyDescent="0.25">
      <c r="A1293">
        <v>0</v>
      </c>
      <c r="B1293">
        <v>5.3479727357625961E-2</v>
      </c>
    </row>
    <row r="1294" spans="1:2" x14ac:dyDescent="0.25">
      <c r="A1294">
        <v>0</v>
      </c>
      <c r="B1294">
        <v>6.7316271364688873E-2</v>
      </c>
    </row>
    <row r="1295" spans="1:2" x14ac:dyDescent="0.25">
      <c r="A1295">
        <v>0</v>
      </c>
      <c r="B1295">
        <v>6.2532797455787659E-2</v>
      </c>
    </row>
    <row r="1296" spans="1:2" x14ac:dyDescent="0.25">
      <c r="A1296">
        <v>0</v>
      </c>
      <c r="B1296">
        <v>6.9927282631397247E-2</v>
      </c>
    </row>
    <row r="1297" spans="1:2" x14ac:dyDescent="0.25">
      <c r="A1297">
        <v>0</v>
      </c>
      <c r="B1297">
        <v>5.9917233884334564E-2</v>
      </c>
    </row>
    <row r="1298" spans="1:2" x14ac:dyDescent="0.25">
      <c r="A1298">
        <v>0</v>
      </c>
      <c r="B1298">
        <v>5.3015429526567459E-2</v>
      </c>
    </row>
    <row r="1299" spans="1:2" x14ac:dyDescent="0.25">
      <c r="A1299">
        <v>0</v>
      </c>
      <c r="B1299">
        <v>7.2543352842330933E-2</v>
      </c>
    </row>
    <row r="1300" spans="1:2" x14ac:dyDescent="0.25">
      <c r="A1300">
        <v>0</v>
      </c>
      <c r="B1300">
        <v>5.8254051953554153E-2</v>
      </c>
    </row>
    <row r="1301" spans="1:2" x14ac:dyDescent="0.25">
      <c r="A1301">
        <v>0</v>
      </c>
      <c r="B1301">
        <v>5.300535261631012E-2</v>
      </c>
    </row>
    <row r="1302" spans="1:2" x14ac:dyDescent="0.25">
      <c r="A1302">
        <v>0</v>
      </c>
      <c r="B1302">
        <v>5.3013049066066742E-2</v>
      </c>
    </row>
    <row r="1303" spans="1:2" x14ac:dyDescent="0.25">
      <c r="A1303">
        <v>0</v>
      </c>
      <c r="B1303">
        <v>5.0862893462181091E-2</v>
      </c>
    </row>
    <row r="1304" spans="1:2" x14ac:dyDescent="0.25">
      <c r="A1304">
        <v>0</v>
      </c>
      <c r="B1304">
        <v>4.6094946563243866E-2</v>
      </c>
    </row>
    <row r="1305" spans="1:2" x14ac:dyDescent="0.25">
      <c r="A1305">
        <v>0</v>
      </c>
      <c r="B1305">
        <v>5.0385948270559311E-2</v>
      </c>
    </row>
    <row r="1306" spans="1:2" x14ac:dyDescent="0.25">
      <c r="A1306">
        <v>0</v>
      </c>
      <c r="B1306">
        <v>4.3946158140897751E-2</v>
      </c>
    </row>
    <row r="1307" spans="1:2" x14ac:dyDescent="0.25">
      <c r="A1307">
        <v>0</v>
      </c>
      <c r="B1307">
        <v>4.3481338769197464E-2</v>
      </c>
    </row>
    <row r="1308" spans="1:2" x14ac:dyDescent="0.25">
      <c r="A1308">
        <v>0</v>
      </c>
      <c r="B1308">
        <v>4.6095941215753555E-2</v>
      </c>
    </row>
    <row r="1309" spans="1:2" x14ac:dyDescent="0.25">
      <c r="A1309">
        <v>0</v>
      </c>
      <c r="B1309">
        <v>6.7775510251522064E-2</v>
      </c>
    </row>
    <row r="1310" spans="1:2" x14ac:dyDescent="0.25">
      <c r="A1310">
        <v>0</v>
      </c>
      <c r="B1310">
        <v>6.5160639584064484E-2</v>
      </c>
    </row>
    <row r="1311" spans="1:2" x14ac:dyDescent="0.25">
      <c r="A1311">
        <v>0</v>
      </c>
      <c r="B1311">
        <v>5.7304058223962784E-2</v>
      </c>
    </row>
    <row r="1312" spans="1:2" x14ac:dyDescent="0.25">
      <c r="A1312">
        <v>0</v>
      </c>
      <c r="B1312">
        <v>5.1338665187358856E-2</v>
      </c>
    </row>
    <row r="1313" spans="1:2" x14ac:dyDescent="0.25">
      <c r="A1313">
        <v>0</v>
      </c>
      <c r="B1313">
        <v>5.7766500860452652E-2</v>
      </c>
    </row>
    <row r="1314" spans="1:2" x14ac:dyDescent="0.25">
      <c r="A1314">
        <v>0</v>
      </c>
      <c r="B1314">
        <v>6.2542334198951721E-2</v>
      </c>
    </row>
    <row r="1315" spans="1:2" x14ac:dyDescent="0.25">
      <c r="A1315">
        <v>0</v>
      </c>
      <c r="B1315">
        <v>4.3944880366325378E-2</v>
      </c>
    </row>
    <row r="1316" spans="1:2" x14ac:dyDescent="0.25">
      <c r="A1316">
        <v>0</v>
      </c>
      <c r="B1316">
        <v>6.3021160662174225E-2</v>
      </c>
    </row>
    <row r="1317" spans="1:2" x14ac:dyDescent="0.25">
      <c r="A1317">
        <v>0</v>
      </c>
      <c r="B1317">
        <v>5.5630162358283997E-2</v>
      </c>
    </row>
    <row r="1318" spans="1:2" x14ac:dyDescent="0.25">
      <c r="A1318">
        <v>0</v>
      </c>
      <c r="B1318">
        <v>5.5628426373004913E-2</v>
      </c>
    </row>
    <row r="1319" spans="1:2" x14ac:dyDescent="0.25">
      <c r="A1319">
        <v>0</v>
      </c>
      <c r="B1319">
        <v>5.7769376784563065E-2</v>
      </c>
    </row>
    <row r="1320" spans="1:2" x14ac:dyDescent="0.25">
      <c r="A1320">
        <v>0</v>
      </c>
      <c r="B1320">
        <v>5.2048027515411377E-2</v>
      </c>
    </row>
    <row r="1321" spans="1:2" x14ac:dyDescent="0.25">
      <c r="A1321">
        <v>0</v>
      </c>
      <c r="B1321">
        <v>6.1835315078496933E-2</v>
      </c>
    </row>
    <row r="1322" spans="1:2" x14ac:dyDescent="0.25">
      <c r="A1322">
        <v>0</v>
      </c>
      <c r="B1322">
        <v>6.0394793748855591E-2</v>
      </c>
    </row>
    <row r="1323" spans="1:2" x14ac:dyDescent="0.25">
      <c r="A1323">
        <v>0</v>
      </c>
      <c r="B1323">
        <v>6.0395106673240662E-2</v>
      </c>
    </row>
    <row r="1324" spans="1:2" x14ac:dyDescent="0.25">
      <c r="A1324">
        <v>0</v>
      </c>
      <c r="B1324">
        <v>5.2525665611028671E-2</v>
      </c>
    </row>
    <row r="1325" spans="1:2" x14ac:dyDescent="0.25">
      <c r="A1325">
        <v>0</v>
      </c>
      <c r="B1325">
        <v>5.3965318948030472E-2</v>
      </c>
    </row>
    <row r="1326" spans="1:2" x14ac:dyDescent="0.25">
      <c r="A1326">
        <v>0</v>
      </c>
      <c r="B1326">
        <v>5.5628616362810135E-2</v>
      </c>
    </row>
    <row r="1327" spans="1:2" x14ac:dyDescent="0.25">
      <c r="A1327">
        <v>0</v>
      </c>
      <c r="B1327">
        <v>5.2526082843542099E-2</v>
      </c>
    </row>
    <row r="1328" spans="1:2" x14ac:dyDescent="0.25">
      <c r="A1328">
        <v>0</v>
      </c>
      <c r="B1328">
        <v>5.5631496012210846E-2</v>
      </c>
    </row>
    <row r="1329" spans="1:2" x14ac:dyDescent="0.25">
      <c r="A1329">
        <v>0</v>
      </c>
      <c r="B1329">
        <v>6.349809467792511E-2</v>
      </c>
    </row>
    <row r="1330" spans="1:2" x14ac:dyDescent="0.25">
      <c r="A1330">
        <v>0</v>
      </c>
      <c r="B1330">
        <v>5.610550194978714E-2</v>
      </c>
    </row>
    <row r="1331" spans="1:2" x14ac:dyDescent="0.25">
      <c r="A1331">
        <v>0</v>
      </c>
      <c r="B1331">
        <v>5.0863280892372131E-2</v>
      </c>
    </row>
    <row r="1332" spans="1:2" x14ac:dyDescent="0.25">
      <c r="A1332">
        <v>0</v>
      </c>
      <c r="B1332">
        <v>5.0861440598964691E-2</v>
      </c>
    </row>
    <row r="1333" spans="1:2" x14ac:dyDescent="0.25">
      <c r="A1333">
        <v>0</v>
      </c>
      <c r="B1333">
        <v>5.5629480630159378E-2</v>
      </c>
    </row>
    <row r="1334" spans="1:2" x14ac:dyDescent="0.25">
      <c r="A1334">
        <v>0</v>
      </c>
      <c r="B1334">
        <v>5.5626902729272842E-2</v>
      </c>
    </row>
    <row r="1335" spans="1:2" x14ac:dyDescent="0.25">
      <c r="A1335">
        <v>0</v>
      </c>
      <c r="B1335">
        <v>5.0861995667219162E-2</v>
      </c>
    </row>
    <row r="1336" spans="1:2" x14ac:dyDescent="0.25">
      <c r="A1336">
        <v>0</v>
      </c>
      <c r="B1336">
        <v>4.1329942643642426E-2</v>
      </c>
    </row>
    <row r="1337" spans="1:2" x14ac:dyDescent="0.25">
      <c r="A1337">
        <v>0</v>
      </c>
      <c r="B1337">
        <v>4.6096738427877426E-2</v>
      </c>
    </row>
    <row r="1338" spans="1:2" x14ac:dyDescent="0.25">
      <c r="A1338">
        <v>0</v>
      </c>
      <c r="B1338">
        <v>5.6813869625329971E-2</v>
      </c>
    </row>
    <row r="1339" spans="1:2" x14ac:dyDescent="0.25">
      <c r="A1339">
        <v>0</v>
      </c>
      <c r="B1339">
        <v>6.0396939516067505E-2</v>
      </c>
    </row>
    <row r="1340" spans="1:2" x14ac:dyDescent="0.25">
      <c r="A1340">
        <v>0</v>
      </c>
      <c r="B1340">
        <v>5.4442185908555984E-2</v>
      </c>
    </row>
    <row r="1341" spans="1:2" x14ac:dyDescent="0.25">
      <c r="A1341">
        <v>0</v>
      </c>
      <c r="B1341">
        <v>5.2048001438379288E-2</v>
      </c>
    </row>
    <row r="1342" spans="1:2" x14ac:dyDescent="0.25">
      <c r="A1342">
        <v>0</v>
      </c>
      <c r="B1342">
        <v>5.085831880569458E-2</v>
      </c>
    </row>
    <row r="1343" spans="1:2" x14ac:dyDescent="0.25">
      <c r="A1343">
        <v>0</v>
      </c>
      <c r="B1343">
        <v>4.6095356345176697E-2</v>
      </c>
    </row>
    <row r="1344" spans="1:2" x14ac:dyDescent="0.25">
      <c r="A1344">
        <v>0</v>
      </c>
      <c r="B1344">
        <v>5.0859984010457993E-2</v>
      </c>
    </row>
    <row r="1345" spans="1:2" x14ac:dyDescent="0.25">
      <c r="A1345">
        <v>0</v>
      </c>
      <c r="B1345">
        <v>7.4693165719509125E-2</v>
      </c>
    </row>
    <row r="1346" spans="1:2" x14ac:dyDescent="0.25">
      <c r="A1346">
        <v>0</v>
      </c>
      <c r="B1346">
        <v>5.4440729320049286E-2</v>
      </c>
    </row>
    <row r="1347" spans="1:2" x14ac:dyDescent="0.25">
      <c r="A1347">
        <v>0</v>
      </c>
      <c r="B1347">
        <v>4.7281108796596527E-2</v>
      </c>
    </row>
    <row r="1348" spans="1:2" x14ac:dyDescent="0.25">
      <c r="A1348">
        <v>0</v>
      </c>
      <c r="B1348">
        <v>5.9209935367107391E-2</v>
      </c>
    </row>
    <row r="1349" spans="1:2" x14ac:dyDescent="0.25">
      <c r="A1349">
        <v>0</v>
      </c>
      <c r="B1349">
        <v>5.0862275063991547E-2</v>
      </c>
    </row>
    <row r="1350" spans="1:2" x14ac:dyDescent="0.25">
      <c r="A1350">
        <v>0</v>
      </c>
      <c r="B1350">
        <v>6.0394421219825745E-2</v>
      </c>
    </row>
    <row r="1351" spans="1:2" x14ac:dyDescent="0.25">
      <c r="A1351">
        <v>0</v>
      </c>
      <c r="B1351">
        <v>6.1579454690217972E-2</v>
      </c>
    </row>
    <row r="1352" spans="1:2" x14ac:dyDescent="0.25">
      <c r="A1352">
        <v>0</v>
      </c>
      <c r="B1352">
        <v>7.1116864681243896E-2</v>
      </c>
    </row>
    <row r="1353" spans="1:2" x14ac:dyDescent="0.25">
      <c r="A1353">
        <v>0</v>
      </c>
      <c r="B1353">
        <v>7.2324030101299286E-2</v>
      </c>
    </row>
    <row r="1354" spans="1:2" x14ac:dyDescent="0.25">
      <c r="A1354">
        <v>0</v>
      </c>
      <c r="B1354">
        <v>6.0395166277885437E-2</v>
      </c>
    </row>
    <row r="1355" spans="1:2" x14ac:dyDescent="0.25">
      <c r="A1355">
        <v>0</v>
      </c>
      <c r="B1355">
        <v>5.563083291053772E-2</v>
      </c>
    </row>
    <row r="1356" spans="1:2" x14ac:dyDescent="0.25">
      <c r="A1356">
        <v>0</v>
      </c>
      <c r="B1356">
        <v>6.0396775603294373E-2</v>
      </c>
    </row>
    <row r="1357" spans="1:2" x14ac:dyDescent="0.25">
      <c r="A1357">
        <v>0</v>
      </c>
      <c r="B1357">
        <v>6.0395356267690659E-2</v>
      </c>
    </row>
    <row r="1358" spans="1:2" x14ac:dyDescent="0.25">
      <c r="A1358">
        <v>0</v>
      </c>
      <c r="B1358">
        <v>5.0384771078824997E-2</v>
      </c>
    </row>
    <row r="1359" spans="1:2" x14ac:dyDescent="0.25">
      <c r="A1359">
        <v>0</v>
      </c>
      <c r="B1359">
        <v>5.6100446730852127E-2</v>
      </c>
    </row>
    <row r="1360" spans="1:2" x14ac:dyDescent="0.25">
      <c r="A1360">
        <v>0</v>
      </c>
      <c r="B1360">
        <v>4.6097427606582642E-2</v>
      </c>
    </row>
    <row r="1361" spans="1:2" x14ac:dyDescent="0.25">
      <c r="A1361">
        <v>0</v>
      </c>
      <c r="B1361">
        <v>6.0393493622541428E-2</v>
      </c>
    </row>
    <row r="1362" spans="1:2" x14ac:dyDescent="0.25">
      <c r="A1362">
        <v>0</v>
      </c>
      <c r="B1362">
        <v>4.6328864991664886E-2</v>
      </c>
    </row>
    <row r="1363" spans="1:2" x14ac:dyDescent="0.25">
      <c r="A1363">
        <v>0</v>
      </c>
      <c r="B1363">
        <v>4.9678649753332138E-2</v>
      </c>
    </row>
    <row r="1364" spans="1:2" x14ac:dyDescent="0.25">
      <c r="A1364">
        <v>0</v>
      </c>
      <c r="B1364">
        <v>6.5160609781742096E-2</v>
      </c>
    </row>
    <row r="1365" spans="1:2" x14ac:dyDescent="0.25">
      <c r="A1365">
        <v>0</v>
      </c>
      <c r="B1365">
        <v>6.2057290226221085E-2</v>
      </c>
    </row>
    <row r="1366" spans="1:2" x14ac:dyDescent="0.25">
      <c r="A1366">
        <v>0</v>
      </c>
      <c r="B1366">
        <v>5.0154030323028564E-2</v>
      </c>
    </row>
    <row r="1367" spans="1:2" x14ac:dyDescent="0.25">
      <c r="A1367">
        <v>0</v>
      </c>
      <c r="B1367">
        <v>4.6094391494989395E-2</v>
      </c>
    </row>
    <row r="1368" spans="1:2" x14ac:dyDescent="0.25">
      <c r="A1368">
        <v>0</v>
      </c>
      <c r="B1368">
        <v>5.5626872926950455E-2</v>
      </c>
    </row>
    <row r="1369" spans="1:2" x14ac:dyDescent="0.25">
      <c r="A1369">
        <v>0</v>
      </c>
      <c r="B1369">
        <v>5.1572304219007492E-2</v>
      </c>
    </row>
    <row r="1370" spans="1:2" x14ac:dyDescent="0.25">
      <c r="A1370">
        <v>0</v>
      </c>
      <c r="B1370">
        <v>5.9685349464416504E-2</v>
      </c>
    </row>
    <row r="1371" spans="1:2" x14ac:dyDescent="0.25">
      <c r="A1371">
        <v>0</v>
      </c>
      <c r="B1371">
        <v>5.0860822200775146E-2</v>
      </c>
    </row>
    <row r="1372" spans="1:2" x14ac:dyDescent="0.25">
      <c r="A1372">
        <v>0</v>
      </c>
      <c r="B1372">
        <v>6.0394611209630966E-2</v>
      </c>
    </row>
    <row r="1373" spans="1:2" x14ac:dyDescent="0.25">
      <c r="A1373">
        <v>0</v>
      </c>
      <c r="B1373">
        <v>4.1329942643642426E-2</v>
      </c>
    </row>
    <row r="1374" spans="1:2" x14ac:dyDescent="0.25">
      <c r="A1374">
        <v>0</v>
      </c>
      <c r="B1374">
        <v>4.6805251389741898E-2</v>
      </c>
    </row>
    <row r="1375" spans="1:2" x14ac:dyDescent="0.25">
      <c r="A1375">
        <v>0</v>
      </c>
      <c r="B1375">
        <v>5.9685602784156799E-2</v>
      </c>
    </row>
    <row r="1376" spans="1:2" x14ac:dyDescent="0.25">
      <c r="A1376">
        <v>0</v>
      </c>
      <c r="B1376">
        <v>5.1573015749454498E-2</v>
      </c>
    </row>
    <row r="1377" spans="1:2" x14ac:dyDescent="0.25">
      <c r="A1377">
        <v>0</v>
      </c>
      <c r="B1377">
        <v>5.9681858867406845E-2</v>
      </c>
    </row>
    <row r="1378" spans="1:2" x14ac:dyDescent="0.25">
      <c r="A1378">
        <v>0</v>
      </c>
      <c r="B1378">
        <v>4.6803869307041168E-2</v>
      </c>
    </row>
    <row r="1379" spans="1:2" x14ac:dyDescent="0.25">
      <c r="A1379">
        <v>0</v>
      </c>
      <c r="B1379">
        <v>5.9687238186597824E-2</v>
      </c>
    </row>
    <row r="1380" spans="1:2" x14ac:dyDescent="0.25">
      <c r="A1380">
        <v>0</v>
      </c>
      <c r="B1380">
        <v>4.6804871410131454E-2</v>
      </c>
    </row>
    <row r="1381" spans="1:2" x14ac:dyDescent="0.25">
      <c r="A1381">
        <v>0</v>
      </c>
      <c r="B1381">
        <v>6.0392599552869797E-2</v>
      </c>
    </row>
    <row r="1382" spans="1:2" x14ac:dyDescent="0.25">
      <c r="A1382">
        <v>0</v>
      </c>
      <c r="B1382">
        <v>6.0394156724214554E-2</v>
      </c>
    </row>
    <row r="1383" spans="1:2" x14ac:dyDescent="0.25">
      <c r="A1383">
        <v>0</v>
      </c>
      <c r="B1383">
        <v>5.4918121546506882E-2</v>
      </c>
    </row>
    <row r="1384" spans="1:2" x14ac:dyDescent="0.25">
      <c r="A1384">
        <v>0</v>
      </c>
      <c r="B1384">
        <v>6.0393005609512329E-2</v>
      </c>
    </row>
    <row r="1385" spans="1:2" x14ac:dyDescent="0.25">
      <c r="A1385">
        <v>0</v>
      </c>
      <c r="B1385">
        <v>6.1108283698558807E-2</v>
      </c>
    </row>
    <row r="1386" spans="1:2" x14ac:dyDescent="0.25">
      <c r="A1386">
        <v>0</v>
      </c>
      <c r="B1386">
        <v>5.9684410691261292E-2</v>
      </c>
    </row>
    <row r="1387" spans="1:2" x14ac:dyDescent="0.25">
      <c r="A1387">
        <v>0</v>
      </c>
      <c r="B1387">
        <v>5.5627498775720596E-2</v>
      </c>
    </row>
    <row r="1388" spans="1:2" x14ac:dyDescent="0.25">
      <c r="A1388">
        <v>0</v>
      </c>
      <c r="B1388">
        <v>5.633830651640892E-2</v>
      </c>
    </row>
    <row r="1389" spans="1:2" x14ac:dyDescent="0.25">
      <c r="A1389">
        <v>0</v>
      </c>
      <c r="B1389">
        <v>5.5395588278770447E-2</v>
      </c>
    </row>
    <row r="1390" spans="1:2" x14ac:dyDescent="0.25">
      <c r="A1390">
        <v>0</v>
      </c>
      <c r="B1390">
        <v>4.6328537166118622E-2</v>
      </c>
    </row>
    <row r="1391" spans="1:2" x14ac:dyDescent="0.25">
      <c r="A1391">
        <v>0</v>
      </c>
      <c r="B1391">
        <v>5.5627256631851196E-2</v>
      </c>
    </row>
    <row r="1392" spans="1:2" x14ac:dyDescent="0.25">
      <c r="A1392">
        <v>0</v>
      </c>
      <c r="B1392">
        <v>5.063316598534584E-2</v>
      </c>
    </row>
    <row r="1393" spans="1:2" x14ac:dyDescent="0.25">
      <c r="A1393">
        <v>0</v>
      </c>
      <c r="B1393">
        <v>4.6094518154859543E-2</v>
      </c>
    </row>
    <row r="1394" spans="1:2" x14ac:dyDescent="0.25">
      <c r="A1394">
        <v>0</v>
      </c>
      <c r="B1394">
        <v>5.086156353354454E-2</v>
      </c>
    </row>
    <row r="1395" spans="1:2" x14ac:dyDescent="0.25">
      <c r="A1395">
        <v>0</v>
      </c>
      <c r="B1395">
        <v>5.1095891743898392E-2</v>
      </c>
    </row>
    <row r="1396" spans="1:2" x14ac:dyDescent="0.25">
      <c r="A1396">
        <v>0</v>
      </c>
      <c r="B1396">
        <v>5.5862400680780411E-2</v>
      </c>
    </row>
    <row r="1397" spans="1:2" x14ac:dyDescent="0.25">
      <c r="A1397">
        <v>0</v>
      </c>
      <c r="B1397">
        <v>6.0164481401443481E-2</v>
      </c>
    </row>
    <row r="1398" spans="1:2" x14ac:dyDescent="0.25">
      <c r="A1398">
        <v>0</v>
      </c>
      <c r="B1398">
        <v>6.0161028057336807E-2</v>
      </c>
    </row>
    <row r="1399" spans="1:2" x14ac:dyDescent="0.25">
      <c r="A1399">
        <v>0</v>
      </c>
      <c r="B1399">
        <v>4.6329911798238754E-2</v>
      </c>
    </row>
    <row r="1400" spans="1:2" x14ac:dyDescent="0.25">
      <c r="A1400">
        <v>0</v>
      </c>
      <c r="B1400">
        <v>6.0160864144563675E-2</v>
      </c>
    </row>
    <row r="1401" spans="1:2" x14ac:dyDescent="0.25">
      <c r="A1401">
        <v>0</v>
      </c>
      <c r="B1401">
        <v>6.0627657920122147E-2</v>
      </c>
    </row>
    <row r="1402" spans="1:2" x14ac:dyDescent="0.25">
      <c r="A1402">
        <v>0</v>
      </c>
      <c r="B1402">
        <v>4.6096809208393097E-2</v>
      </c>
    </row>
    <row r="1403" spans="1:2" x14ac:dyDescent="0.25">
      <c r="A1403">
        <v>0</v>
      </c>
      <c r="B1403">
        <v>5.9916649013757706E-2</v>
      </c>
    </row>
    <row r="1404" spans="1:2" x14ac:dyDescent="0.25">
      <c r="A1404">
        <v>0</v>
      </c>
      <c r="B1404">
        <v>5.5626481771469116E-2</v>
      </c>
    </row>
    <row r="1405" spans="1:2" x14ac:dyDescent="0.25">
      <c r="A1405">
        <v>0</v>
      </c>
      <c r="B1405">
        <v>5.1108289510011673E-2</v>
      </c>
    </row>
    <row r="1406" spans="1:2" x14ac:dyDescent="0.25">
      <c r="A1406">
        <v>0</v>
      </c>
      <c r="B1406">
        <v>6.4918093383312225E-2</v>
      </c>
    </row>
    <row r="1407" spans="1:2" x14ac:dyDescent="0.25">
      <c r="A1407">
        <v>0</v>
      </c>
      <c r="B1407">
        <v>5.110647901892662E-2</v>
      </c>
    </row>
    <row r="1408" spans="1:2" x14ac:dyDescent="0.25">
      <c r="A1408">
        <v>0</v>
      </c>
      <c r="B1408">
        <v>4.6095073223114014E-2</v>
      </c>
    </row>
    <row r="1409" spans="1:2" x14ac:dyDescent="0.25">
      <c r="A1409">
        <v>0</v>
      </c>
      <c r="B1409">
        <v>5.0866853445768356E-2</v>
      </c>
    </row>
    <row r="1410" spans="1:2" x14ac:dyDescent="0.25">
      <c r="A1410">
        <v>0</v>
      </c>
      <c r="B1410">
        <v>5.0617415457963943E-2</v>
      </c>
    </row>
    <row r="1411" spans="1:2" x14ac:dyDescent="0.25">
      <c r="A1411">
        <v>0</v>
      </c>
      <c r="B1411">
        <v>5.5872395634651184E-2</v>
      </c>
    </row>
    <row r="1412" spans="1:2" x14ac:dyDescent="0.25">
      <c r="A1412">
        <v>0</v>
      </c>
      <c r="B1412">
        <v>5.0618108361959457E-2</v>
      </c>
    </row>
    <row r="1413" spans="1:2" x14ac:dyDescent="0.25">
      <c r="A1413">
        <v>0</v>
      </c>
      <c r="B1413">
        <v>6.5163157880306244E-2</v>
      </c>
    </row>
    <row r="1414" spans="1:2" x14ac:dyDescent="0.25">
      <c r="A1414">
        <v>0</v>
      </c>
      <c r="B1414">
        <v>5.1107272505760193E-2</v>
      </c>
    </row>
    <row r="1415" spans="1:2" x14ac:dyDescent="0.25">
      <c r="A1415">
        <v>0</v>
      </c>
      <c r="B1415">
        <v>6.0149218887090683E-2</v>
      </c>
    </row>
    <row r="1416" spans="1:2" x14ac:dyDescent="0.25">
      <c r="A1416">
        <v>0</v>
      </c>
      <c r="B1416">
        <v>4.6338725835084915E-2</v>
      </c>
    </row>
    <row r="1417" spans="1:2" x14ac:dyDescent="0.25">
      <c r="A1417">
        <v>0</v>
      </c>
      <c r="B1417">
        <v>5.0863176584243774E-2</v>
      </c>
    </row>
    <row r="1418" spans="1:2" x14ac:dyDescent="0.25">
      <c r="A1418">
        <v>0</v>
      </c>
      <c r="B1418">
        <v>4.6095754951238632E-2</v>
      </c>
    </row>
    <row r="1419" spans="1:2" x14ac:dyDescent="0.25">
      <c r="A1419">
        <v>0</v>
      </c>
      <c r="B1419">
        <v>6.0150481760501862E-2</v>
      </c>
    </row>
    <row r="1420" spans="1:2" x14ac:dyDescent="0.25">
      <c r="A1420">
        <v>0</v>
      </c>
      <c r="B1420">
        <v>5.5630136281251907E-2</v>
      </c>
    </row>
    <row r="1421" spans="1:2" x14ac:dyDescent="0.25">
      <c r="A1421">
        <v>0</v>
      </c>
      <c r="B1421">
        <v>5.9920519590377808E-2</v>
      </c>
    </row>
    <row r="1422" spans="1:2" x14ac:dyDescent="0.25">
      <c r="A1422">
        <v>0</v>
      </c>
      <c r="B1422">
        <v>6.1117831617593765E-2</v>
      </c>
    </row>
    <row r="1423" spans="1:2" x14ac:dyDescent="0.25">
      <c r="A1423">
        <v>0</v>
      </c>
      <c r="B1423">
        <v>4.6334549784660339E-2</v>
      </c>
    </row>
    <row r="1424" spans="1:2" x14ac:dyDescent="0.25">
      <c r="A1424">
        <v>0</v>
      </c>
      <c r="B1424">
        <v>4.6096064150333405E-2</v>
      </c>
    </row>
    <row r="1425" spans="1:2" x14ac:dyDescent="0.25">
      <c r="A1425">
        <v>0</v>
      </c>
      <c r="B1425">
        <v>5.4906152188777924E-2</v>
      </c>
    </row>
    <row r="1426" spans="1:2" x14ac:dyDescent="0.25">
      <c r="A1426">
        <v>0</v>
      </c>
      <c r="B1426">
        <v>5.6350082159042358E-2</v>
      </c>
    </row>
    <row r="1427" spans="1:2" x14ac:dyDescent="0.25">
      <c r="A1427">
        <v>0</v>
      </c>
      <c r="B1427">
        <v>5.5625271052122116E-2</v>
      </c>
    </row>
    <row r="1428" spans="1:2" x14ac:dyDescent="0.25">
      <c r="A1428">
        <v>0</v>
      </c>
      <c r="B1428">
        <v>4.5374885201454163E-2</v>
      </c>
    </row>
    <row r="1429" spans="1:2" x14ac:dyDescent="0.25">
      <c r="A1429">
        <v>0</v>
      </c>
      <c r="B1429">
        <v>4.6817734837532043E-2</v>
      </c>
    </row>
    <row r="1430" spans="1:2" x14ac:dyDescent="0.25">
      <c r="A1430">
        <v>0</v>
      </c>
      <c r="B1430">
        <v>4.6095449477434158E-2</v>
      </c>
    </row>
    <row r="1431" spans="1:2" x14ac:dyDescent="0.25">
      <c r="A1431">
        <v>0</v>
      </c>
      <c r="B1431">
        <v>4.6093832701444626E-2</v>
      </c>
    </row>
    <row r="1432" spans="1:2" x14ac:dyDescent="0.25">
      <c r="A1432">
        <v>0</v>
      </c>
      <c r="B1432">
        <v>6.0398966073989868E-2</v>
      </c>
    </row>
    <row r="1433" spans="1:2" x14ac:dyDescent="0.25">
      <c r="A1433">
        <v>0</v>
      </c>
      <c r="B1433">
        <v>6.0397423803806305E-2</v>
      </c>
    </row>
    <row r="1434" spans="1:2" x14ac:dyDescent="0.25">
      <c r="A1434">
        <v>0</v>
      </c>
      <c r="B1434">
        <v>5.4911427199840546E-2</v>
      </c>
    </row>
    <row r="1435" spans="1:2" x14ac:dyDescent="0.25">
      <c r="A1435">
        <v>0</v>
      </c>
      <c r="B1435">
        <v>4.681767150759697E-2</v>
      </c>
    </row>
    <row r="1436" spans="1:2" x14ac:dyDescent="0.25">
      <c r="A1436">
        <v>0</v>
      </c>
      <c r="B1436">
        <v>5.9671003371477127E-2</v>
      </c>
    </row>
    <row r="1437" spans="1:2" x14ac:dyDescent="0.25">
      <c r="A1437">
        <v>0</v>
      </c>
      <c r="B1437">
        <v>5.1581576466560364E-2</v>
      </c>
    </row>
    <row r="1438" spans="1:2" x14ac:dyDescent="0.25">
      <c r="A1438">
        <v>0</v>
      </c>
      <c r="B1438">
        <v>6.0393434017896652E-2</v>
      </c>
    </row>
    <row r="1439" spans="1:2" x14ac:dyDescent="0.25">
      <c r="A1439">
        <v>0</v>
      </c>
      <c r="B1439">
        <v>5.9195809066295624E-2</v>
      </c>
    </row>
    <row r="1440" spans="1:2" x14ac:dyDescent="0.25">
      <c r="A1440">
        <v>0</v>
      </c>
      <c r="B1440">
        <v>5.2060339599847794E-2</v>
      </c>
    </row>
    <row r="1441" spans="1:2" x14ac:dyDescent="0.25">
      <c r="A1441">
        <v>0</v>
      </c>
      <c r="B1441">
        <v>4.9664940685033798E-2</v>
      </c>
    </row>
    <row r="1442" spans="1:2" x14ac:dyDescent="0.25">
      <c r="A1442">
        <v>0</v>
      </c>
      <c r="B1442">
        <v>5.2058495581150055E-2</v>
      </c>
    </row>
    <row r="1443" spans="1:2" x14ac:dyDescent="0.25">
      <c r="A1443">
        <v>0</v>
      </c>
      <c r="B1443">
        <v>5.0864227116107941E-2</v>
      </c>
    </row>
    <row r="1444" spans="1:2" x14ac:dyDescent="0.25">
      <c r="A1444">
        <v>0</v>
      </c>
      <c r="B1444">
        <v>7.3494888842105865E-2</v>
      </c>
    </row>
    <row r="1445" spans="1:2" x14ac:dyDescent="0.25">
      <c r="A1445">
        <v>0</v>
      </c>
      <c r="B1445">
        <v>5.2059073001146317E-2</v>
      </c>
    </row>
    <row r="1446" spans="1:2" x14ac:dyDescent="0.25">
      <c r="A1446">
        <v>0</v>
      </c>
      <c r="B1446">
        <v>4.9436513334512711E-2</v>
      </c>
    </row>
    <row r="1447" spans="1:2" x14ac:dyDescent="0.25">
      <c r="A1447">
        <v>0</v>
      </c>
      <c r="B1447">
        <v>5.563180148601532E-2</v>
      </c>
    </row>
    <row r="1448" spans="1:2" x14ac:dyDescent="0.25">
      <c r="A1448">
        <v>0</v>
      </c>
      <c r="B1448">
        <v>4.9664933234453201E-2</v>
      </c>
    </row>
    <row r="1449" spans="1:2" x14ac:dyDescent="0.25">
      <c r="A1449">
        <v>0</v>
      </c>
      <c r="B1449">
        <v>5.2059285342693329E-2</v>
      </c>
    </row>
    <row r="1450" spans="1:2" x14ac:dyDescent="0.25">
      <c r="A1450">
        <v>0</v>
      </c>
      <c r="B1450">
        <v>5.919647216796875E-2</v>
      </c>
    </row>
    <row r="1451" spans="1:2" x14ac:dyDescent="0.25">
      <c r="A1451">
        <v>0</v>
      </c>
      <c r="B1451">
        <v>5.2059970796108246E-2</v>
      </c>
    </row>
    <row r="1452" spans="1:2" x14ac:dyDescent="0.25">
      <c r="A1452">
        <v>0</v>
      </c>
      <c r="B1452">
        <v>5.4430969059467316E-2</v>
      </c>
    </row>
    <row r="1453" spans="1:2" x14ac:dyDescent="0.25">
      <c r="A1453">
        <v>0</v>
      </c>
      <c r="B1453">
        <v>6.9931007921695709E-2</v>
      </c>
    </row>
    <row r="1454" spans="1:2" x14ac:dyDescent="0.25">
      <c r="A1454">
        <v>0</v>
      </c>
      <c r="B1454">
        <v>5.6825656443834305E-2</v>
      </c>
    </row>
    <row r="1455" spans="1:2" x14ac:dyDescent="0.25">
      <c r="A1455">
        <v>0</v>
      </c>
      <c r="B1455">
        <v>4.6097416430711746E-2</v>
      </c>
    </row>
    <row r="1456" spans="1:2" x14ac:dyDescent="0.25">
      <c r="A1456">
        <v>0</v>
      </c>
      <c r="B1456">
        <v>5.0861403346061707E-2</v>
      </c>
    </row>
    <row r="1457" spans="1:2" x14ac:dyDescent="0.25">
      <c r="A1457">
        <v>0</v>
      </c>
      <c r="B1457">
        <v>5.4429396986961365E-2</v>
      </c>
    </row>
    <row r="1458" spans="1:2" x14ac:dyDescent="0.25">
      <c r="A1458">
        <v>0</v>
      </c>
      <c r="B1458">
        <v>6.039569154381752E-2</v>
      </c>
    </row>
    <row r="1459" spans="1:2" x14ac:dyDescent="0.25">
      <c r="A1459">
        <v>0</v>
      </c>
      <c r="B1459">
        <v>6.5160766243934631E-2</v>
      </c>
    </row>
    <row r="1460" spans="1:2" x14ac:dyDescent="0.25">
      <c r="A1460">
        <v>0</v>
      </c>
      <c r="B1460">
        <v>6.9925650954246521E-2</v>
      </c>
    </row>
    <row r="1461" spans="1:2" x14ac:dyDescent="0.25">
      <c r="A1461">
        <v>0</v>
      </c>
      <c r="B1461">
        <v>5.5627290159463882E-2</v>
      </c>
    </row>
    <row r="1462" spans="1:2" x14ac:dyDescent="0.25">
      <c r="A1462">
        <v>0</v>
      </c>
      <c r="B1462">
        <v>5.2060395479202271E-2</v>
      </c>
    </row>
    <row r="1463" spans="1:2" x14ac:dyDescent="0.25">
      <c r="A1463">
        <v>0</v>
      </c>
      <c r="B1463">
        <v>5.0860371440649033E-2</v>
      </c>
    </row>
    <row r="1464" spans="1:2" x14ac:dyDescent="0.25">
      <c r="A1464">
        <v>0</v>
      </c>
      <c r="B1464">
        <v>5.3954858332872391E-2</v>
      </c>
    </row>
    <row r="1465" spans="1:2" x14ac:dyDescent="0.25">
      <c r="A1465">
        <v>0</v>
      </c>
      <c r="B1465">
        <v>5.730476975440979E-2</v>
      </c>
    </row>
    <row r="1466" spans="1:2" x14ac:dyDescent="0.25">
      <c r="A1466">
        <v>0</v>
      </c>
      <c r="B1466">
        <v>5.562969297170639E-2</v>
      </c>
    </row>
    <row r="1467" spans="1:2" x14ac:dyDescent="0.25">
      <c r="A1467">
        <v>0</v>
      </c>
      <c r="B1467">
        <v>4.3944492936134338E-2</v>
      </c>
    </row>
    <row r="1468" spans="1:2" x14ac:dyDescent="0.25">
      <c r="A1468">
        <v>0</v>
      </c>
      <c r="B1468">
        <v>6.0395698994398117E-2</v>
      </c>
    </row>
    <row r="1469" spans="1:2" x14ac:dyDescent="0.25">
      <c r="A1469">
        <v>0</v>
      </c>
      <c r="B1469">
        <v>5.7835232466459274E-2</v>
      </c>
    </row>
    <row r="1470" spans="1:2" x14ac:dyDescent="0.25">
      <c r="A1470">
        <v>0</v>
      </c>
      <c r="B1470">
        <v>5.843299999833107E-2</v>
      </c>
    </row>
    <row r="1471" spans="1:2" x14ac:dyDescent="0.25">
      <c r="A1471">
        <v>0</v>
      </c>
      <c r="B1471">
        <v>4.871261864900589E-2</v>
      </c>
    </row>
    <row r="1472" spans="1:2" x14ac:dyDescent="0.25">
      <c r="A1472">
        <v>0</v>
      </c>
      <c r="B1472">
        <v>6.0394708067178726E-2</v>
      </c>
    </row>
    <row r="1473" spans="1:2" x14ac:dyDescent="0.25">
      <c r="A1473">
        <v>0</v>
      </c>
      <c r="B1473">
        <v>6.2547333538532257E-2</v>
      </c>
    </row>
    <row r="1474" spans="1:2" x14ac:dyDescent="0.25">
      <c r="A1474">
        <v>0</v>
      </c>
      <c r="B1474">
        <v>5.0860818475484848E-2</v>
      </c>
    </row>
    <row r="1475" spans="1:2" x14ac:dyDescent="0.25">
      <c r="A1475">
        <v>0</v>
      </c>
      <c r="B1475">
        <v>5.0862178206443787E-2</v>
      </c>
    </row>
    <row r="1476" spans="1:2" x14ac:dyDescent="0.25">
      <c r="A1476">
        <v>0</v>
      </c>
      <c r="B1476">
        <v>4.6094886958599091E-2</v>
      </c>
    </row>
    <row r="1477" spans="1:2" x14ac:dyDescent="0.25">
      <c r="A1477">
        <v>0</v>
      </c>
      <c r="B1477">
        <v>4.6095125377178192E-2</v>
      </c>
    </row>
    <row r="1478" spans="1:2" x14ac:dyDescent="0.25">
      <c r="A1478">
        <v>0</v>
      </c>
      <c r="B1478">
        <v>5.5629972368478775E-2</v>
      </c>
    </row>
    <row r="1479" spans="1:2" x14ac:dyDescent="0.25">
      <c r="A1479">
        <v>0</v>
      </c>
      <c r="B1479">
        <v>5.0859455019235611E-2</v>
      </c>
    </row>
    <row r="1480" spans="1:2" x14ac:dyDescent="0.25">
      <c r="A1480">
        <v>0</v>
      </c>
      <c r="B1480">
        <v>5.3475573658943176E-2</v>
      </c>
    </row>
    <row r="1481" spans="1:2" x14ac:dyDescent="0.25">
      <c r="A1481">
        <v>0</v>
      </c>
      <c r="B1481">
        <v>5.3014528006315231E-2</v>
      </c>
    </row>
    <row r="1482" spans="1:2" x14ac:dyDescent="0.25">
      <c r="A1482">
        <v>0</v>
      </c>
      <c r="B1482">
        <v>5.3476560860872269E-2</v>
      </c>
    </row>
    <row r="1483" spans="1:2" x14ac:dyDescent="0.25">
      <c r="A1483">
        <v>0</v>
      </c>
      <c r="B1483">
        <v>5.3012989461421967E-2</v>
      </c>
    </row>
    <row r="1484" spans="1:2" x14ac:dyDescent="0.25">
      <c r="A1484">
        <v>0</v>
      </c>
      <c r="B1484">
        <v>5.5627372115850449E-2</v>
      </c>
    </row>
    <row r="1485" spans="1:2" x14ac:dyDescent="0.25">
      <c r="A1485">
        <v>0</v>
      </c>
      <c r="B1485">
        <v>6.0392811894416809E-2</v>
      </c>
    </row>
    <row r="1486" spans="1:2" x14ac:dyDescent="0.25">
      <c r="A1486">
        <v>0</v>
      </c>
      <c r="B1486">
        <v>5.347888171672821E-2</v>
      </c>
    </row>
    <row r="1487" spans="1:2" x14ac:dyDescent="0.25">
      <c r="A1487">
        <v>0</v>
      </c>
      <c r="B1487">
        <v>5.7778913527727127E-2</v>
      </c>
    </row>
    <row r="1488" spans="1:2" x14ac:dyDescent="0.25">
      <c r="A1488">
        <v>0</v>
      </c>
      <c r="B1488">
        <v>5.3476408123970032E-2</v>
      </c>
    </row>
    <row r="1489" spans="1:2" x14ac:dyDescent="0.25">
      <c r="A1489">
        <v>0</v>
      </c>
      <c r="B1489">
        <v>5.5630818009376526E-2</v>
      </c>
    </row>
    <row r="1490" spans="1:2" x14ac:dyDescent="0.25">
      <c r="A1490">
        <v>0</v>
      </c>
      <c r="B1490">
        <v>5.562945082783699E-2</v>
      </c>
    </row>
    <row r="1491" spans="1:2" x14ac:dyDescent="0.25">
      <c r="A1491">
        <v>0</v>
      </c>
      <c r="B1491">
        <v>4.3481763452291489E-2</v>
      </c>
    </row>
    <row r="1492" spans="1:2" x14ac:dyDescent="0.25">
      <c r="A1492">
        <v>0</v>
      </c>
      <c r="B1492">
        <v>5.0862677395343781E-2</v>
      </c>
    </row>
    <row r="1493" spans="1:2" x14ac:dyDescent="0.25">
      <c r="A1493">
        <v>0</v>
      </c>
      <c r="B1493">
        <v>5.8247391134500504E-2</v>
      </c>
    </row>
    <row r="1494" spans="1:2" x14ac:dyDescent="0.25">
      <c r="A1494">
        <v>0</v>
      </c>
      <c r="B1494">
        <v>5.5626619607210159E-2</v>
      </c>
    </row>
    <row r="1495" spans="1:2" x14ac:dyDescent="0.25">
      <c r="A1495">
        <v>0</v>
      </c>
      <c r="B1495">
        <v>5.5628590285778046E-2</v>
      </c>
    </row>
    <row r="1496" spans="1:2" x14ac:dyDescent="0.25">
      <c r="A1496">
        <v>0</v>
      </c>
      <c r="B1496">
        <v>5.0861045718193054E-2</v>
      </c>
    </row>
    <row r="1497" spans="1:2" x14ac:dyDescent="0.25">
      <c r="A1497">
        <v>0</v>
      </c>
      <c r="B1497">
        <v>6.0392975807189941E-2</v>
      </c>
    </row>
    <row r="1498" spans="1:2" x14ac:dyDescent="0.25">
      <c r="A1498">
        <v>0</v>
      </c>
      <c r="B1498">
        <v>5.5628344416618347E-2</v>
      </c>
    </row>
    <row r="1499" spans="1:2" x14ac:dyDescent="0.25">
      <c r="A1499">
        <v>0</v>
      </c>
      <c r="B1499">
        <v>5.5151700973510742E-2</v>
      </c>
    </row>
    <row r="1500" spans="1:2" x14ac:dyDescent="0.25">
      <c r="A1500">
        <v>0</v>
      </c>
      <c r="B1500">
        <v>6.2544964253902435E-2</v>
      </c>
    </row>
    <row r="1501" spans="1:2" x14ac:dyDescent="0.25">
      <c r="A1501">
        <v>0</v>
      </c>
      <c r="B1501">
        <v>6.2532477080821991E-2</v>
      </c>
    </row>
    <row r="1502" spans="1:2" x14ac:dyDescent="0.25">
      <c r="A1502">
        <v>0</v>
      </c>
      <c r="B1502">
        <v>5.8255936950445175E-2</v>
      </c>
    </row>
    <row r="1503" spans="1:2" x14ac:dyDescent="0.25">
      <c r="A1503">
        <v>0</v>
      </c>
      <c r="B1503">
        <v>5.0861991941928864E-2</v>
      </c>
    </row>
    <row r="1504" spans="1:2" x14ac:dyDescent="0.25">
      <c r="A1504">
        <v>0</v>
      </c>
      <c r="B1504">
        <v>5.3004197776317596E-2</v>
      </c>
    </row>
    <row r="1505" spans="1:2" x14ac:dyDescent="0.25">
      <c r="A1505">
        <v>0</v>
      </c>
      <c r="B1505">
        <v>6.0393594205379486E-2</v>
      </c>
    </row>
    <row r="1506" spans="1:2" x14ac:dyDescent="0.25">
      <c r="A1506">
        <v>0</v>
      </c>
      <c r="B1506">
        <v>6.0393594205379486E-2</v>
      </c>
    </row>
    <row r="1507" spans="1:2" x14ac:dyDescent="0.25">
      <c r="A1507">
        <v>0</v>
      </c>
      <c r="B1507">
        <v>5.8256041258573532E-2</v>
      </c>
    </row>
    <row r="1508" spans="1:2" x14ac:dyDescent="0.25">
      <c r="A1508">
        <v>0</v>
      </c>
      <c r="B1508">
        <v>5.562848225235939E-2</v>
      </c>
    </row>
    <row r="1509" spans="1:2" x14ac:dyDescent="0.25">
      <c r="A1509">
        <v>0</v>
      </c>
      <c r="B1509">
        <v>5.5629786103963852E-2</v>
      </c>
    </row>
    <row r="1510" spans="1:2" x14ac:dyDescent="0.25">
      <c r="A1510">
        <v>0</v>
      </c>
      <c r="B1510">
        <v>5.3001336753368378E-2</v>
      </c>
    </row>
    <row r="1511" spans="1:2" x14ac:dyDescent="0.25">
      <c r="A1511">
        <v>0</v>
      </c>
      <c r="B1511">
        <v>5.562853068113327E-2</v>
      </c>
    </row>
    <row r="1512" spans="1:2" x14ac:dyDescent="0.25">
      <c r="A1512">
        <v>0</v>
      </c>
      <c r="B1512">
        <v>5.3495623171329498E-2</v>
      </c>
    </row>
    <row r="1513" spans="1:2" x14ac:dyDescent="0.25">
      <c r="A1513">
        <v>0</v>
      </c>
      <c r="B1513">
        <v>4.8232309520244598E-2</v>
      </c>
    </row>
    <row r="1514" spans="1:2" x14ac:dyDescent="0.25">
      <c r="A1514">
        <v>0</v>
      </c>
      <c r="B1514">
        <v>5.8254346251487732E-2</v>
      </c>
    </row>
    <row r="1515" spans="1:2" x14ac:dyDescent="0.25">
      <c r="A1515">
        <v>0</v>
      </c>
      <c r="B1515">
        <v>5.5627018213272095E-2</v>
      </c>
    </row>
    <row r="1516" spans="1:2" x14ac:dyDescent="0.25">
      <c r="A1516">
        <v>0</v>
      </c>
      <c r="B1516">
        <v>4.6097982674837112E-2</v>
      </c>
    </row>
    <row r="1517" spans="1:2" x14ac:dyDescent="0.25">
      <c r="A1517">
        <v>0</v>
      </c>
      <c r="B1517">
        <v>6.0392268002033234E-2</v>
      </c>
    </row>
    <row r="1518" spans="1:2" x14ac:dyDescent="0.25">
      <c r="A1518">
        <v>0</v>
      </c>
      <c r="B1518">
        <v>6.7302130162715912E-2</v>
      </c>
    </row>
    <row r="1519" spans="1:2" x14ac:dyDescent="0.25">
      <c r="A1519">
        <v>0</v>
      </c>
      <c r="B1519">
        <v>6.0393225401639938E-2</v>
      </c>
    </row>
    <row r="1520" spans="1:2" x14ac:dyDescent="0.25">
      <c r="A1520">
        <v>0</v>
      </c>
      <c r="B1520">
        <v>5.3491394966840744E-2</v>
      </c>
    </row>
    <row r="1521" spans="1:2" x14ac:dyDescent="0.25">
      <c r="A1521">
        <v>0</v>
      </c>
      <c r="B1521">
        <v>6.7299656569957733E-2</v>
      </c>
    </row>
    <row r="1522" spans="1:2" x14ac:dyDescent="0.25">
      <c r="A1522">
        <v>0</v>
      </c>
      <c r="B1522">
        <v>5.5626504123210907E-2</v>
      </c>
    </row>
    <row r="1523" spans="1:2" x14ac:dyDescent="0.25">
      <c r="A1523">
        <v>0</v>
      </c>
      <c r="B1523">
        <v>6.0395512729883194E-2</v>
      </c>
    </row>
    <row r="1524" spans="1:2" x14ac:dyDescent="0.25">
      <c r="A1524">
        <v>0</v>
      </c>
      <c r="B1524">
        <v>6.5158799290657043E-2</v>
      </c>
    </row>
    <row r="1525" spans="1:2" x14ac:dyDescent="0.25">
      <c r="A1525">
        <v>0</v>
      </c>
      <c r="B1525">
        <v>5.8257225900888443E-2</v>
      </c>
    </row>
    <row r="1526" spans="1:2" x14ac:dyDescent="0.25">
      <c r="A1526">
        <v>0</v>
      </c>
      <c r="B1526">
        <v>5.0862014293670654E-2</v>
      </c>
    </row>
    <row r="1527" spans="1:2" x14ac:dyDescent="0.25">
      <c r="A1527">
        <v>0</v>
      </c>
      <c r="B1527">
        <v>5.0862368196249008E-2</v>
      </c>
    </row>
    <row r="1528" spans="1:2" x14ac:dyDescent="0.25">
      <c r="A1528">
        <v>0</v>
      </c>
      <c r="B1528">
        <v>4.8237025737762451E-2</v>
      </c>
    </row>
    <row r="1529" spans="1:2" x14ac:dyDescent="0.25">
      <c r="A1529">
        <v>0</v>
      </c>
      <c r="B1529">
        <v>5.5626913905143738E-2</v>
      </c>
    </row>
    <row r="1530" spans="1:2" x14ac:dyDescent="0.25">
      <c r="A1530">
        <v>0</v>
      </c>
      <c r="B1530">
        <v>6.0390681028366089E-2</v>
      </c>
    </row>
    <row r="1531" spans="1:2" x14ac:dyDescent="0.25">
      <c r="A1531">
        <v>0</v>
      </c>
      <c r="B1531">
        <v>6.7787706851959229E-2</v>
      </c>
    </row>
    <row r="1532" spans="1:2" x14ac:dyDescent="0.25">
      <c r="A1532">
        <v>0</v>
      </c>
      <c r="B1532">
        <v>6.2533728778362274E-2</v>
      </c>
    </row>
    <row r="1533" spans="1:2" x14ac:dyDescent="0.25">
      <c r="A1533">
        <v>0</v>
      </c>
      <c r="B1533">
        <v>5.5628720670938492E-2</v>
      </c>
    </row>
    <row r="1534" spans="1:2" x14ac:dyDescent="0.25">
      <c r="A1534">
        <v>0</v>
      </c>
      <c r="B1534">
        <v>6.0394648462533951E-2</v>
      </c>
    </row>
    <row r="1535" spans="1:2" x14ac:dyDescent="0.25">
      <c r="A1535">
        <v>0</v>
      </c>
      <c r="B1535">
        <v>6.3021287322044373E-2</v>
      </c>
    </row>
    <row r="1536" spans="1:2" x14ac:dyDescent="0.25">
      <c r="A1536">
        <v>0</v>
      </c>
      <c r="B1536">
        <v>6.25324547290802E-2</v>
      </c>
    </row>
    <row r="1537" spans="1:2" x14ac:dyDescent="0.25">
      <c r="A1537">
        <v>0</v>
      </c>
      <c r="B1537">
        <v>7.2557829320430756E-2</v>
      </c>
    </row>
    <row r="1538" spans="1:2" x14ac:dyDescent="0.25">
      <c r="A1538">
        <v>0</v>
      </c>
      <c r="B1538">
        <v>4.6096056699752808E-2</v>
      </c>
    </row>
    <row r="1539" spans="1:2" x14ac:dyDescent="0.25">
      <c r="A1539">
        <v>0</v>
      </c>
      <c r="B1539">
        <v>4.1329942643642426E-2</v>
      </c>
    </row>
    <row r="1540" spans="1:2" x14ac:dyDescent="0.25">
      <c r="A1540">
        <v>0</v>
      </c>
      <c r="B1540">
        <v>4.6095028519630432E-2</v>
      </c>
    </row>
    <row r="1541" spans="1:2" x14ac:dyDescent="0.25">
      <c r="A1541">
        <v>0</v>
      </c>
      <c r="B1541">
        <v>5.5628303438425064E-2</v>
      </c>
    </row>
    <row r="1542" spans="1:2" x14ac:dyDescent="0.25">
      <c r="A1542">
        <v>0</v>
      </c>
      <c r="B1542">
        <v>5.5628549307584763E-2</v>
      </c>
    </row>
    <row r="1543" spans="1:2" x14ac:dyDescent="0.25">
      <c r="A1543">
        <v>0</v>
      </c>
      <c r="B1543">
        <v>5.9918515384197235E-2</v>
      </c>
    </row>
    <row r="1544" spans="1:2" x14ac:dyDescent="0.25">
      <c r="A1544">
        <v>0</v>
      </c>
      <c r="B1544">
        <v>5.300208181142807E-2</v>
      </c>
    </row>
    <row r="1545" spans="1:2" x14ac:dyDescent="0.25">
      <c r="A1545">
        <v>0</v>
      </c>
      <c r="B1545">
        <v>6.3497103750705719E-2</v>
      </c>
    </row>
    <row r="1546" spans="1:2" x14ac:dyDescent="0.25">
      <c r="A1546">
        <v>0</v>
      </c>
      <c r="B1546">
        <v>5.8951493352651596E-2</v>
      </c>
    </row>
    <row r="1547" spans="1:2" x14ac:dyDescent="0.25">
      <c r="A1547">
        <v>0</v>
      </c>
      <c r="B1547">
        <v>5.7072531431913376E-2</v>
      </c>
    </row>
    <row r="1548" spans="1:2" x14ac:dyDescent="0.25">
      <c r="A1548">
        <v>0</v>
      </c>
      <c r="B1548">
        <v>5.4187815636396408E-2</v>
      </c>
    </row>
    <row r="1549" spans="1:2" x14ac:dyDescent="0.25">
      <c r="A1549">
        <v>0</v>
      </c>
      <c r="B1549">
        <v>5.230410024523735E-2</v>
      </c>
    </row>
    <row r="1550" spans="1:2" x14ac:dyDescent="0.25">
      <c r="A1550">
        <v>0</v>
      </c>
      <c r="B1550">
        <v>4.6097174286842346E-2</v>
      </c>
    </row>
    <row r="1551" spans="1:2" x14ac:dyDescent="0.25">
      <c r="A1551">
        <v>0</v>
      </c>
      <c r="B1551">
        <v>5.08621446788311E-2</v>
      </c>
    </row>
    <row r="1552" spans="1:2" x14ac:dyDescent="0.25">
      <c r="A1552">
        <v>0</v>
      </c>
      <c r="B1552">
        <v>6.2058534473180771E-2</v>
      </c>
    </row>
    <row r="1553" spans="1:2" x14ac:dyDescent="0.25">
      <c r="A1553">
        <v>0</v>
      </c>
      <c r="B1553">
        <v>5.8730386197566986E-2</v>
      </c>
    </row>
    <row r="1554" spans="1:2" x14ac:dyDescent="0.25">
      <c r="A1554">
        <v>0</v>
      </c>
      <c r="B1554">
        <v>5.5634520947933197E-2</v>
      </c>
    </row>
    <row r="1555" spans="1:2" x14ac:dyDescent="0.25">
      <c r="A1555">
        <v>0</v>
      </c>
      <c r="B1555">
        <v>4.1329942643642426E-2</v>
      </c>
    </row>
    <row r="1556" spans="1:2" x14ac:dyDescent="0.25">
      <c r="A1556">
        <v>0</v>
      </c>
      <c r="B1556">
        <v>5.7291459292173386E-2</v>
      </c>
    </row>
    <row r="1557" spans="1:2" x14ac:dyDescent="0.25">
      <c r="A1557">
        <v>0</v>
      </c>
      <c r="B1557">
        <v>4.919886589050293E-2</v>
      </c>
    </row>
    <row r="1558" spans="1:2" x14ac:dyDescent="0.25">
      <c r="A1558">
        <v>0</v>
      </c>
      <c r="B1558">
        <v>6.2056101858615875E-2</v>
      </c>
    </row>
    <row r="1559" spans="1:2" x14ac:dyDescent="0.25">
      <c r="A1559">
        <v>0</v>
      </c>
      <c r="B1559">
        <v>5.8733671903610229E-2</v>
      </c>
    </row>
    <row r="1560" spans="1:2" x14ac:dyDescent="0.25">
      <c r="A1560">
        <v>0</v>
      </c>
      <c r="B1560">
        <v>5.7291209697723389E-2</v>
      </c>
    </row>
    <row r="1561" spans="1:2" x14ac:dyDescent="0.25">
      <c r="A1561">
        <v>0</v>
      </c>
      <c r="B1561">
        <v>5.8733720332384109E-2</v>
      </c>
    </row>
    <row r="1562" spans="1:2" x14ac:dyDescent="0.25">
      <c r="A1562">
        <v>0</v>
      </c>
      <c r="B1562">
        <v>5.0864651799201965E-2</v>
      </c>
    </row>
    <row r="1563" spans="1:2" x14ac:dyDescent="0.25">
      <c r="A1563">
        <v>0</v>
      </c>
      <c r="B1563">
        <v>4.609457403421402E-2</v>
      </c>
    </row>
    <row r="1564" spans="1:2" x14ac:dyDescent="0.25">
      <c r="A1564">
        <v>0</v>
      </c>
      <c r="B1564">
        <v>5.2524685859680176E-2</v>
      </c>
    </row>
    <row r="1565" spans="1:2" x14ac:dyDescent="0.25">
      <c r="A1565">
        <v>0</v>
      </c>
      <c r="B1565">
        <v>5.5630575865507126E-2</v>
      </c>
    </row>
    <row r="1566" spans="1:2" x14ac:dyDescent="0.25">
      <c r="A1566">
        <v>0</v>
      </c>
      <c r="B1566">
        <v>5.8731436729431152E-2</v>
      </c>
    </row>
    <row r="1567" spans="1:2" x14ac:dyDescent="0.25">
      <c r="A1567">
        <v>0</v>
      </c>
      <c r="B1567">
        <v>5.7292498648166656E-2</v>
      </c>
    </row>
    <row r="1568" spans="1:2" x14ac:dyDescent="0.25">
      <c r="A1568">
        <v>0</v>
      </c>
      <c r="B1568">
        <v>5.396512895822525E-2</v>
      </c>
    </row>
    <row r="1569" spans="1:2" x14ac:dyDescent="0.25">
      <c r="A1569">
        <v>0</v>
      </c>
      <c r="B1569">
        <v>5.0861872732639313E-2</v>
      </c>
    </row>
    <row r="1570" spans="1:2" x14ac:dyDescent="0.25">
      <c r="A1570">
        <v>0</v>
      </c>
      <c r="B1570">
        <v>5.6581892073154449E-2</v>
      </c>
    </row>
    <row r="1571" spans="1:2" x14ac:dyDescent="0.25">
      <c r="A1571">
        <v>0</v>
      </c>
      <c r="B1571">
        <v>5.5628765374422073E-2</v>
      </c>
    </row>
    <row r="1572" spans="1:2" x14ac:dyDescent="0.25">
      <c r="A1572">
        <v>0</v>
      </c>
      <c r="B1572">
        <v>4.1329942643642426E-2</v>
      </c>
    </row>
    <row r="1573" spans="1:2" x14ac:dyDescent="0.25">
      <c r="A1573">
        <v>0</v>
      </c>
      <c r="B1573">
        <v>4.7279924154281616E-2</v>
      </c>
    </row>
    <row r="1574" spans="1:2" x14ac:dyDescent="0.25">
      <c r="A1574">
        <v>0</v>
      </c>
      <c r="B1574">
        <v>5.9211045503616333E-2</v>
      </c>
    </row>
    <row r="1575" spans="1:2" x14ac:dyDescent="0.25">
      <c r="A1575">
        <v>0</v>
      </c>
      <c r="B1575">
        <v>5.5626377463340759E-2</v>
      </c>
    </row>
    <row r="1576" spans="1:2" x14ac:dyDescent="0.25">
      <c r="A1576">
        <v>0</v>
      </c>
      <c r="B1576">
        <v>5.2047684788703918E-2</v>
      </c>
    </row>
    <row r="1577" spans="1:2" x14ac:dyDescent="0.25">
      <c r="A1577">
        <v>0</v>
      </c>
      <c r="B1577">
        <v>5.4441981017589569E-2</v>
      </c>
    </row>
    <row r="1578" spans="1:2" x14ac:dyDescent="0.25">
      <c r="A1578">
        <v>0</v>
      </c>
      <c r="B1578">
        <v>6.5162107348442078E-2</v>
      </c>
    </row>
    <row r="1579" spans="1:2" x14ac:dyDescent="0.25">
      <c r="A1579">
        <v>0</v>
      </c>
      <c r="B1579">
        <v>5.0860818475484848E-2</v>
      </c>
    </row>
    <row r="1580" spans="1:2" x14ac:dyDescent="0.25">
      <c r="A1580">
        <v>0</v>
      </c>
      <c r="B1580">
        <v>6.5162479877471924E-2</v>
      </c>
    </row>
    <row r="1581" spans="1:2" x14ac:dyDescent="0.25">
      <c r="A1581">
        <v>0</v>
      </c>
      <c r="B1581">
        <v>5.5628728121519089E-2</v>
      </c>
    </row>
    <row r="1582" spans="1:2" x14ac:dyDescent="0.25">
      <c r="A1582">
        <v>0</v>
      </c>
      <c r="B1582">
        <v>6.1579674482345581E-2</v>
      </c>
    </row>
    <row r="1583" spans="1:2" x14ac:dyDescent="0.25">
      <c r="A1583">
        <v>0</v>
      </c>
      <c r="B1583">
        <v>4.4910561293363571E-2</v>
      </c>
    </row>
    <row r="1584" spans="1:2" x14ac:dyDescent="0.25">
      <c r="A1584">
        <v>0</v>
      </c>
      <c r="B1584">
        <v>6.5160974860191345E-2</v>
      </c>
    </row>
    <row r="1585" spans="1:2" x14ac:dyDescent="0.25">
      <c r="A1585">
        <v>0</v>
      </c>
      <c r="B1585">
        <v>5.5628187954425812E-2</v>
      </c>
    </row>
    <row r="1586" spans="1:2" x14ac:dyDescent="0.25">
      <c r="A1586">
        <v>0</v>
      </c>
      <c r="B1586">
        <v>5.2047803997993469E-2</v>
      </c>
    </row>
    <row r="1587" spans="1:2" x14ac:dyDescent="0.25">
      <c r="A1587">
        <v>0</v>
      </c>
      <c r="B1587">
        <v>5.873088538646698E-2</v>
      </c>
    </row>
    <row r="1588" spans="1:2" x14ac:dyDescent="0.25">
      <c r="A1588">
        <v>0</v>
      </c>
      <c r="B1588">
        <v>4.632941260933876E-2</v>
      </c>
    </row>
    <row r="1589" spans="1:2" x14ac:dyDescent="0.25">
      <c r="A1589">
        <v>0</v>
      </c>
      <c r="B1589">
        <v>6.5160080790519714E-2</v>
      </c>
    </row>
    <row r="1590" spans="1:2" x14ac:dyDescent="0.25">
      <c r="A1590">
        <v>0</v>
      </c>
      <c r="B1590">
        <v>6.4451500773429871E-2</v>
      </c>
    </row>
    <row r="1591" spans="1:2" x14ac:dyDescent="0.25">
      <c r="A1591">
        <v>0</v>
      </c>
      <c r="B1591">
        <v>5.0861936062574387E-2</v>
      </c>
    </row>
    <row r="1592" spans="1:2" x14ac:dyDescent="0.25">
      <c r="A1592">
        <v>0</v>
      </c>
      <c r="B1592">
        <v>5.1572971045970917E-2</v>
      </c>
    </row>
    <row r="1593" spans="1:2" x14ac:dyDescent="0.25">
      <c r="A1593">
        <v>0</v>
      </c>
      <c r="B1593">
        <v>5.969015508890152E-2</v>
      </c>
    </row>
    <row r="1594" spans="1:2" x14ac:dyDescent="0.25">
      <c r="A1594">
        <v>0</v>
      </c>
      <c r="B1594">
        <v>4.6097613871097565E-2</v>
      </c>
    </row>
    <row r="1595" spans="1:2" x14ac:dyDescent="0.25">
      <c r="A1595">
        <v>0</v>
      </c>
      <c r="B1595">
        <v>4.6097490936517715E-2</v>
      </c>
    </row>
    <row r="1596" spans="1:2" x14ac:dyDescent="0.25">
      <c r="A1596">
        <v>0</v>
      </c>
      <c r="B1596">
        <v>5.1569670438766479E-2</v>
      </c>
    </row>
    <row r="1597" spans="1:2" x14ac:dyDescent="0.25">
      <c r="A1597">
        <v>0</v>
      </c>
      <c r="B1597">
        <v>7.4695952236652374E-2</v>
      </c>
    </row>
    <row r="1598" spans="1:2" x14ac:dyDescent="0.25">
      <c r="A1598">
        <v>0</v>
      </c>
      <c r="B1598">
        <v>5.9690419584512711E-2</v>
      </c>
    </row>
    <row r="1599" spans="1:2" x14ac:dyDescent="0.25">
      <c r="A1599">
        <v>0</v>
      </c>
      <c r="B1599">
        <v>5.086199939250946E-2</v>
      </c>
    </row>
    <row r="1600" spans="1:2" x14ac:dyDescent="0.25">
      <c r="A1600">
        <v>0</v>
      </c>
      <c r="B1600">
        <v>6.5162405371665955E-2</v>
      </c>
    </row>
    <row r="1601" spans="1:2" x14ac:dyDescent="0.25">
      <c r="A1601">
        <v>0</v>
      </c>
      <c r="B1601">
        <v>5.1572810858488083E-2</v>
      </c>
    </row>
    <row r="1602" spans="1:2" x14ac:dyDescent="0.25">
      <c r="A1602">
        <v>0</v>
      </c>
      <c r="B1602">
        <v>5.086265504360199E-2</v>
      </c>
    </row>
    <row r="1603" spans="1:2" x14ac:dyDescent="0.25">
      <c r="A1603">
        <v>0</v>
      </c>
      <c r="B1603">
        <v>6.5158151090145111E-2</v>
      </c>
    </row>
    <row r="1604" spans="1:2" x14ac:dyDescent="0.25">
      <c r="A1604">
        <v>0</v>
      </c>
      <c r="B1604">
        <v>6.51589035987854E-2</v>
      </c>
    </row>
    <row r="1605" spans="1:2" x14ac:dyDescent="0.25">
      <c r="A1605">
        <v>0</v>
      </c>
      <c r="B1605">
        <v>5.4918814450502396E-2</v>
      </c>
    </row>
    <row r="1606" spans="1:2" x14ac:dyDescent="0.25">
      <c r="A1606">
        <v>0</v>
      </c>
      <c r="B1606">
        <v>4.6096619218587875E-2</v>
      </c>
    </row>
    <row r="1607" spans="1:2" x14ac:dyDescent="0.25">
      <c r="A1607">
        <v>0</v>
      </c>
      <c r="B1607">
        <v>5.0867725163698196E-2</v>
      </c>
    </row>
    <row r="1608" spans="1:2" x14ac:dyDescent="0.25">
      <c r="A1608">
        <v>0</v>
      </c>
      <c r="B1608">
        <v>5.1571223884820938E-2</v>
      </c>
    </row>
    <row r="1609" spans="1:2" x14ac:dyDescent="0.25">
      <c r="A1609">
        <v>0</v>
      </c>
      <c r="B1609">
        <v>5.5627599358558655E-2</v>
      </c>
    </row>
    <row r="1610" spans="1:2" x14ac:dyDescent="0.25">
      <c r="A1610">
        <v>0</v>
      </c>
      <c r="B1610">
        <v>5.5627722293138504E-2</v>
      </c>
    </row>
    <row r="1611" spans="1:2" x14ac:dyDescent="0.25">
      <c r="A1611">
        <v>0</v>
      </c>
      <c r="B1611">
        <v>5.4918084293603897E-2</v>
      </c>
    </row>
    <row r="1612" spans="1:2" x14ac:dyDescent="0.25">
      <c r="A1612">
        <v>0</v>
      </c>
      <c r="B1612">
        <v>5.0863634794950485E-2</v>
      </c>
    </row>
    <row r="1613" spans="1:2" x14ac:dyDescent="0.25">
      <c r="A1613">
        <v>0</v>
      </c>
      <c r="B1613">
        <v>5.6337561458349228E-2</v>
      </c>
    </row>
    <row r="1614" spans="1:2" x14ac:dyDescent="0.25">
      <c r="A1614">
        <v>0</v>
      </c>
      <c r="B1614">
        <v>5.0154469907283783E-2</v>
      </c>
    </row>
    <row r="1615" spans="1:2" x14ac:dyDescent="0.25">
      <c r="A1615">
        <v>0</v>
      </c>
      <c r="B1615">
        <v>5.0864063203334808E-2</v>
      </c>
    </row>
    <row r="1616" spans="1:2" x14ac:dyDescent="0.25">
      <c r="A1616">
        <v>0</v>
      </c>
      <c r="B1616">
        <v>5.0861317664384842E-2</v>
      </c>
    </row>
    <row r="1617" spans="1:2" x14ac:dyDescent="0.25">
      <c r="A1617">
        <v>0</v>
      </c>
      <c r="B1617">
        <v>5.5630054324865341E-2</v>
      </c>
    </row>
    <row r="1618" spans="1:2" x14ac:dyDescent="0.25">
      <c r="A1618">
        <v>0</v>
      </c>
      <c r="B1618">
        <v>5.0866827368736267E-2</v>
      </c>
    </row>
    <row r="1619" spans="1:2" x14ac:dyDescent="0.25">
      <c r="A1619">
        <v>0</v>
      </c>
      <c r="B1619">
        <v>4.6805389225482941E-2</v>
      </c>
    </row>
    <row r="1620" spans="1:2" x14ac:dyDescent="0.25">
      <c r="A1620">
        <v>0</v>
      </c>
      <c r="B1620">
        <v>5.0865069031715393E-2</v>
      </c>
    </row>
    <row r="1621" spans="1:2" x14ac:dyDescent="0.25">
      <c r="A1621">
        <v>0</v>
      </c>
      <c r="B1621">
        <v>4.6096276491880417E-2</v>
      </c>
    </row>
    <row r="1622" spans="1:2" x14ac:dyDescent="0.25">
      <c r="A1622">
        <v>0</v>
      </c>
      <c r="B1622">
        <v>5.9209674596786499E-2</v>
      </c>
    </row>
    <row r="1623" spans="1:2" x14ac:dyDescent="0.25">
      <c r="A1623">
        <v>0</v>
      </c>
      <c r="B1623">
        <v>6.1103347688913345E-2</v>
      </c>
    </row>
    <row r="1624" spans="1:2" x14ac:dyDescent="0.25">
      <c r="A1624">
        <v>0</v>
      </c>
      <c r="B1624">
        <v>6.9930687546730042E-2</v>
      </c>
    </row>
    <row r="1625" spans="1:2" x14ac:dyDescent="0.25">
      <c r="A1625">
        <v>0</v>
      </c>
      <c r="B1625">
        <v>5.5630449205636978E-2</v>
      </c>
    </row>
    <row r="1626" spans="1:2" x14ac:dyDescent="0.25">
      <c r="A1626">
        <v>0</v>
      </c>
      <c r="B1626">
        <v>5.5395107716321945E-2</v>
      </c>
    </row>
    <row r="1627" spans="1:2" x14ac:dyDescent="0.25">
      <c r="A1627">
        <v>0</v>
      </c>
      <c r="B1627">
        <v>5.0861064344644547E-2</v>
      </c>
    </row>
    <row r="1628" spans="1:2" x14ac:dyDescent="0.25">
      <c r="A1628">
        <v>0</v>
      </c>
      <c r="B1628">
        <v>6.5166018903255463E-2</v>
      </c>
    </row>
    <row r="1629" spans="1:2" x14ac:dyDescent="0.25">
      <c r="A1629">
        <v>0</v>
      </c>
      <c r="B1629">
        <v>4.609675332903862E-2</v>
      </c>
    </row>
    <row r="1630" spans="1:2" x14ac:dyDescent="0.25">
      <c r="A1630">
        <v>0</v>
      </c>
      <c r="B1630">
        <v>6.0396913439035416E-2</v>
      </c>
    </row>
    <row r="1631" spans="1:2" x14ac:dyDescent="0.25">
      <c r="A1631">
        <v>0</v>
      </c>
      <c r="B1631">
        <v>5.1094543188810349E-2</v>
      </c>
    </row>
    <row r="1632" spans="1:2" x14ac:dyDescent="0.25">
      <c r="A1632">
        <v>0</v>
      </c>
      <c r="B1632">
        <v>6.5391689538955688E-2</v>
      </c>
    </row>
    <row r="1633" spans="1:2" x14ac:dyDescent="0.25">
      <c r="A1633">
        <v>0</v>
      </c>
      <c r="B1633">
        <v>5.5167883634567261E-2</v>
      </c>
    </row>
    <row r="1634" spans="1:2" x14ac:dyDescent="0.25">
      <c r="A1634">
        <v>0</v>
      </c>
      <c r="B1634">
        <v>5.0864487886428833E-2</v>
      </c>
    </row>
    <row r="1635" spans="1:2" x14ac:dyDescent="0.25">
      <c r="A1635">
        <v>0</v>
      </c>
      <c r="B1635">
        <v>5.5628586560487747E-2</v>
      </c>
    </row>
    <row r="1636" spans="1:2" x14ac:dyDescent="0.25">
      <c r="A1636">
        <v>0</v>
      </c>
      <c r="B1636">
        <v>5.5626727640628815E-2</v>
      </c>
    </row>
    <row r="1637" spans="1:2" x14ac:dyDescent="0.25">
      <c r="A1637">
        <v>0</v>
      </c>
      <c r="B1637">
        <v>5.0861332565546036E-2</v>
      </c>
    </row>
    <row r="1638" spans="1:2" x14ac:dyDescent="0.25">
      <c r="A1638">
        <v>0</v>
      </c>
      <c r="B1638">
        <v>4.609544575214386E-2</v>
      </c>
    </row>
    <row r="1639" spans="1:2" x14ac:dyDescent="0.25">
      <c r="A1639">
        <v>0</v>
      </c>
      <c r="B1639">
        <v>5.1092933863401413E-2</v>
      </c>
    </row>
    <row r="1640" spans="1:2" x14ac:dyDescent="0.25">
      <c r="A1640">
        <v>0</v>
      </c>
      <c r="B1640">
        <v>5.0865713506937027E-2</v>
      </c>
    </row>
    <row r="1641" spans="1:2" x14ac:dyDescent="0.25">
      <c r="A1641">
        <v>0</v>
      </c>
      <c r="B1641">
        <v>5.5629279464483261E-2</v>
      </c>
    </row>
    <row r="1642" spans="1:2" x14ac:dyDescent="0.25">
      <c r="A1642">
        <v>0</v>
      </c>
      <c r="B1642">
        <v>5.0629749894142151E-2</v>
      </c>
    </row>
    <row r="1643" spans="1:2" x14ac:dyDescent="0.25">
      <c r="A1643">
        <v>0</v>
      </c>
      <c r="B1643">
        <v>5.6093595921993256E-2</v>
      </c>
    </row>
    <row r="1644" spans="1:2" x14ac:dyDescent="0.25">
      <c r="A1644">
        <v>0</v>
      </c>
      <c r="B1644">
        <v>6.0164771974086761E-2</v>
      </c>
    </row>
    <row r="1645" spans="1:2" x14ac:dyDescent="0.25">
      <c r="A1645">
        <v>0</v>
      </c>
      <c r="B1645">
        <v>4.5863907784223557E-2</v>
      </c>
    </row>
    <row r="1646" spans="1:2" x14ac:dyDescent="0.25">
      <c r="A1646">
        <v>0</v>
      </c>
      <c r="B1646">
        <v>5.0862930715084076E-2</v>
      </c>
    </row>
    <row r="1647" spans="1:2" x14ac:dyDescent="0.25">
      <c r="A1647">
        <v>0</v>
      </c>
      <c r="B1647">
        <v>5.0861064344644547E-2</v>
      </c>
    </row>
    <row r="1648" spans="1:2" x14ac:dyDescent="0.25">
      <c r="A1648">
        <v>0</v>
      </c>
      <c r="B1648">
        <v>4.6094328165054321E-2</v>
      </c>
    </row>
    <row r="1649" spans="1:2" x14ac:dyDescent="0.25">
      <c r="A1649">
        <v>0</v>
      </c>
      <c r="B1649">
        <v>5.1096383482217789E-2</v>
      </c>
    </row>
    <row r="1650" spans="1:2" x14ac:dyDescent="0.25">
      <c r="A1650">
        <v>0</v>
      </c>
      <c r="B1650">
        <v>6.4927950501441956E-2</v>
      </c>
    </row>
    <row r="1651" spans="1:2" x14ac:dyDescent="0.25">
      <c r="A1651">
        <v>0</v>
      </c>
      <c r="B1651">
        <v>4.632919654250145E-2</v>
      </c>
    </row>
    <row r="1652" spans="1:2" x14ac:dyDescent="0.25">
      <c r="A1652">
        <v>0</v>
      </c>
      <c r="B1652">
        <v>5.06308414041996E-2</v>
      </c>
    </row>
    <row r="1653" spans="1:2" x14ac:dyDescent="0.25">
      <c r="A1653">
        <v>0</v>
      </c>
      <c r="B1653">
        <v>5.0865009427070618E-2</v>
      </c>
    </row>
    <row r="1654" spans="1:2" x14ac:dyDescent="0.25">
      <c r="A1654">
        <v>0</v>
      </c>
      <c r="B1654">
        <v>5.5860873311758041E-2</v>
      </c>
    </row>
    <row r="1655" spans="1:2" x14ac:dyDescent="0.25">
      <c r="A1655">
        <v>0</v>
      </c>
      <c r="B1655">
        <v>5.0861082971096039E-2</v>
      </c>
    </row>
    <row r="1656" spans="1:2" x14ac:dyDescent="0.25">
      <c r="A1656">
        <v>0</v>
      </c>
      <c r="B1656">
        <v>5.086098238825798E-2</v>
      </c>
    </row>
    <row r="1657" spans="1:2" x14ac:dyDescent="0.25">
      <c r="A1657">
        <v>0</v>
      </c>
      <c r="B1657">
        <v>5.0631582736968994E-2</v>
      </c>
    </row>
    <row r="1658" spans="1:2" x14ac:dyDescent="0.25">
      <c r="A1658">
        <v>0</v>
      </c>
      <c r="B1658">
        <v>4.6096418052911758E-2</v>
      </c>
    </row>
    <row r="1659" spans="1:2" x14ac:dyDescent="0.25">
      <c r="A1659">
        <v>0</v>
      </c>
      <c r="B1659">
        <v>5.0862770527601242E-2</v>
      </c>
    </row>
    <row r="1660" spans="1:2" x14ac:dyDescent="0.25">
      <c r="A1660">
        <v>0</v>
      </c>
      <c r="B1660">
        <v>5.0861343741416931E-2</v>
      </c>
    </row>
    <row r="1661" spans="1:2" x14ac:dyDescent="0.25">
      <c r="A1661">
        <v>0</v>
      </c>
      <c r="B1661">
        <v>4.6096678823232651E-2</v>
      </c>
    </row>
    <row r="1662" spans="1:2" x14ac:dyDescent="0.25">
      <c r="A1662">
        <v>0</v>
      </c>
      <c r="B1662">
        <v>4.6095028519630432E-2</v>
      </c>
    </row>
    <row r="1663" spans="1:2" x14ac:dyDescent="0.25">
      <c r="A1663">
        <v>0</v>
      </c>
      <c r="B1663">
        <v>5.0864722579717636E-2</v>
      </c>
    </row>
    <row r="1664" spans="1:2" x14ac:dyDescent="0.25">
      <c r="A1664">
        <v>0</v>
      </c>
      <c r="B1664">
        <v>6.491609662771225E-2</v>
      </c>
    </row>
    <row r="1665" spans="1:2" x14ac:dyDescent="0.25">
      <c r="A1665">
        <v>0</v>
      </c>
      <c r="B1665">
        <v>5.5872753262519836E-2</v>
      </c>
    </row>
    <row r="1666" spans="1:2" x14ac:dyDescent="0.25">
      <c r="A1666">
        <v>0</v>
      </c>
      <c r="B1666">
        <v>5.5383812636137009E-2</v>
      </c>
    </row>
    <row r="1667" spans="1:2" x14ac:dyDescent="0.25">
      <c r="A1667">
        <v>0</v>
      </c>
      <c r="B1667">
        <v>5.5871669203042984E-2</v>
      </c>
    </row>
    <row r="1668" spans="1:2" x14ac:dyDescent="0.25">
      <c r="A1668">
        <v>0</v>
      </c>
      <c r="B1668">
        <v>5.5384356528520584E-2</v>
      </c>
    </row>
    <row r="1669" spans="1:2" x14ac:dyDescent="0.25">
      <c r="A1669">
        <v>0</v>
      </c>
      <c r="B1669">
        <v>6.5403692424297333E-2</v>
      </c>
    </row>
    <row r="1670" spans="1:2" x14ac:dyDescent="0.25">
      <c r="A1670">
        <v>0</v>
      </c>
      <c r="B1670">
        <v>4.1329942643642426E-2</v>
      </c>
    </row>
    <row r="1671" spans="1:2" x14ac:dyDescent="0.25">
      <c r="A1671">
        <v>0</v>
      </c>
      <c r="B1671">
        <v>5.5635690689086914E-2</v>
      </c>
    </row>
    <row r="1672" spans="1:2" x14ac:dyDescent="0.25">
      <c r="A1672">
        <v>0</v>
      </c>
      <c r="B1672">
        <v>4.6094633638858795E-2</v>
      </c>
    </row>
    <row r="1673" spans="1:2" x14ac:dyDescent="0.25">
      <c r="A1673">
        <v>0</v>
      </c>
      <c r="B1673">
        <v>6.0392439365386963E-2</v>
      </c>
    </row>
    <row r="1674" spans="1:2" x14ac:dyDescent="0.25">
      <c r="A1674">
        <v>0</v>
      </c>
      <c r="B1674">
        <v>6.0150004923343658E-2</v>
      </c>
    </row>
    <row r="1675" spans="1:2" x14ac:dyDescent="0.25">
      <c r="A1675">
        <v>0</v>
      </c>
      <c r="B1675">
        <v>5.0863154232501984E-2</v>
      </c>
    </row>
    <row r="1676" spans="1:2" x14ac:dyDescent="0.25">
      <c r="A1676">
        <v>0</v>
      </c>
      <c r="B1676">
        <v>6.992870569229126E-2</v>
      </c>
    </row>
    <row r="1677" spans="1:2" x14ac:dyDescent="0.25">
      <c r="A1677">
        <v>0</v>
      </c>
      <c r="B1677">
        <v>5.5873263627290726E-2</v>
      </c>
    </row>
    <row r="1678" spans="1:2" x14ac:dyDescent="0.25">
      <c r="A1678">
        <v>0</v>
      </c>
      <c r="B1678">
        <v>5.0861932337284088E-2</v>
      </c>
    </row>
    <row r="1679" spans="1:2" x14ac:dyDescent="0.25">
      <c r="A1679">
        <v>0</v>
      </c>
      <c r="B1679">
        <v>6.5160565078258514E-2</v>
      </c>
    </row>
    <row r="1680" spans="1:2" x14ac:dyDescent="0.25">
      <c r="A1680">
        <v>0</v>
      </c>
      <c r="B1680">
        <v>5.5141631513834E-2</v>
      </c>
    </row>
    <row r="1681" spans="1:2" x14ac:dyDescent="0.25">
      <c r="A1681">
        <v>0</v>
      </c>
      <c r="B1681">
        <v>6.0881417244672775E-2</v>
      </c>
    </row>
    <row r="1682" spans="1:2" x14ac:dyDescent="0.25">
      <c r="A1682">
        <v>0</v>
      </c>
      <c r="B1682">
        <v>4.60965596139431E-2</v>
      </c>
    </row>
    <row r="1683" spans="1:2" x14ac:dyDescent="0.25">
      <c r="A1683">
        <v>0</v>
      </c>
      <c r="B1683">
        <v>5.0865530967712402E-2</v>
      </c>
    </row>
    <row r="1684" spans="1:2" x14ac:dyDescent="0.25">
      <c r="A1684">
        <v>0</v>
      </c>
      <c r="B1684">
        <v>6.5163843333721161E-2</v>
      </c>
    </row>
    <row r="1685" spans="1:2" x14ac:dyDescent="0.25">
      <c r="A1685">
        <v>0</v>
      </c>
      <c r="B1685">
        <v>4.6096805483102798E-2</v>
      </c>
    </row>
    <row r="1686" spans="1:2" x14ac:dyDescent="0.25">
      <c r="A1686">
        <v>0</v>
      </c>
      <c r="B1686">
        <v>5.4905686527490616E-2</v>
      </c>
    </row>
    <row r="1687" spans="1:2" x14ac:dyDescent="0.25">
      <c r="A1687">
        <v>0</v>
      </c>
      <c r="B1687">
        <v>5.6349370628595352E-2</v>
      </c>
    </row>
    <row r="1688" spans="1:2" x14ac:dyDescent="0.25">
      <c r="A1688">
        <v>0</v>
      </c>
      <c r="B1688">
        <v>4.6571746468544006E-2</v>
      </c>
    </row>
    <row r="1689" spans="1:2" x14ac:dyDescent="0.25">
      <c r="A1689">
        <v>0</v>
      </c>
      <c r="B1689">
        <v>5.1094964146614075E-2</v>
      </c>
    </row>
    <row r="1690" spans="1:2" x14ac:dyDescent="0.25">
      <c r="A1690">
        <v>0</v>
      </c>
      <c r="B1690">
        <v>5.5873360484838486E-2</v>
      </c>
    </row>
    <row r="1691" spans="1:2" x14ac:dyDescent="0.25">
      <c r="A1691">
        <v>0</v>
      </c>
      <c r="B1691">
        <v>5.9674777090549469E-2</v>
      </c>
    </row>
    <row r="1692" spans="1:2" x14ac:dyDescent="0.25">
      <c r="A1692">
        <v>0</v>
      </c>
      <c r="B1692">
        <v>6.0397543013095856E-2</v>
      </c>
    </row>
    <row r="1693" spans="1:2" x14ac:dyDescent="0.25">
      <c r="A1693">
        <v>0</v>
      </c>
      <c r="B1693">
        <v>6.1120036989450455E-2</v>
      </c>
    </row>
    <row r="1694" spans="1:2" x14ac:dyDescent="0.25">
      <c r="A1694">
        <v>0</v>
      </c>
      <c r="B1694">
        <v>6.4438320696353912E-2</v>
      </c>
    </row>
    <row r="1695" spans="1:2" x14ac:dyDescent="0.25">
      <c r="A1695">
        <v>0</v>
      </c>
      <c r="B1695">
        <v>6.588185578584671E-2</v>
      </c>
    </row>
    <row r="1696" spans="1:2" x14ac:dyDescent="0.25">
      <c r="A1696">
        <v>0</v>
      </c>
      <c r="B1696">
        <v>6.4439266920089722E-2</v>
      </c>
    </row>
    <row r="1697" spans="1:2" x14ac:dyDescent="0.25">
      <c r="A1697">
        <v>0</v>
      </c>
      <c r="B1697">
        <v>5.6349329650402069E-2</v>
      </c>
    </row>
    <row r="1698" spans="1:2" x14ac:dyDescent="0.25">
      <c r="A1698">
        <v>0</v>
      </c>
      <c r="B1698">
        <v>6.0393307358026505E-2</v>
      </c>
    </row>
    <row r="1699" spans="1:2" x14ac:dyDescent="0.25">
      <c r="A1699">
        <v>0</v>
      </c>
      <c r="B1699">
        <v>4.6096127480268478E-2</v>
      </c>
    </row>
    <row r="1700" spans="1:2" x14ac:dyDescent="0.25">
      <c r="A1700">
        <v>3.6038123071193695E-2</v>
      </c>
      <c r="B1700">
        <v>5.0863355398178101E-2</v>
      </c>
    </row>
    <row r="1701" spans="1:2" x14ac:dyDescent="0.25">
      <c r="A1701">
        <v>0.11676919460296631</v>
      </c>
      <c r="B1701">
        <v>4.1329942643642426E-2</v>
      </c>
    </row>
    <row r="1702" spans="1:2" x14ac:dyDescent="0.25">
      <c r="A1702">
        <v>0.14904804527759552</v>
      </c>
      <c r="B1702">
        <v>4.6097856014966965E-2</v>
      </c>
    </row>
    <row r="1703" spans="1:2" x14ac:dyDescent="0.25">
      <c r="A1703">
        <v>0.14310441911220551</v>
      </c>
      <c r="B1703">
        <v>5.9674199670553207E-2</v>
      </c>
    </row>
    <row r="1704" spans="1:2" x14ac:dyDescent="0.25">
      <c r="A1704">
        <v>0.1417127251625061</v>
      </c>
      <c r="B1704">
        <v>5.5627532303333282E-2</v>
      </c>
    </row>
    <row r="1705" spans="1:2" x14ac:dyDescent="0.25">
      <c r="A1705">
        <v>0.13902583718299866</v>
      </c>
      <c r="B1705">
        <v>5.1585283130407333E-2</v>
      </c>
    </row>
    <row r="1706" spans="1:2" x14ac:dyDescent="0.25">
      <c r="A1706">
        <v>0.12042974680662155</v>
      </c>
      <c r="B1706">
        <v>4.5374713838100433E-2</v>
      </c>
    </row>
    <row r="1707" spans="1:2" x14ac:dyDescent="0.25">
      <c r="A1707">
        <v>0.13191241025924683</v>
      </c>
      <c r="B1707">
        <v>5.1583345979452133E-2</v>
      </c>
    </row>
    <row r="1708" spans="1:2" x14ac:dyDescent="0.25">
      <c r="A1708">
        <v>0.13590900599956512</v>
      </c>
      <c r="B1708">
        <v>6.4439989626407623E-2</v>
      </c>
    </row>
    <row r="1709" spans="1:2" x14ac:dyDescent="0.25">
      <c r="A1709">
        <v>0.13561992347240448</v>
      </c>
      <c r="B1709">
        <v>5.4912719875574112E-2</v>
      </c>
    </row>
    <row r="1710" spans="1:2" x14ac:dyDescent="0.25">
      <c r="A1710">
        <v>0.12639132142066956</v>
      </c>
      <c r="B1710">
        <v>6.1834666877985001E-2</v>
      </c>
    </row>
    <row r="1711" spans="1:2" x14ac:dyDescent="0.25">
      <c r="A1711">
        <v>0.12944617867469788</v>
      </c>
      <c r="B1711">
        <v>6.4439490437507629E-2</v>
      </c>
    </row>
    <row r="1712" spans="1:2" x14ac:dyDescent="0.25">
      <c r="A1712">
        <v>0.12329402565956116</v>
      </c>
      <c r="B1712">
        <v>6.1111845076084137E-2</v>
      </c>
    </row>
    <row r="1713" spans="1:2" x14ac:dyDescent="0.25">
      <c r="A1713">
        <v>0.12046460062265396</v>
      </c>
      <c r="B1713">
        <v>5.0386272370815277E-2</v>
      </c>
    </row>
    <row r="1714" spans="1:2" x14ac:dyDescent="0.25">
      <c r="A1714">
        <v>0.13191121816635132</v>
      </c>
      <c r="B1714">
        <v>5.0139769911766052E-2</v>
      </c>
    </row>
    <row r="1715" spans="1:2" x14ac:dyDescent="0.25">
      <c r="A1715">
        <v>0.16590557992458344</v>
      </c>
      <c r="B1715">
        <v>5.1588062196969986E-2</v>
      </c>
    </row>
    <row r="1716" spans="1:2" x14ac:dyDescent="0.25">
      <c r="A1716">
        <v>0.16728672385215759</v>
      </c>
      <c r="B1716">
        <v>6.4438775181770325E-2</v>
      </c>
    </row>
    <row r="1717" spans="1:2" x14ac:dyDescent="0.25">
      <c r="A1717">
        <v>0.14639195799827576</v>
      </c>
      <c r="B1717">
        <v>4.6817027032375336E-2</v>
      </c>
    </row>
    <row r="1718" spans="1:2" x14ac:dyDescent="0.25">
      <c r="A1718">
        <v>0.14346128702163696</v>
      </c>
      <c r="B1718">
        <v>5.0139475613832474E-2</v>
      </c>
    </row>
    <row r="1719" spans="1:2" x14ac:dyDescent="0.25">
      <c r="A1719">
        <v>0.10097040981054306</v>
      </c>
      <c r="B1719">
        <v>4.7293834388256073E-2</v>
      </c>
    </row>
    <row r="1720" spans="1:2" x14ac:dyDescent="0.25">
      <c r="A1720">
        <v>4.3280176818370819E-2</v>
      </c>
      <c r="B1720">
        <v>5.0142537802457809E-2</v>
      </c>
    </row>
    <row r="1721" spans="1:2" x14ac:dyDescent="0.25">
      <c r="A1721">
        <v>4.0231239050626755E-2</v>
      </c>
      <c r="B1721">
        <v>5.6827660650014877E-2</v>
      </c>
    </row>
    <row r="1722" spans="1:2" x14ac:dyDescent="0.25">
      <c r="A1722">
        <v>3.8268405944108963E-2</v>
      </c>
      <c r="B1722">
        <v>5.4430611431598663E-2</v>
      </c>
    </row>
    <row r="1723" spans="1:2" x14ac:dyDescent="0.25">
      <c r="A1723">
        <v>4.5651048421859741E-2</v>
      </c>
      <c r="B1723">
        <v>5.2061855792999268E-2</v>
      </c>
    </row>
    <row r="1724" spans="1:2" x14ac:dyDescent="0.25">
      <c r="A1724">
        <v>5.1171410828828812E-2</v>
      </c>
      <c r="B1724">
        <v>4.6099856495857239E-2</v>
      </c>
    </row>
    <row r="1725" spans="1:2" x14ac:dyDescent="0.25">
      <c r="A1725">
        <v>4.1331585496664047E-2</v>
      </c>
      <c r="B1725">
        <v>4.9662753939628601E-2</v>
      </c>
    </row>
    <row r="1726" spans="1:2" x14ac:dyDescent="0.25">
      <c r="A1726">
        <v>4.5993201434612274E-2</v>
      </c>
      <c r="B1726">
        <v>5.6826114654541016E-2</v>
      </c>
    </row>
    <row r="1727" spans="1:2" x14ac:dyDescent="0.25">
      <c r="A1727">
        <v>4.619322344660759E-2</v>
      </c>
      <c r="B1727">
        <v>4.6096865087747574E-2</v>
      </c>
    </row>
    <row r="1728" spans="1:2" x14ac:dyDescent="0.25">
      <c r="A1728">
        <v>4.9305140972137451E-2</v>
      </c>
      <c r="B1728">
        <v>4.6571437269449234E-2</v>
      </c>
    </row>
    <row r="1729" spans="1:2" x14ac:dyDescent="0.25">
      <c r="A1729">
        <v>5.162399634718895E-2</v>
      </c>
      <c r="B1729">
        <v>5.0858959555625916E-2</v>
      </c>
    </row>
    <row r="1730" spans="1:2" x14ac:dyDescent="0.25">
      <c r="A1730">
        <v>4.3292183429002762E-2</v>
      </c>
      <c r="B1730">
        <v>4.8714347183704376E-2</v>
      </c>
    </row>
    <row r="1731" spans="1:2" x14ac:dyDescent="0.25">
      <c r="A1731">
        <v>3.7966527044773102E-2</v>
      </c>
      <c r="B1731">
        <v>6.9924958050251007E-2</v>
      </c>
    </row>
    <row r="1732" spans="1:2" x14ac:dyDescent="0.25">
      <c r="A1732">
        <v>4.2095791548490524E-2</v>
      </c>
      <c r="B1732">
        <v>5.5627468973398209E-2</v>
      </c>
    </row>
    <row r="1733" spans="1:2" x14ac:dyDescent="0.25">
      <c r="A1733">
        <v>4.3306022882461548E-2</v>
      </c>
      <c r="B1733">
        <v>5.7777468115091324E-2</v>
      </c>
    </row>
    <row r="1734" spans="1:2" x14ac:dyDescent="0.25">
      <c r="A1734">
        <v>8.5674975707661361E-5</v>
      </c>
      <c r="B1734">
        <v>5.5629052221775055E-2</v>
      </c>
    </row>
    <row r="1735" spans="1:2" x14ac:dyDescent="0.25">
      <c r="A1735">
        <v>0</v>
      </c>
      <c r="B1735">
        <v>5.8243278414011002E-2</v>
      </c>
    </row>
    <row r="1736" spans="1:2" x14ac:dyDescent="0.25">
      <c r="A1736">
        <v>0</v>
      </c>
      <c r="B1736">
        <v>7.2543114423751831E-2</v>
      </c>
    </row>
    <row r="1737" spans="1:2" x14ac:dyDescent="0.25">
      <c r="A1737">
        <v>0</v>
      </c>
      <c r="B1737">
        <v>6.9935888051986694E-2</v>
      </c>
    </row>
    <row r="1738" spans="1:2" x14ac:dyDescent="0.25">
      <c r="A1738">
        <v>0</v>
      </c>
      <c r="B1738">
        <v>6.2548816204071045E-2</v>
      </c>
    </row>
    <row r="1739" spans="1:2" x14ac:dyDescent="0.25">
      <c r="A1739">
        <v>0</v>
      </c>
      <c r="B1739">
        <v>5.0862714648246765E-2</v>
      </c>
    </row>
    <row r="1740" spans="1:2" x14ac:dyDescent="0.25">
      <c r="A1740">
        <v>0</v>
      </c>
      <c r="B1740">
        <v>6.039249524474144E-2</v>
      </c>
    </row>
    <row r="1741" spans="1:2" x14ac:dyDescent="0.25">
      <c r="A1741">
        <v>0</v>
      </c>
      <c r="B1741">
        <v>5.8240197598934174E-2</v>
      </c>
    </row>
    <row r="1742" spans="1:2" x14ac:dyDescent="0.25">
      <c r="A1742">
        <v>0</v>
      </c>
      <c r="B1742">
        <v>5.5166337639093399E-2</v>
      </c>
    </row>
    <row r="1743" spans="1:2" x14ac:dyDescent="0.25">
      <c r="A1743">
        <v>0</v>
      </c>
      <c r="B1743">
        <v>5.8241222053766251E-2</v>
      </c>
    </row>
    <row r="1744" spans="1:2" x14ac:dyDescent="0.25">
      <c r="A1744">
        <v>0</v>
      </c>
      <c r="B1744">
        <v>6.03950135409832E-2</v>
      </c>
    </row>
    <row r="1745" spans="1:2" x14ac:dyDescent="0.25">
      <c r="A1745">
        <v>0</v>
      </c>
      <c r="B1745">
        <v>6.0395639389753342E-2</v>
      </c>
    </row>
    <row r="1746" spans="1:2" x14ac:dyDescent="0.25">
      <c r="A1746">
        <v>0</v>
      </c>
      <c r="B1746">
        <v>5.7777911424636841E-2</v>
      </c>
    </row>
    <row r="1747" spans="1:2" x14ac:dyDescent="0.25">
      <c r="A1747">
        <v>0</v>
      </c>
      <c r="B1747">
        <v>5.3476911038160324E-2</v>
      </c>
    </row>
    <row r="1748" spans="1:2" x14ac:dyDescent="0.25">
      <c r="A1748">
        <v>0</v>
      </c>
      <c r="B1748">
        <v>5.0862040370702744E-2</v>
      </c>
    </row>
    <row r="1749" spans="1:2" x14ac:dyDescent="0.25">
      <c r="A1749">
        <v>0</v>
      </c>
      <c r="B1749">
        <v>5.778208002448082E-2</v>
      </c>
    </row>
    <row r="1750" spans="1:2" x14ac:dyDescent="0.25">
      <c r="A1750">
        <v>0</v>
      </c>
      <c r="B1750">
        <v>6.3010320067405701E-2</v>
      </c>
    </row>
    <row r="1751" spans="1:2" x14ac:dyDescent="0.25">
      <c r="A1751">
        <v>0</v>
      </c>
      <c r="B1751">
        <v>5.7778477668762207E-2</v>
      </c>
    </row>
    <row r="1752" spans="1:2" x14ac:dyDescent="0.25">
      <c r="A1752">
        <v>0</v>
      </c>
      <c r="B1752">
        <v>5.347418412566185E-2</v>
      </c>
    </row>
    <row r="1753" spans="1:2" x14ac:dyDescent="0.25">
      <c r="A1753">
        <v>0</v>
      </c>
      <c r="B1753">
        <v>5.7778723537921906E-2</v>
      </c>
    </row>
    <row r="1754" spans="1:2" x14ac:dyDescent="0.25">
      <c r="A1754">
        <v>0</v>
      </c>
      <c r="B1754">
        <v>5.0863113254308701E-2</v>
      </c>
    </row>
    <row r="1755" spans="1:2" x14ac:dyDescent="0.25">
      <c r="A1755">
        <v>0</v>
      </c>
      <c r="B1755">
        <v>4.3946422636508942E-2</v>
      </c>
    </row>
    <row r="1756" spans="1:2" x14ac:dyDescent="0.25">
      <c r="A1756">
        <v>0</v>
      </c>
      <c r="B1756">
        <v>6.5167486667633057E-2</v>
      </c>
    </row>
    <row r="1757" spans="1:2" x14ac:dyDescent="0.25">
      <c r="A1757">
        <v>0</v>
      </c>
      <c r="B1757">
        <v>5.3489882498979568E-2</v>
      </c>
    </row>
    <row r="1758" spans="1:2" x14ac:dyDescent="0.25">
      <c r="A1758">
        <v>0</v>
      </c>
      <c r="B1758">
        <v>5.7764511555433273E-2</v>
      </c>
    </row>
    <row r="1759" spans="1:2" x14ac:dyDescent="0.25">
      <c r="A1759">
        <v>0</v>
      </c>
      <c r="B1759">
        <v>4.60975281894207E-2</v>
      </c>
    </row>
    <row r="1760" spans="1:2" x14ac:dyDescent="0.25">
      <c r="A1760">
        <v>0</v>
      </c>
      <c r="B1760">
        <v>6.0871262103319168E-2</v>
      </c>
    </row>
    <row r="1761" spans="1:2" x14ac:dyDescent="0.25">
      <c r="A1761">
        <v>0</v>
      </c>
      <c r="B1761">
        <v>6.3021451234817505E-2</v>
      </c>
    </row>
    <row r="1762" spans="1:2" x14ac:dyDescent="0.25">
      <c r="A1762">
        <v>0</v>
      </c>
      <c r="B1762">
        <v>5.5624563246965408E-2</v>
      </c>
    </row>
    <row r="1763" spans="1:2" x14ac:dyDescent="0.25">
      <c r="A1763">
        <v>0</v>
      </c>
      <c r="B1763">
        <v>4.3468456715345383E-2</v>
      </c>
    </row>
    <row r="1764" spans="1:2" x14ac:dyDescent="0.25">
      <c r="A1764">
        <v>0</v>
      </c>
      <c r="B1764">
        <v>5.0860736519098282E-2</v>
      </c>
    </row>
    <row r="1765" spans="1:2" x14ac:dyDescent="0.25">
      <c r="A1765">
        <v>0</v>
      </c>
      <c r="B1765">
        <v>5.3491324186325073E-2</v>
      </c>
    </row>
    <row r="1766" spans="1:2" x14ac:dyDescent="0.25">
      <c r="A1766">
        <v>0</v>
      </c>
      <c r="B1766">
        <v>4.6097055077552795E-2</v>
      </c>
    </row>
    <row r="1767" spans="1:2" x14ac:dyDescent="0.25">
      <c r="A1767">
        <v>0</v>
      </c>
      <c r="B1767">
        <v>6.0393247753381729E-2</v>
      </c>
    </row>
    <row r="1768" spans="1:2" x14ac:dyDescent="0.25">
      <c r="A1768">
        <v>0</v>
      </c>
      <c r="B1768">
        <v>6.2532335519790649E-2</v>
      </c>
    </row>
    <row r="1769" spans="1:2" x14ac:dyDescent="0.25">
      <c r="A1769">
        <v>0</v>
      </c>
      <c r="B1769">
        <v>6.0394708067178726E-2</v>
      </c>
    </row>
    <row r="1770" spans="1:2" x14ac:dyDescent="0.25">
      <c r="A1770">
        <v>0</v>
      </c>
      <c r="B1770">
        <v>4.8723176121711731E-2</v>
      </c>
    </row>
    <row r="1771" spans="1:2" x14ac:dyDescent="0.25">
      <c r="A1771">
        <v>0</v>
      </c>
      <c r="B1771">
        <v>5.3002435714006424E-2</v>
      </c>
    </row>
    <row r="1772" spans="1:2" x14ac:dyDescent="0.25">
      <c r="A1772">
        <v>0</v>
      </c>
      <c r="B1772">
        <v>6.5161637961864471E-2</v>
      </c>
    </row>
    <row r="1773" spans="1:2" x14ac:dyDescent="0.25">
      <c r="A1773">
        <v>0</v>
      </c>
      <c r="B1773">
        <v>5.0861198455095291E-2</v>
      </c>
    </row>
    <row r="1774" spans="1:2" x14ac:dyDescent="0.25">
      <c r="A1774">
        <v>0</v>
      </c>
      <c r="B1774">
        <v>5.825752392411232E-2</v>
      </c>
    </row>
    <row r="1775" spans="1:2" x14ac:dyDescent="0.25">
      <c r="A1775">
        <v>0</v>
      </c>
      <c r="B1775">
        <v>6.0396336019039154E-2</v>
      </c>
    </row>
    <row r="1776" spans="1:2" x14ac:dyDescent="0.25">
      <c r="A1776">
        <v>8.6790770292282104E-2</v>
      </c>
      <c r="B1776">
        <v>5.5628340691328049E-2</v>
      </c>
    </row>
    <row r="1777" spans="1:2" x14ac:dyDescent="0.25">
      <c r="A1777">
        <v>0.10642028599977493</v>
      </c>
      <c r="B1777">
        <v>4.609689861536026E-2</v>
      </c>
    </row>
    <row r="1778" spans="1:2" x14ac:dyDescent="0.25">
      <c r="A1778">
        <v>9.1143347322940826E-2</v>
      </c>
      <c r="B1778">
        <v>4.6092193573713303E-2</v>
      </c>
    </row>
    <row r="1779" spans="1:2" x14ac:dyDescent="0.25">
      <c r="A1779">
        <v>8.6406081914901733E-2</v>
      </c>
      <c r="B1779">
        <v>4.7756832093000412E-2</v>
      </c>
    </row>
    <row r="1780" spans="1:2" x14ac:dyDescent="0.25">
      <c r="A1780">
        <v>9.669233113527298E-2</v>
      </c>
      <c r="B1780">
        <v>6.3975699245929718E-2</v>
      </c>
    </row>
    <row r="1781" spans="1:2" x14ac:dyDescent="0.25">
      <c r="A1781">
        <v>8.7141402065753937E-2</v>
      </c>
      <c r="B1781">
        <v>4.6094194054603577E-2</v>
      </c>
    </row>
    <row r="1782" spans="1:2" x14ac:dyDescent="0.25">
      <c r="A1782">
        <v>8.372003585100174E-2</v>
      </c>
      <c r="B1782">
        <v>5.2046895027160645E-2</v>
      </c>
    </row>
    <row r="1783" spans="1:2" x14ac:dyDescent="0.25">
      <c r="A1783">
        <v>8.1635572016239166E-2</v>
      </c>
      <c r="B1783">
        <v>5.4441705346107483E-2</v>
      </c>
    </row>
    <row r="1784" spans="1:2" x14ac:dyDescent="0.25">
      <c r="A1784">
        <v>8.0458849668502808E-2</v>
      </c>
      <c r="B1784">
        <v>5.0863854587078094E-2</v>
      </c>
    </row>
    <row r="1785" spans="1:2" x14ac:dyDescent="0.25">
      <c r="A1785">
        <v>8.0995038151741028E-2</v>
      </c>
      <c r="B1785">
        <v>4.7280017286539078E-2</v>
      </c>
    </row>
    <row r="1786" spans="1:2" x14ac:dyDescent="0.25">
      <c r="A1786">
        <v>8.0816604197025299E-2</v>
      </c>
      <c r="B1786">
        <v>5.0861109048128128E-2</v>
      </c>
    </row>
    <row r="1787" spans="1:2" x14ac:dyDescent="0.25">
      <c r="A1787">
        <v>8.962395042181015E-2</v>
      </c>
      <c r="B1787">
        <v>4.9675986170768738E-2</v>
      </c>
    </row>
    <row r="1788" spans="1:2" x14ac:dyDescent="0.25">
      <c r="A1788">
        <v>9.0343765914440155E-2</v>
      </c>
      <c r="B1788">
        <v>4.6096529811620712E-2</v>
      </c>
    </row>
    <row r="1789" spans="1:2" x14ac:dyDescent="0.25">
      <c r="A1789">
        <v>8.5451260209083557E-2</v>
      </c>
      <c r="B1789">
        <v>4.8957705497741699E-2</v>
      </c>
    </row>
    <row r="1790" spans="1:2" x14ac:dyDescent="0.25">
      <c r="A1790">
        <v>8.3393432199954987E-2</v>
      </c>
      <c r="B1790">
        <v>5.681484192609787E-2</v>
      </c>
    </row>
    <row r="1791" spans="1:2" x14ac:dyDescent="0.25">
      <c r="A1791">
        <v>8.5624523460865021E-2</v>
      </c>
      <c r="B1791">
        <v>3.5382863134145737E-2</v>
      </c>
    </row>
    <row r="1792" spans="1:2" x14ac:dyDescent="0.25">
      <c r="A1792">
        <v>8.6740277707576752E-2</v>
      </c>
      <c r="B1792">
        <v>6.1583492904901505E-2</v>
      </c>
    </row>
    <row r="1793" spans="1:2" x14ac:dyDescent="0.25">
      <c r="A1793">
        <v>8.1652112305164337E-2</v>
      </c>
      <c r="B1793">
        <v>5.5395111441612244E-2</v>
      </c>
    </row>
    <row r="1794" spans="1:2" x14ac:dyDescent="0.25">
      <c r="A1794">
        <v>7.6566144824028015E-2</v>
      </c>
      <c r="B1794">
        <v>5.0863541662693024E-2</v>
      </c>
    </row>
    <row r="1795" spans="1:2" x14ac:dyDescent="0.25">
      <c r="A1795">
        <v>8.3360455930233002E-2</v>
      </c>
      <c r="B1795">
        <v>5.5627219378948212E-2</v>
      </c>
    </row>
    <row r="1796" spans="1:2" x14ac:dyDescent="0.25">
      <c r="A1796">
        <v>8.6020760238170624E-2</v>
      </c>
      <c r="B1796">
        <v>6.0396093875169754E-2</v>
      </c>
    </row>
    <row r="1797" spans="1:2" x14ac:dyDescent="0.25">
      <c r="A1797">
        <v>8.8473409414291382E-2</v>
      </c>
      <c r="B1797">
        <v>6.5873898565769196E-2</v>
      </c>
    </row>
    <row r="1798" spans="1:2" x14ac:dyDescent="0.25">
      <c r="A1798">
        <v>8.3668090403079987E-2</v>
      </c>
      <c r="B1798">
        <v>5.0860550254583359E-2</v>
      </c>
    </row>
    <row r="1799" spans="1:2" x14ac:dyDescent="0.25">
      <c r="A1799">
        <v>7.8683257102966309E-2</v>
      </c>
      <c r="B1799">
        <v>5.4918199777603149E-2</v>
      </c>
    </row>
    <row r="1800" spans="1:2" x14ac:dyDescent="0.25">
      <c r="A1800">
        <v>7.8230418264865875E-2</v>
      </c>
      <c r="B1800">
        <v>5.0864610821008682E-2</v>
      </c>
    </row>
    <row r="1801" spans="1:2" x14ac:dyDescent="0.25">
      <c r="A1801">
        <v>8.5715629160404205E-2</v>
      </c>
      <c r="B1801">
        <v>6.0396276414394379E-2</v>
      </c>
    </row>
    <row r="1802" spans="1:2" x14ac:dyDescent="0.25">
      <c r="A1802">
        <v>7.6912872493267059E-2</v>
      </c>
      <c r="B1802">
        <v>6.5162673592567444E-2</v>
      </c>
    </row>
    <row r="1803" spans="1:2" x14ac:dyDescent="0.25">
      <c r="A1803">
        <v>8.2739323377609253E-2</v>
      </c>
      <c r="B1803">
        <v>4.203806072473526E-2</v>
      </c>
    </row>
    <row r="1804" spans="1:2" x14ac:dyDescent="0.25">
      <c r="A1804">
        <v>9.082300215959549E-2</v>
      </c>
      <c r="B1804">
        <v>5.5628467351198196E-2</v>
      </c>
    </row>
    <row r="1805" spans="1:2" x14ac:dyDescent="0.25">
      <c r="A1805">
        <v>8.1706322729587555E-2</v>
      </c>
      <c r="B1805">
        <v>5.0152793526649475E-2</v>
      </c>
    </row>
    <row r="1806" spans="1:2" x14ac:dyDescent="0.25">
      <c r="A1806">
        <v>8.3306469023227692E-2</v>
      </c>
      <c r="B1806">
        <v>5.0862886011600494E-2</v>
      </c>
    </row>
    <row r="1807" spans="1:2" x14ac:dyDescent="0.25">
      <c r="A1807">
        <v>8.4398463368415833E-2</v>
      </c>
      <c r="B1807">
        <v>4.1329942643642426E-2</v>
      </c>
    </row>
    <row r="1808" spans="1:2" x14ac:dyDescent="0.25">
      <c r="A1808">
        <v>8.0881059169769287E-2</v>
      </c>
      <c r="B1808">
        <v>5.0387967377901077E-2</v>
      </c>
    </row>
    <row r="1809" spans="1:2" x14ac:dyDescent="0.25">
      <c r="A1809">
        <v>7.262711226940155E-2</v>
      </c>
      <c r="B1809">
        <v>5.9194121509790421E-2</v>
      </c>
    </row>
    <row r="1810" spans="1:2" x14ac:dyDescent="0.25">
      <c r="A1810">
        <v>8.0277808010578156E-2</v>
      </c>
      <c r="B1810">
        <v>4.4432532042264938E-2</v>
      </c>
    </row>
    <row r="1811" spans="1:2" x14ac:dyDescent="0.25">
      <c r="A1811">
        <v>1.807004027068615E-2</v>
      </c>
      <c r="B1811">
        <v>5.0864864140748978E-2</v>
      </c>
    </row>
    <row r="1812" spans="1:2" x14ac:dyDescent="0.25">
      <c r="A1812">
        <v>0</v>
      </c>
      <c r="B1812">
        <v>5.0861146301031113E-2</v>
      </c>
    </row>
    <row r="1813" spans="1:2" x14ac:dyDescent="0.25">
      <c r="A1813">
        <v>0</v>
      </c>
      <c r="B1813">
        <v>4.6327564865350723E-2</v>
      </c>
    </row>
    <row r="1814" spans="1:2" x14ac:dyDescent="0.25">
      <c r="A1814">
        <v>0</v>
      </c>
      <c r="B1814">
        <v>5.9927575290203094E-2</v>
      </c>
    </row>
    <row r="1815" spans="1:2" x14ac:dyDescent="0.25">
      <c r="A1815">
        <v>0</v>
      </c>
      <c r="B1815">
        <v>5.1094286143779755E-2</v>
      </c>
    </row>
    <row r="1816" spans="1:2" x14ac:dyDescent="0.25">
      <c r="A1816">
        <v>0</v>
      </c>
      <c r="B1816">
        <v>7.9472526907920837E-2</v>
      </c>
    </row>
    <row r="1817" spans="1:2" x14ac:dyDescent="0.25">
      <c r="A1817">
        <v>0</v>
      </c>
      <c r="B1817">
        <v>6.9927811622619629E-2</v>
      </c>
    </row>
    <row r="1818" spans="1:2" x14ac:dyDescent="0.25">
      <c r="A1818">
        <v>0</v>
      </c>
      <c r="B1818">
        <v>7.4463143944740295E-2</v>
      </c>
    </row>
    <row r="1819" spans="1:2" x14ac:dyDescent="0.25">
      <c r="A1819">
        <v>0</v>
      </c>
      <c r="B1819">
        <v>6.03957399725914E-2</v>
      </c>
    </row>
    <row r="1820" spans="1:2" x14ac:dyDescent="0.25">
      <c r="A1820">
        <v>0</v>
      </c>
      <c r="B1820">
        <v>5.562974140048027E-2</v>
      </c>
    </row>
    <row r="1821" spans="1:2" x14ac:dyDescent="0.25">
      <c r="A1821">
        <v>0</v>
      </c>
      <c r="B1821">
        <v>5.0863195210695267E-2</v>
      </c>
    </row>
    <row r="1822" spans="1:2" x14ac:dyDescent="0.25">
      <c r="A1822">
        <v>0</v>
      </c>
      <c r="B1822">
        <v>5.0863936543464661E-2</v>
      </c>
    </row>
    <row r="1823" spans="1:2" x14ac:dyDescent="0.25">
      <c r="A1823">
        <v>0</v>
      </c>
      <c r="B1823">
        <v>5.1096361130475998E-2</v>
      </c>
    </row>
    <row r="1824" spans="1:2" x14ac:dyDescent="0.25">
      <c r="A1824">
        <v>0</v>
      </c>
      <c r="B1824">
        <v>7.9239942133426666E-2</v>
      </c>
    </row>
    <row r="1825" spans="1:2" x14ac:dyDescent="0.25">
      <c r="A1825">
        <v>0</v>
      </c>
      <c r="B1825">
        <v>0.19386273622512817</v>
      </c>
    </row>
    <row r="1826" spans="1:2" x14ac:dyDescent="0.25">
      <c r="A1826">
        <v>0</v>
      </c>
      <c r="B1826">
        <v>4.6099226921796799E-2</v>
      </c>
    </row>
    <row r="1827" spans="1:2" x14ac:dyDescent="0.25">
      <c r="A1827">
        <v>0</v>
      </c>
      <c r="B1827">
        <v>4.6097453683614731E-2</v>
      </c>
    </row>
    <row r="1828" spans="1:2" x14ac:dyDescent="0.25">
      <c r="A1828">
        <v>0</v>
      </c>
      <c r="B1828">
        <v>5.0861936062574387E-2</v>
      </c>
    </row>
    <row r="1829" spans="1:2" x14ac:dyDescent="0.25">
      <c r="A1829">
        <v>0</v>
      </c>
      <c r="B1829">
        <v>5.7297687977552414E-2</v>
      </c>
    </row>
    <row r="1830" spans="1:2" x14ac:dyDescent="0.25">
      <c r="A1830">
        <v>0</v>
      </c>
      <c r="B1830">
        <v>4.9198862165212631E-2</v>
      </c>
    </row>
    <row r="1831" spans="1:2" x14ac:dyDescent="0.25">
      <c r="A1831">
        <v>0</v>
      </c>
      <c r="B1831">
        <v>4.1329942643642426E-2</v>
      </c>
    </row>
    <row r="1832" spans="1:2" x14ac:dyDescent="0.25">
      <c r="A1832">
        <v>0</v>
      </c>
      <c r="B1832">
        <v>9.7662696838378906</v>
      </c>
    </row>
    <row r="1833" spans="1:2" x14ac:dyDescent="0.25">
      <c r="A1833">
        <v>0</v>
      </c>
      <c r="B1833">
        <v>36.740932464599609</v>
      </c>
    </row>
    <row r="1834" spans="1:2" x14ac:dyDescent="0.25">
      <c r="A1834">
        <v>0</v>
      </c>
      <c r="B1834">
        <v>59.489971160888672</v>
      </c>
    </row>
    <row r="1835" spans="1:2" x14ac:dyDescent="0.25">
      <c r="A1835">
        <v>0</v>
      </c>
      <c r="B1835">
        <v>98.846511840820313</v>
      </c>
    </row>
    <row r="1836" spans="1:2" x14ac:dyDescent="0.25">
      <c r="A1836">
        <v>0</v>
      </c>
      <c r="B1836">
        <v>130.1905517578125</v>
      </c>
    </row>
    <row r="1837" spans="1:2" x14ac:dyDescent="0.25">
      <c r="A1837">
        <v>19.909721374511719</v>
      </c>
      <c r="B1837">
        <v>153.1793212890625</v>
      </c>
    </row>
    <row r="1838" spans="1:2" x14ac:dyDescent="0.25">
      <c r="A1838">
        <v>51.084934234619141</v>
      </c>
      <c r="B1838">
        <v>163.23818969726562</v>
      </c>
    </row>
    <row r="1839" spans="1:2" x14ac:dyDescent="0.25">
      <c r="A1839">
        <v>72.313278198242188</v>
      </c>
      <c r="B1839">
        <v>167.75114440917969</v>
      </c>
    </row>
    <row r="1840" spans="1:2" x14ac:dyDescent="0.25">
      <c r="A1840">
        <v>123.59000396728516</v>
      </c>
      <c r="B1840">
        <v>152.14608764648437</v>
      </c>
    </row>
    <row r="1841" spans="1:2" x14ac:dyDescent="0.25">
      <c r="A1841">
        <v>145.729736328125</v>
      </c>
      <c r="B1841">
        <v>155.88359069824219</v>
      </c>
    </row>
    <row r="1842" spans="1:2" x14ac:dyDescent="0.25">
      <c r="A1842">
        <v>168.24549865722656</v>
      </c>
      <c r="B1842">
        <v>170.06704711914062</v>
      </c>
    </row>
    <row r="1843" spans="1:2" x14ac:dyDescent="0.25">
      <c r="A1843">
        <v>194.18411254882812</v>
      </c>
      <c r="B1843">
        <v>197.7161865234375</v>
      </c>
    </row>
    <row r="1844" spans="1:2" x14ac:dyDescent="0.25">
      <c r="A1844">
        <v>216.662353515625</v>
      </c>
      <c r="B1844">
        <v>243.22004699707031</v>
      </c>
    </row>
    <row r="1845" spans="1:2" x14ac:dyDescent="0.25">
      <c r="A1845">
        <v>188.91542053222656</v>
      </c>
      <c r="B1845">
        <v>274.67446899414062</v>
      </c>
    </row>
    <row r="1846" spans="1:2" x14ac:dyDescent="0.25">
      <c r="A1846">
        <v>189.96670532226562</v>
      </c>
      <c r="B1846">
        <v>271.14877319335937</v>
      </c>
    </row>
    <row r="1847" spans="1:2" x14ac:dyDescent="0.25">
      <c r="A1847">
        <v>205.63938903808594</v>
      </c>
      <c r="B1847">
        <v>270.23709106445312</v>
      </c>
    </row>
    <row r="1848" spans="1:2" x14ac:dyDescent="0.25">
      <c r="A1848">
        <v>241.40983581542969</v>
      </c>
      <c r="B1848">
        <v>270.22079467773437</v>
      </c>
    </row>
    <row r="1849" spans="1:2" x14ac:dyDescent="0.25">
      <c r="A1849">
        <v>296.94778442382812</v>
      </c>
      <c r="B1849">
        <v>269.46673583984375</v>
      </c>
    </row>
    <row r="1850" spans="1:2" x14ac:dyDescent="0.25">
      <c r="A1850">
        <v>322.18768310546875</v>
      </c>
      <c r="B1850">
        <v>270.16921997070312</v>
      </c>
    </row>
    <row r="1851" spans="1:2" x14ac:dyDescent="0.25">
      <c r="A1851">
        <v>317.20489501953125</v>
      </c>
      <c r="B1851">
        <v>270.23516845703125</v>
      </c>
    </row>
    <row r="1852" spans="1:2" x14ac:dyDescent="0.25">
      <c r="A1852">
        <v>314.11181640625</v>
      </c>
      <c r="B1852">
        <v>269.59353637695312</v>
      </c>
    </row>
    <row r="1853" spans="1:2" x14ac:dyDescent="0.25">
      <c r="A1853">
        <v>312.05252075195312</v>
      </c>
      <c r="B1853">
        <v>270.1072998046875</v>
      </c>
    </row>
    <row r="1854" spans="1:2" x14ac:dyDescent="0.25">
      <c r="A1854">
        <v>308.23577880859375</v>
      </c>
      <c r="B1854">
        <v>271.13290405273437</v>
      </c>
    </row>
    <row r="1855" spans="1:2" x14ac:dyDescent="0.25">
      <c r="A1855">
        <v>309.64569091796875</v>
      </c>
      <c r="B1855">
        <v>339.12786865234375</v>
      </c>
    </row>
    <row r="1856" spans="1:2" x14ac:dyDescent="0.25">
      <c r="A1856">
        <v>308.67941284179687</v>
      </c>
      <c r="B1856">
        <v>348.30685424804687</v>
      </c>
    </row>
    <row r="1857" spans="1:2" x14ac:dyDescent="0.25">
      <c r="A1857">
        <v>309.77688598632812</v>
      </c>
      <c r="B1857">
        <v>348.38534545898437</v>
      </c>
    </row>
    <row r="1858" spans="1:2" x14ac:dyDescent="0.25">
      <c r="A1858">
        <v>310.51345825195312</v>
      </c>
      <c r="B1858">
        <v>350.07330322265625</v>
      </c>
    </row>
    <row r="1859" spans="1:2" x14ac:dyDescent="0.25">
      <c r="A1859">
        <v>315.94970703125</v>
      </c>
      <c r="B1859">
        <v>363.78939819335937</v>
      </c>
    </row>
    <row r="1860" spans="1:2" x14ac:dyDescent="0.25">
      <c r="A1860">
        <v>396.4056396484375</v>
      </c>
      <c r="B1860">
        <v>415.5875244140625</v>
      </c>
    </row>
    <row r="1861" spans="1:2" x14ac:dyDescent="0.25">
      <c r="A1861">
        <v>397.90191650390625</v>
      </c>
      <c r="B1861">
        <v>419.8870849609375</v>
      </c>
    </row>
    <row r="1862" spans="1:2" x14ac:dyDescent="0.25">
      <c r="A1862">
        <v>399.51641845703125</v>
      </c>
      <c r="B1862">
        <v>419.87374877929687</v>
      </c>
    </row>
    <row r="1863" spans="1:2" x14ac:dyDescent="0.25">
      <c r="A1863">
        <v>398.07180786132813</v>
      </c>
      <c r="B1863">
        <v>418.751953125</v>
      </c>
    </row>
    <row r="1864" spans="1:2" x14ac:dyDescent="0.25">
      <c r="A1864">
        <v>420.98577880859375</v>
      </c>
      <c r="B1864">
        <v>420.47903442382812</v>
      </c>
    </row>
    <row r="1865" spans="1:2" x14ac:dyDescent="0.25">
      <c r="A1865">
        <v>477.84707641601562</v>
      </c>
      <c r="B1865">
        <v>419.35604858398437</v>
      </c>
    </row>
    <row r="1866" spans="1:2" x14ac:dyDescent="0.25">
      <c r="A1866">
        <v>475.2984619140625</v>
      </c>
      <c r="B1866">
        <v>420.62103271484375</v>
      </c>
    </row>
    <row r="1867" spans="1:2" x14ac:dyDescent="0.25">
      <c r="A1867">
        <v>472.90231323242187</v>
      </c>
      <c r="B1867">
        <v>418.77182006835937</v>
      </c>
    </row>
    <row r="1868" spans="1:2" x14ac:dyDescent="0.25">
      <c r="A1868">
        <v>473.02560424804687</v>
      </c>
      <c r="B1868">
        <v>420.141845703125</v>
      </c>
    </row>
    <row r="1869" spans="1:2" x14ac:dyDescent="0.25">
      <c r="A1869">
        <v>473.40182495117187</v>
      </c>
      <c r="B1869">
        <v>419.66232299804687</v>
      </c>
    </row>
    <row r="1870" spans="1:2" x14ac:dyDescent="0.25">
      <c r="A1870">
        <v>473.601318359375</v>
      </c>
      <c r="B1870">
        <v>420.70062255859375</v>
      </c>
    </row>
    <row r="1871" spans="1:2" x14ac:dyDescent="0.25">
      <c r="A1871">
        <v>474.40631103515625</v>
      </c>
      <c r="B1871">
        <v>419.59878540039062</v>
      </c>
    </row>
    <row r="1872" spans="1:2" x14ac:dyDescent="0.25">
      <c r="A1872">
        <v>473.3626708984375</v>
      </c>
      <c r="B1872">
        <v>420.1842041015625</v>
      </c>
    </row>
    <row r="1873" spans="1:2" x14ac:dyDescent="0.25">
      <c r="A1873">
        <v>476.7574462890625</v>
      </c>
      <c r="B1873">
        <v>420.90460205078125</v>
      </c>
    </row>
    <row r="1874" spans="1:2" x14ac:dyDescent="0.25">
      <c r="A1874">
        <v>480.17681884765625</v>
      </c>
      <c r="B1874">
        <v>419.49899291992187</v>
      </c>
    </row>
    <row r="1875" spans="1:2" x14ac:dyDescent="0.25">
      <c r="A1875">
        <v>481.02841186523437</v>
      </c>
      <c r="B1875">
        <v>420.627685546875</v>
      </c>
    </row>
    <row r="1876" spans="1:2" x14ac:dyDescent="0.25">
      <c r="A1876">
        <v>480.70919799804687</v>
      </c>
      <c r="B1876">
        <v>421.21463012695312</v>
      </c>
    </row>
    <row r="1877" spans="1:2" x14ac:dyDescent="0.25">
      <c r="A1877">
        <v>482.28271484375</v>
      </c>
      <c r="B1877">
        <v>419.36447143554687</v>
      </c>
    </row>
    <row r="1878" spans="1:2" x14ac:dyDescent="0.25">
      <c r="A1878">
        <v>480.85800170898437</v>
      </c>
      <c r="B1878">
        <v>420.03958129882812</v>
      </c>
    </row>
    <row r="1879" spans="1:2" x14ac:dyDescent="0.25">
      <c r="A1879">
        <v>477.09042358398437</v>
      </c>
      <c r="B1879">
        <v>419.14242553710938</v>
      </c>
    </row>
    <row r="1880" spans="1:2" x14ac:dyDescent="0.25">
      <c r="A1880">
        <v>475.93832397460938</v>
      </c>
      <c r="B1880">
        <v>420.50457763671875</v>
      </c>
    </row>
    <row r="1881" spans="1:2" x14ac:dyDescent="0.25">
      <c r="A1881">
        <v>469.75033569335937</v>
      </c>
      <c r="B1881">
        <v>418.9512939453125</v>
      </c>
    </row>
    <row r="1882" spans="1:2" x14ac:dyDescent="0.25">
      <c r="A1882">
        <v>462.29751586914062</v>
      </c>
      <c r="B1882">
        <v>419.48663330078125</v>
      </c>
    </row>
    <row r="1883" spans="1:2" x14ac:dyDescent="0.25">
      <c r="A1883">
        <v>458.540771484375</v>
      </c>
      <c r="B1883">
        <v>420.05001831054687</v>
      </c>
    </row>
    <row r="1884" spans="1:2" x14ac:dyDescent="0.25">
      <c r="A1884">
        <v>453.83465576171875</v>
      </c>
      <c r="B1884">
        <v>419.44265747070312</v>
      </c>
    </row>
    <row r="1885" spans="1:2" x14ac:dyDescent="0.25">
      <c r="A1885">
        <v>455.81613159179687</v>
      </c>
      <c r="B1885">
        <v>419.08132934570312</v>
      </c>
    </row>
    <row r="1886" spans="1:2" x14ac:dyDescent="0.25">
      <c r="A1886">
        <v>455.22564697265625</v>
      </c>
      <c r="B1886">
        <v>419.39474487304687</v>
      </c>
    </row>
    <row r="1887" spans="1:2" x14ac:dyDescent="0.25">
      <c r="A1887">
        <v>454.19351196289062</v>
      </c>
      <c r="B1887">
        <v>418.91278076171875</v>
      </c>
    </row>
    <row r="1888" spans="1:2" x14ac:dyDescent="0.25">
      <c r="A1888">
        <v>454.79013061523437</v>
      </c>
      <c r="B1888">
        <v>421.40664672851563</v>
      </c>
    </row>
    <row r="1889" spans="1:2" x14ac:dyDescent="0.25">
      <c r="A1889">
        <v>453.21563720703125</v>
      </c>
      <c r="B1889">
        <v>420.63058471679687</v>
      </c>
    </row>
    <row r="1890" spans="1:2" x14ac:dyDescent="0.25">
      <c r="A1890">
        <v>455.49139404296875</v>
      </c>
      <c r="B1890">
        <v>420.35610961914062</v>
      </c>
    </row>
    <row r="1891" spans="1:2" x14ac:dyDescent="0.25">
      <c r="A1891">
        <v>461.25869750976562</v>
      </c>
      <c r="B1891">
        <v>419.8486328125</v>
      </c>
    </row>
    <row r="1892" spans="1:2" x14ac:dyDescent="0.25">
      <c r="A1892">
        <v>466.3668212890625</v>
      </c>
      <c r="B1892">
        <v>420.670654296875</v>
      </c>
    </row>
    <row r="1893" spans="1:2" x14ac:dyDescent="0.25">
      <c r="A1893">
        <v>472.40655517578125</v>
      </c>
      <c r="B1893">
        <v>419.44293212890625</v>
      </c>
    </row>
    <row r="1894" spans="1:2" x14ac:dyDescent="0.25">
      <c r="A1894">
        <v>470.42269897460937</v>
      </c>
      <c r="B1894">
        <v>419.29083251953125</v>
      </c>
    </row>
    <row r="1895" spans="1:2" x14ac:dyDescent="0.25">
      <c r="A1895">
        <v>470.23028564453125</v>
      </c>
      <c r="B1895">
        <v>420.22018432617187</v>
      </c>
    </row>
    <row r="1896" spans="1:2" x14ac:dyDescent="0.25">
      <c r="A1896">
        <v>470.26223754882812</v>
      </c>
      <c r="B1896">
        <v>420.71551513671875</v>
      </c>
    </row>
    <row r="1897" spans="1:2" x14ac:dyDescent="0.25">
      <c r="A1897">
        <v>468.93792724609375</v>
      </c>
      <c r="B1897">
        <v>419.12997436523437</v>
      </c>
    </row>
    <row r="1898" spans="1:2" x14ac:dyDescent="0.25">
      <c r="A1898">
        <v>469.08432006835937</v>
      </c>
      <c r="B1898">
        <v>420.99642944335937</v>
      </c>
    </row>
    <row r="1899" spans="1:2" x14ac:dyDescent="0.25">
      <c r="A1899">
        <v>471.98837280273437</v>
      </c>
      <c r="B1899">
        <v>419.52838134765625</v>
      </c>
    </row>
    <row r="1900" spans="1:2" x14ac:dyDescent="0.25">
      <c r="A1900">
        <v>472.82223510742187</v>
      </c>
      <c r="B1900">
        <v>419.67941284179687</v>
      </c>
    </row>
    <row r="1901" spans="1:2" x14ac:dyDescent="0.25">
      <c r="A1901">
        <v>473.2059326171875</v>
      </c>
      <c r="B1901">
        <v>419.0738525390625</v>
      </c>
    </row>
    <row r="1902" spans="1:2" x14ac:dyDescent="0.25">
      <c r="A1902">
        <v>472.64486694335937</v>
      </c>
      <c r="B1902">
        <v>420.45199584960937</v>
      </c>
    </row>
    <row r="1903" spans="1:2" x14ac:dyDescent="0.25">
      <c r="A1903">
        <v>471.75872802734375</v>
      </c>
      <c r="B1903">
        <v>419.62384033203125</v>
      </c>
    </row>
    <row r="1904" spans="1:2" x14ac:dyDescent="0.25">
      <c r="A1904">
        <v>469.9990234375</v>
      </c>
      <c r="B1904">
        <v>421.52255249023437</v>
      </c>
    </row>
    <row r="1905" spans="1:2" x14ac:dyDescent="0.25">
      <c r="A1905">
        <v>470.80398559570312</v>
      </c>
      <c r="B1905">
        <v>419.32321166992187</v>
      </c>
    </row>
    <row r="1906" spans="1:2" x14ac:dyDescent="0.25">
      <c r="A1906">
        <v>472.65341186523437</v>
      </c>
      <c r="B1906">
        <v>419.92962646484375</v>
      </c>
    </row>
    <row r="1907" spans="1:2" x14ac:dyDescent="0.25">
      <c r="A1907">
        <v>478.19244384765625</v>
      </c>
      <c r="B1907">
        <v>420.00814819335938</v>
      </c>
    </row>
    <row r="1908" spans="1:2" x14ac:dyDescent="0.25">
      <c r="A1908">
        <v>479.90048217773437</v>
      </c>
      <c r="B1908">
        <v>420.220703125</v>
      </c>
    </row>
    <row r="1909" spans="1:2" x14ac:dyDescent="0.25">
      <c r="A1909">
        <v>479.40435791015625</v>
      </c>
      <c r="B1909">
        <v>420.01663208007812</v>
      </c>
    </row>
    <row r="1910" spans="1:2" x14ac:dyDescent="0.25">
      <c r="A1910">
        <v>478.7596435546875</v>
      </c>
      <c r="B1910">
        <v>420.05950927734375</v>
      </c>
    </row>
    <row r="1911" spans="1:2" x14ac:dyDescent="0.25">
      <c r="A1911">
        <v>483.078857421875</v>
      </c>
      <c r="B1911">
        <v>420.05059814453125</v>
      </c>
    </row>
    <row r="1912" spans="1:2" x14ac:dyDescent="0.25">
      <c r="A1912">
        <v>483.0408935546875</v>
      </c>
      <c r="B1912">
        <v>419.83447265625</v>
      </c>
    </row>
    <row r="1913" spans="1:2" x14ac:dyDescent="0.25">
      <c r="A1913">
        <v>481.14727783203125</v>
      </c>
      <c r="B1913">
        <v>414.3990478515625</v>
      </c>
    </row>
    <row r="1914" spans="1:2" x14ac:dyDescent="0.25">
      <c r="A1914">
        <v>481.7091064453125</v>
      </c>
      <c r="B1914">
        <v>363.59768676757812</v>
      </c>
    </row>
    <row r="1915" spans="1:2" x14ac:dyDescent="0.25">
      <c r="A1915">
        <v>480.94622802734375</v>
      </c>
      <c r="B1915">
        <v>303.26800537109375</v>
      </c>
    </row>
    <row r="1916" spans="1:2" x14ac:dyDescent="0.25">
      <c r="A1916">
        <v>477.238525390625</v>
      </c>
      <c r="B1916">
        <v>216.40597534179687</v>
      </c>
    </row>
    <row r="1917" spans="1:2" x14ac:dyDescent="0.25">
      <c r="A1917">
        <v>477.39968872070313</v>
      </c>
      <c r="B1917">
        <v>198.31585693359375</v>
      </c>
    </row>
    <row r="1918" spans="1:2" x14ac:dyDescent="0.25">
      <c r="A1918">
        <v>470.3206787109375</v>
      </c>
      <c r="B1918">
        <v>198.87847900390625</v>
      </c>
    </row>
    <row r="1919" spans="1:2" x14ac:dyDescent="0.25">
      <c r="A1919">
        <v>410.93685913085937</v>
      </c>
      <c r="B1919">
        <v>199.94331359863281</v>
      </c>
    </row>
    <row r="1920" spans="1:2" x14ac:dyDescent="0.25">
      <c r="A1920">
        <v>350.1064453125</v>
      </c>
      <c r="B1920">
        <v>199.14761352539062</v>
      </c>
    </row>
    <row r="1921" spans="1:2" x14ac:dyDescent="0.25">
      <c r="A1921">
        <v>250.56179809570312</v>
      </c>
      <c r="B1921">
        <v>198.60560607910156</v>
      </c>
    </row>
    <row r="1922" spans="1:2" x14ac:dyDescent="0.25">
      <c r="A1922">
        <v>240.21653747558594</v>
      </c>
      <c r="B1922">
        <v>215.7498779296875</v>
      </c>
    </row>
    <row r="1923" spans="1:2" x14ac:dyDescent="0.25">
      <c r="A1923">
        <v>241.27099609375</v>
      </c>
      <c r="B1923">
        <v>232.38121032714844</v>
      </c>
    </row>
    <row r="1924" spans="1:2" x14ac:dyDescent="0.25">
      <c r="A1924">
        <v>242.47427368164062</v>
      </c>
      <c r="B1924">
        <v>344.82891845703125</v>
      </c>
    </row>
    <row r="1925" spans="1:2" x14ac:dyDescent="0.25">
      <c r="A1925">
        <v>242.62164306640625</v>
      </c>
      <c r="B1925">
        <v>390.84527587890625</v>
      </c>
    </row>
    <row r="1926" spans="1:2" x14ac:dyDescent="0.25">
      <c r="A1926">
        <v>242.23509216308594</v>
      </c>
      <c r="B1926">
        <v>374.3203125</v>
      </c>
    </row>
    <row r="1927" spans="1:2" x14ac:dyDescent="0.25">
      <c r="A1927">
        <v>260.19094848632812</v>
      </c>
      <c r="B1927">
        <v>367.66265869140625</v>
      </c>
    </row>
    <row r="1928" spans="1:2" x14ac:dyDescent="0.25">
      <c r="A1928">
        <v>282.8643798828125</v>
      </c>
      <c r="B1928">
        <v>362.82806396484375</v>
      </c>
    </row>
    <row r="1929" spans="1:2" x14ac:dyDescent="0.25">
      <c r="A1929">
        <v>414.661376953125</v>
      </c>
      <c r="B1929">
        <v>293.95291137695312</v>
      </c>
    </row>
    <row r="1930" spans="1:2" x14ac:dyDescent="0.25">
      <c r="A1930">
        <v>446.43252563476562</v>
      </c>
      <c r="B1930">
        <v>264.4979248046875</v>
      </c>
    </row>
    <row r="1931" spans="1:2" x14ac:dyDescent="0.25">
      <c r="A1931">
        <v>424.1038818359375</v>
      </c>
      <c r="B1931">
        <v>247.13424682617187</v>
      </c>
    </row>
    <row r="1932" spans="1:2" x14ac:dyDescent="0.25">
      <c r="A1932">
        <v>415.96578979492187</v>
      </c>
      <c r="B1932">
        <v>257.29354858398437</v>
      </c>
    </row>
    <row r="1933" spans="1:2" x14ac:dyDescent="0.25">
      <c r="A1933">
        <v>406.3748779296875</v>
      </c>
      <c r="B1933">
        <v>347.34567260742188</v>
      </c>
    </row>
    <row r="1934" spans="1:2" x14ac:dyDescent="0.25">
      <c r="A1934">
        <v>332.94775390625</v>
      </c>
      <c r="B1934">
        <v>392.03680419921875</v>
      </c>
    </row>
    <row r="1935" spans="1:2" x14ac:dyDescent="0.25">
      <c r="A1935">
        <v>302.19668579101563</v>
      </c>
      <c r="B1935">
        <v>417.40997314453125</v>
      </c>
    </row>
    <row r="1936" spans="1:2" x14ac:dyDescent="0.25">
      <c r="A1936">
        <v>288.46365356445313</v>
      </c>
      <c r="B1936">
        <v>415.52920532226562</v>
      </c>
    </row>
    <row r="1937" spans="1:2" x14ac:dyDescent="0.25">
      <c r="A1937">
        <v>303.4764404296875</v>
      </c>
      <c r="B1937">
        <v>382.2047119140625</v>
      </c>
    </row>
    <row r="1938" spans="1:2" x14ac:dyDescent="0.25">
      <c r="A1938">
        <v>403.218994140625</v>
      </c>
      <c r="B1938">
        <v>268.9964599609375</v>
      </c>
    </row>
    <row r="1939" spans="1:2" x14ac:dyDescent="0.25">
      <c r="A1939">
        <v>447.9151611328125</v>
      </c>
      <c r="B1939">
        <v>205.04348754882812</v>
      </c>
    </row>
    <row r="1940" spans="1:2" x14ac:dyDescent="0.25">
      <c r="A1940">
        <v>475.91561889648437</v>
      </c>
      <c r="B1940">
        <v>202.4134521484375</v>
      </c>
    </row>
    <row r="1941" spans="1:2" x14ac:dyDescent="0.25">
      <c r="A1941">
        <v>469.02386474609375</v>
      </c>
      <c r="B1941">
        <v>198.81936645507812</v>
      </c>
    </row>
    <row r="1942" spans="1:2" x14ac:dyDescent="0.25">
      <c r="A1942">
        <v>425.86282348632812</v>
      </c>
      <c r="B1942">
        <v>199.29901123046875</v>
      </c>
    </row>
    <row r="1943" spans="1:2" x14ac:dyDescent="0.25">
      <c r="A1943">
        <v>298.6500244140625</v>
      </c>
      <c r="B1943">
        <v>199.73020935058594</v>
      </c>
    </row>
    <row r="1944" spans="1:2" x14ac:dyDescent="0.25">
      <c r="A1944">
        <v>239.44119262695312</v>
      </c>
      <c r="B1944">
        <v>202.96360778808594</v>
      </c>
    </row>
    <row r="1945" spans="1:2" x14ac:dyDescent="0.25">
      <c r="A1945">
        <v>238.62872314453125</v>
      </c>
      <c r="B1945">
        <v>256.5489501953125</v>
      </c>
    </row>
    <row r="1946" spans="1:2" x14ac:dyDescent="0.25">
      <c r="A1946">
        <v>237.3990478515625</v>
      </c>
      <c r="B1946">
        <v>360.36660766601562</v>
      </c>
    </row>
    <row r="1947" spans="1:2" x14ac:dyDescent="0.25">
      <c r="A1947">
        <v>237.49601745605469</v>
      </c>
      <c r="B1947">
        <v>422.6455078125</v>
      </c>
    </row>
    <row r="1948" spans="1:2" x14ac:dyDescent="0.25">
      <c r="A1948">
        <v>238.16470336914063</v>
      </c>
      <c r="B1948">
        <v>418.70394897460937</v>
      </c>
    </row>
    <row r="1949" spans="1:2" x14ac:dyDescent="0.25">
      <c r="A1949">
        <v>244.12449645996094</v>
      </c>
      <c r="B1949">
        <v>419.16156005859375</v>
      </c>
    </row>
    <row r="1950" spans="1:2" x14ac:dyDescent="0.25">
      <c r="A1950">
        <v>305.67434692382812</v>
      </c>
      <c r="B1950">
        <v>419.3873291015625</v>
      </c>
    </row>
    <row r="1951" spans="1:2" x14ac:dyDescent="0.25">
      <c r="A1951">
        <v>428.46798706054687</v>
      </c>
      <c r="B1951">
        <v>419.36135864257812</v>
      </c>
    </row>
    <row r="1952" spans="1:2" x14ac:dyDescent="0.25">
      <c r="A1952">
        <v>479.54296875</v>
      </c>
      <c r="B1952">
        <v>416.94155883789062</v>
      </c>
    </row>
    <row r="1953" spans="1:2" x14ac:dyDescent="0.25">
      <c r="A1953">
        <v>475.07577514648437</v>
      </c>
      <c r="B1953">
        <v>415.96688842773437</v>
      </c>
    </row>
    <row r="1954" spans="1:2" x14ac:dyDescent="0.25">
      <c r="A1954">
        <v>476.4417724609375</v>
      </c>
      <c r="B1954">
        <v>417.09317016601562</v>
      </c>
    </row>
    <row r="1955" spans="1:2" x14ac:dyDescent="0.25">
      <c r="A1955">
        <v>476.47103881835937</v>
      </c>
      <c r="B1955">
        <v>416.96353149414062</v>
      </c>
    </row>
    <row r="1956" spans="1:2" x14ac:dyDescent="0.25">
      <c r="A1956">
        <v>475.266845703125</v>
      </c>
      <c r="B1956">
        <v>417.08905029296875</v>
      </c>
    </row>
    <row r="1957" spans="1:2" x14ac:dyDescent="0.25">
      <c r="A1957">
        <v>474.12014770507812</v>
      </c>
      <c r="B1957">
        <v>417.03692626953125</v>
      </c>
    </row>
    <row r="1958" spans="1:2" x14ac:dyDescent="0.25">
      <c r="A1958">
        <v>474.56460571289062</v>
      </c>
      <c r="B1958">
        <v>417.32467651367187</v>
      </c>
    </row>
    <row r="1959" spans="1:2" x14ac:dyDescent="0.25">
      <c r="A1959">
        <v>477.08187866210937</v>
      </c>
      <c r="B1959">
        <v>417.664794921875</v>
      </c>
    </row>
    <row r="1960" spans="1:2" x14ac:dyDescent="0.25">
      <c r="A1960">
        <v>477.62545776367187</v>
      </c>
      <c r="B1960">
        <v>419.8109130859375</v>
      </c>
    </row>
    <row r="1961" spans="1:2" x14ac:dyDescent="0.25">
      <c r="A1961">
        <v>479.19183349609375</v>
      </c>
      <c r="B1961">
        <v>417.33987426757812</v>
      </c>
    </row>
    <row r="1962" spans="1:2" x14ac:dyDescent="0.25">
      <c r="A1962">
        <v>476.71664428710937</v>
      </c>
      <c r="B1962">
        <v>349.91915893554687</v>
      </c>
    </row>
    <row r="1963" spans="1:2" x14ac:dyDescent="0.25">
      <c r="A1963">
        <v>476.262939453125</v>
      </c>
      <c r="B1963">
        <v>374.95443725585937</v>
      </c>
    </row>
    <row r="1964" spans="1:2" x14ac:dyDescent="0.25">
      <c r="A1964">
        <v>474.56158447265625</v>
      </c>
      <c r="B1964">
        <v>378.7314453125</v>
      </c>
    </row>
    <row r="1965" spans="1:2" x14ac:dyDescent="0.25">
      <c r="A1965">
        <v>474.41934204101562</v>
      </c>
      <c r="B1965">
        <v>377.38760375976562</v>
      </c>
    </row>
    <row r="1966" spans="1:2" x14ac:dyDescent="0.25">
      <c r="A1966">
        <v>471.11727905273438</v>
      </c>
      <c r="B1966">
        <v>378.18389892578125</v>
      </c>
    </row>
    <row r="1967" spans="1:2" x14ac:dyDescent="0.25">
      <c r="A1967">
        <v>387.4404296875</v>
      </c>
      <c r="B1967">
        <v>377.89132690429688</v>
      </c>
    </row>
    <row r="1968" spans="1:2" x14ac:dyDescent="0.25">
      <c r="A1968">
        <v>425.61166381835937</v>
      </c>
      <c r="B1968">
        <v>377.65487670898437</v>
      </c>
    </row>
    <row r="1969" spans="1:2" x14ac:dyDescent="0.25">
      <c r="A1969">
        <v>426.83956909179687</v>
      </c>
      <c r="B1969">
        <v>377.74334716796875</v>
      </c>
    </row>
    <row r="1970" spans="1:2" x14ac:dyDescent="0.25">
      <c r="A1970">
        <v>427.21536254882812</v>
      </c>
      <c r="B1970">
        <v>405.68667602539062</v>
      </c>
    </row>
    <row r="1971" spans="1:2" x14ac:dyDescent="0.25">
      <c r="A1971">
        <v>426.6248779296875</v>
      </c>
      <c r="B1971">
        <v>415.80987548828125</v>
      </c>
    </row>
    <row r="1972" spans="1:2" x14ac:dyDescent="0.25">
      <c r="A1972">
        <v>427.5386962890625</v>
      </c>
      <c r="B1972">
        <v>413.94357299804687</v>
      </c>
    </row>
    <row r="1973" spans="1:2" x14ac:dyDescent="0.25">
      <c r="A1973">
        <v>427.78683471679687</v>
      </c>
      <c r="B1973">
        <v>409.6514892578125</v>
      </c>
    </row>
    <row r="1974" spans="1:2" x14ac:dyDescent="0.25">
      <c r="A1974">
        <v>426.90252685546875</v>
      </c>
      <c r="B1974">
        <v>403.90283203125</v>
      </c>
    </row>
    <row r="1975" spans="1:2" x14ac:dyDescent="0.25">
      <c r="A1975">
        <v>462.44140625</v>
      </c>
      <c r="B1975">
        <v>410.36660766601562</v>
      </c>
    </row>
    <row r="1976" spans="1:2" x14ac:dyDescent="0.25">
      <c r="A1976">
        <v>471.53997802734375</v>
      </c>
      <c r="B1976">
        <v>413.03244018554687</v>
      </c>
    </row>
    <row r="1977" spans="1:2" x14ac:dyDescent="0.25">
      <c r="A1977">
        <v>468.60531616210937</v>
      </c>
      <c r="B1977">
        <v>389.22406005859375</v>
      </c>
    </row>
    <row r="1978" spans="1:2" x14ac:dyDescent="0.25">
      <c r="A1978">
        <v>463.54299926757812</v>
      </c>
      <c r="B1978">
        <v>304.85595703125</v>
      </c>
    </row>
    <row r="1979" spans="1:2" x14ac:dyDescent="0.25">
      <c r="A1979">
        <v>456.62716674804687</v>
      </c>
      <c r="B1979">
        <v>333.39984130859375</v>
      </c>
    </row>
    <row r="1980" spans="1:2" x14ac:dyDescent="0.25">
      <c r="A1980">
        <v>464.21337890625</v>
      </c>
      <c r="B1980">
        <v>362.78030395507812</v>
      </c>
    </row>
    <row r="1981" spans="1:2" x14ac:dyDescent="0.25">
      <c r="A1981">
        <v>463.54251098632812</v>
      </c>
      <c r="B1981">
        <v>408.66717529296875</v>
      </c>
    </row>
    <row r="1982" spans="1:2" x14ac:dyDescent="0.25">
      <c r="A1982">
        <v>432.42364501953125</v>
      </c>
      <c r="B1982">
        <v>410.7457275390625</v>
      </c>
    </row>
    <row r="1983" spans="1:2" x14ac:dyDescent="0.25">
      <c r="A1983">
        <v>344.740966796875</v>
      </c>
      <c r="B1983">
        <v>417.206298828125</v>
      </c>
    </row>
    <row r="1984" spans="1:2" x14ac:dyDescent="0.25">
      <c r="A1984">
        <v>383.32366943359375</v>
      </c>
      <c r="B1984">
        <v>417.15652465820312</v>
      </c>
    </row>
    <row r="1985" spans="1:2" x14ac:dyDescent="0.25">
      <c r="A1985">
        <v>417.59750366210937</v>
      </c>
      <c r="B1985">
        <v>404.68453979492187</v>
      </c>
    </row>
    <row r="1986" spans="1:2" x14ac:dyDescent="0.25">
      <c r="A1986">
        <v>473.619873046875</v>
      </c>
      <c r="B1986">
        <v>323.30966186523437</v>
      </c>
    </row>
    <row r="1987" spans="1:2" x14ac:dyDescent="0.25">
      <c r="A1987">
        <v>467.35369873046875</v>
      </c>
      <c r="B1987">
        <v>307.88119506835937</v>
      </c>
    </row>
    <row r="1988" spans="1:2" x14ac:dyDescent="0.25">
      <c r="A1988">
        <v>475.12307739257812</v>
      </c>
      <c r="B1988">
        <v>314.1510009765625</v>
      </c>
    </row>
    <row r="1989" spans="1:2" x14ac:dyDescent="0.25">
      <c r="A1989">
        <v>471.91165161132812</v>
      </c>
      <c r="B1989">
        <v>299.96337890625</v>
      </c>
    </row>
    <row r="1990" spans="1:2" x14ac:dyDescent="0.25">
      <c r="A1990">
        <v>448.96942138671875</v>
      </c>
      <c r="B1990">
        <v>300.32485961914062</v>
      </c>
    </row>
    <row r="1991" spans="1:2" x14ac:dyDescent="0.25">
      <c r="A1991">
        <v>362.39364624023437</v>
      </c>
      <c r="B1991">
        <v>298.9080810546875</v>
      </c>
    </row>
    <row r="1992" spans="1:2" x14ac:dyDescent="0.25">
      <c r="A1992">
        <v>351.95950317382812</v>
      </c>
      <c r="B1992">
        <v>302.92864990234375</v>
      </c>
    </row>
    <row r="1993" spans="1:2" x14ac:dyDescent="0.25">
      <c r="A1993">
        <v>354.768310546875</v>
      </c>
      <c r="B1993">
        <v>352.43106079101563</v>
      </c>
    </row>
    <row r="1994" spans="1:2" x14ac:dyDescent="0.25">
      <c r="A1994">
        <v>338.80670166015625</v>
      </c>
      <c r="B1994">
        <v>420.5377197265625</v>
      </c>
    </row>
    <row r="1995" spans="1:2" x14ac:dyDescent="0.25">
      <c r="A1995">
        <v>336.32608032226562</v>
      </c>
      <c r="B1995">
        <v>408.99630737304687</v>
      </c>
    </row>
    <row r="1996" spans="1:2" x14ac:dyDescent="0.25">
      <c r="A1996">
        <v>334.44766235351563</v>
      </c>
      <c r="B1996">
        <v>416.2559814453125</v>
      </c>
    </row>
    <row r="1997" spans="1:2" x14ac:dyDescent="0.25">
      <c r="A1997">
        <v>337.3084716796875</v>
      </c>
      <c r="B1997">
        <v>416.17318725585937</v>
      </c>
    </row>
    <row r="1998" spans="1:2" x14ac:dyDescent="0.25">
      <c r="A1998">
        <v>401.43405151367187</v>
      </c>
      <c r="B1998">
        <v>417.96109008789062</v>
      </c>
    </row>
    <row r="1999" spans="1:2" x14ac:dyDescent="0.25">
      <c r="A1999">
        <v>469.3648681640625</v>
      </c>
      <c r="B1999">
        <v>418.75106811523437</v>
      </c>
    </row>
    <row r="2000" spans="1:2" x14ac:dyDescent="0.25">
      <c r="A2000">
        <v>446.70269775390625</v>
      </c>
      <c r="B2000">
        <v>418.278076171875</v>
      </c>
    </row>
    <row r="2001" spans="1:2" x14ac:dyDescent="0.25">
      <c r="A2001">
        <v>461.528564453125</v>
      </c>
      <c r="B2001">
        <v>419.243896484375</v>
      </c>
    </row>
    <row r="2002" spans="1:2" x14ac:dyDescent="0.25">
      <c r="A2002">
        <v>458.34100341796875</v>
      </c>
      <c r="B2002">
        <v>399.33059692382813</v>
      </c>
    </row>
    <row r="2003" spans="1:2" x14ac:dyDescent="0.25">
      <c r="A2003">
        <v>461.56204223632812</v>
      </c>
      <c r="B2003">
        <v>319.0914306640625</v>
      </c>
    </row>
    <row r="2004" spans="1:2" x14ac:dyDescent="0.25">
      <c r="A2004">
        <v>469.907958984375</v>
      </c>
      <c r="B2004">
        <v>334.03518676757812</v>
      </c>
    </row>
    <row r="2005" spans="1:2" x14ac:dyDescent="0.25">
      <c r="A2005">
        <v>472.3011474609375</v>
      </c>
      <c r="B2005">
        <v>348.48867797851562</v>
      </c>
    </row>
    <row r="2006" spans="1:2" x14ac:dyDescent="0.25">
      <c r="A2006">
        <v>474.52813720703125</v>
      </c>
      <c r="B2006">
        <v>389.60818481445312</v>
      </c>
    </row>
    <row r="2007" spans="1:2" x14ac:dyDescent="0.25">
      <c r="A2007">
        <v>445.95187377929687</v>
      </c>
      <c r="B2007">
        <v>505.46212768554687</v>
      </c>
    </row>
    <row r="2008" spans="1:2" x14ac:dyDescent="0.25">
      <c r="A2008">
        <v>362.69442749023437</v>
      </c>
      <c r="B2008">
        <v>480.29098510742187</v>
      </c>
    </row>
    <row r="2009" spans="1:2" x14ac:dyDescent="0.25">
      <c r="A2009">
        <v>379.44332885742187</v>
      </c>
      <c r="B2009">
        <v>392.77734375</v>
      </c>
    </row>
    <row r="2010" spans="1:2" x14ac:dyDescent="0.25">
      <c r="A2010">
        <v>391.03488159179687</v>
      </c>
      <c r="B2010">
        <v>330.17581176757812</v>
      </c>
    </row>
    <row r="2011" spans="1:2" x14ac:dyDescent="0.25">
      <c r="A2011">
        <v>445.56130981445312</v>
      </c>
      <c r="B2011">
        <v>310.17111206054687</v>
      </c>
    </row>
    <row r="2012" spans="1:2" x14ac:dyDescent="0.25">
      <c r="A2012">
        <v>575.95904541015625</v>
      </c>
      <c r="B2012">
        <v>305.58453369140625</v>
      </c>
    </row>
    <row r="2013" spans="1:2" x14ac:dyDescent="0.25">
      <c r="A2013">
        <v>529.595947265625</v>
      </c>
      <c r="B2013">
        <v>299.6214599609375</v>
      </c>
    </row>
    <row r="2014" spans="1:2" x14ac:dyDescent="0.25">
      <c r="A2014">
        <v>428.2860107421875</v>
      </c>
      <c r="B2014">
        <v>300.4251708984375</v>
      </c>
    </row>
    <row r="2015" spans="1:2" x14ac:dyDescent="0.25">
      <c r="A2015">
        <v>369.26113891601562</v>
      </c>
      <c r="B2015">
        <v>300.16912841796875</v>
      </c>
    </row>
    <row r="2016" spans="1:2" x14ac:dyDescent="0.25">
      <c r="A2016">
        <v>351.17306518554688</v>
      </c>
      <c r="B2016">
        <v>300.983154296875</v>
      </c>
    </row>
    <row r="2017" spans="1:2" x14ac:dyDescent="0.25">
      <c r="A2017">
        <v>343.82357788085937</v>
      </c>
      <c r="B2017">
        <v>340.312255859375</v>
      </c>
    </row>
    <row r="2018" spans="1:2" x14ac:dyDescent="0.25">
      <c r="A2018">
        <v>340.54461669921875</v>
      </c>
      <c r="B2018">
        <v>401.8388671875</v>
      </c>
    </row>
    <row r="2019" spans="1:2" x14ac:dyDescent="0.25">
      <c r="A2019">
        <v>345.3463134765625</v>
      </c>
      <c r="B2019">
        <v>504.2491455078125</v>
      </c>
    </row>
    <row r="2020" spans="1:2" x14ac:dyDescent="0.25">
      <c r="A2020">
        <v>346.61807250976562</v>
      </c>
      <c r="B2020">
        <v>529.755859375</v>
      </c>
    </row>
    <row r="2021" spans="1:2" x14ac:dyDescent="0.25">
      <c r="A2021">
        <v>345.78671264648437</v>
      </c>
      <c r="B2021">
        <v>528.28179931640625</v>
      </c>
    </row>
    <row r="2022" spans="1:2" x14ac:dyDescent="0.25">
      <c r="A2022">
        <v>392.3800048828125</v>
      </c>
      <c r="B2022">
        <v>529.26507568359375</v>
      </c>
    </row>
    <row r="2023" spans="1:2" x14ac:dyDescent="0.25">
      <c r="A2023">
        <v>471.75930786132812</v>
      </c>
      <c r="B2023">
        <v>526.57666015625</v>
      </c>
    </row>
    <row r="2024" spans="1:2" x14ac:dyDescent="0.25">
      <c r="A2024">
        <v>585.55133056640625</v>
      </c>
      <c r="B2024">
        <v>535.2760009765625</v>
      </c>
    </row>
    <row r="2025" spans="1:2" x14ac:dyDescent="0.25">
      <c r="A2025">
        <v>618.45269775390625</v>
      </c>
      <c r="B2025">
        <v>522.02783203125</v>
      </c>
    </row>
    <row r="2026" spans="1:2" x14ac:dyDescent="0.25">
      <c r="A2026">
        <v>612.98199462890625</v>
      </c>
      <c r="B2026">
        <v>461.8675537109375</v>
      </c>
    </row>
    <row r="2027" spans="1:2" x14ac:dyDescent="0.25">
      <c r="A2027">
        <v>614.307861328125</v>
      </c>
      <c r="B2027">
        <v>381.433349609375</v>
      </c>
    </row>
    <row r="2028" spans="1:2" x14ac:dyDescent="0.25">
      <c r="A2028">
        <v>610.807861328125</v>
      </c>
      <c r="B2028">
        <v>340.47830200195313</v>
      </c>
    </row>
    <row r="2029" spans="1:2" x14ac:dyDescent="0.25">
      <c r="A2029">
        <v>620.470458984375</v>
      </c>
      <c r="B2029">
        <v>323.93771362304687</v>
      </c>
    </row>
    <row r="2030" spans="1:2" x14ac:dyDescent="0.25">
      <c r="A2030">
        <v>602.8228759765625</v>
      </c>
      <c r="B2030">
        <v>366.264404296875</v>
      </c>
    </row>
    <row r="2031" spans="1:2" x14ac:dyDescent="0.25">
      <c r="A2031">
        <v>525.8846435546875</v>
      </c>
      <c r="B2031">
        <v>480.65972900390625</v>
      </c>
    </row>
    <row r="2032" spans="1:2" x14ac:dyDescent="0.25">
      <c r="A2032">
        <v>433.72265625</v>
      </c>
      <c r="B2032">
        <v>517.518798828125</v>
      </c>
    </row>
    <row r="2033" spans="1:2" x14ac:dyDescent="0.25">
      <c r="A2033">
        <v>390.91134643554687</v>
      </c>
      <c r="B2033">
        <v>488.73886108398437</v>
      </c>
    </row>
    <row r="2034" spans="1:2" x14ac:dyDescent="0.25">
      <c r="A2034">
        <v>374.3262939453125</v>
      </c>
      <c r="B2034">
        <v>354.97622680664062</v>
      </c>
    </row>
    <row r="2035" spans="1:2" x14ac:dyDescent="0.25">
      <c r="A2035">
        <v>436.2657470703125</v>
      </c>
      <c r="B2035">
        <v>228.44844055175781</v>
      </c>
    </row>
    <row r="2036" spans="1:2" x14ac:dyDescent="0.25">
      <c r="A2036">
        <v>568.55963134765625</v>
      </c>
      <c r="B2036">
        <v>220.84376525878906</v>
      </c>
    </row>
    <row r="2037" spans="1:2" x14ac:dyDescent="0.25">
      <c r="A2037">
        <v>600.7711181640625</v>
      </c>
      <c r="B2037">
        <v>217.20512390136719</v>
      </c>
    </row>
    <row r="2038" spans="1:2" x14ac:dyDescent="0.25">
      <c r="A2038">
        <v>547.3070068359375</v>
      </c>
      <c r="B2038">
        <v>217.29237365722656</v>
      </c>
    </row>
    <row r="2039" spans="1:2" x14ac:dyDescent="0.25">
      <c r="A2039">
        <v>388.75454711914062</v>
      </c>
      <c r="B2039">
        <v>216.92501831054687</v>
      </c>
    </row>
    <row r="2040" spans="1:2" x14ac:dyDescent="0.25">
      <c r="A2040">
        <v>268.54666137695312</v>
      </c>
      <c r="B2040">
        <v>234.83036804199219</v>
      </c>
    </row>
    <row r="2041" spans="1:2" x14ac:dyDescent="0.25">
      <c r="A2041">
        <v>263.57757568359375</v>
      </c>
      <c r="B2041">
        <v>311.226806640625</v>
      </c>
    </row>
    <row r="2042" spans="1:2" x14ac:dyDescent="0.25">
      <c r="A2042">
        <v>262.71920776367187</v>
      </c>
      <c r="B2042">
        <v>476.82781982421875</v>
      </c>
    </row>
    <row r="2043" spans="1:2" x14ac:dyDescent="0.25">
      <c r="A2043">
        <v>264.84100341796875</v>
      </c>
      <c r="B2043">
        <v>529.3712158203125</v>
      </c>
    </row>
    <row r="2044" spans="1:2" x14ac:dyDescent="0.25">
      <c r="A2044">
        <v>265.57449340820312</v>
      </c>
      <c r="B2044">
        <v>530.9169921875</v>
      </c>
    </row>
    <row r="2045" spans="1:2" x14ac:dyDescent="0.25">
      <c r="A2045">
        <v>287.68585205078125</v>
      </c>
      <c r="B2045">
        <v>536.0592041015625</v>
      </c>
    </row>
    <row r="2046" spans="1:2" x14ac:dyDescent="0.25">
      <c r="A2046">
        <v>387.044677734375</v>
      </c>
      <c r="B2046">
        <v>537.5255126953125</v>
      </c>
    </row>
    <row r="2047" spans="1:2" x14ac:dyDescent="0.25">
      <c r="A2047">
        <v>567.81427001953125</v>
      </c>
      <c r="B2047">
        <v>540.450439453125</v>
      </c>
    </row>
    <row r="2048" spans="1:2" x14ac:dyDescent="0.25">
      <c r="A2048">
        <v>599.10980224609375</v>
      </c>
      <c r="B2048">
        <v>541.4119873046875</v>
      </c>
    </row>
    <row r="2049" spans="1:2" x14ac:dyDescent="0.25">
      <c r="A2049">
        <v>596.670166015625</v>
      </c>
      <c r="B2049">
        <v>539.37994384765625</v>
      </c>
    </row>
    <row r="2050" spans="1:2" x14ac:dyDescent="0.25">
      <c r="A2050">
        <v>601.9864501953125</v>
      </c>
      <c r="B2050">
        <v>515.40478515625</v>
      </c>
    </row>
    <row r="2051" spans="1:2" x14ac:dyDescent="0.25">
      <c r="A2051">
        <v>606.91766357421875</v>
      </c>
      <c r="B2051">
        <v>499.38919067382812</v>
      </c>
    </row>
    <row r="2052" spans="1:2" x14ac:dyDescent="0.25">
      <c r="A2052">
        <v>611.10791015625</v>
      </c>
      <c r="B2052">
        <v>420.65029907226562</v>
      </c>
    </row>
    <row r="2053" spans="1:2" x14ac:dyDescent="0.25">
      <c r="A2053">
        <v>599.48822021484375</v>
      </c>
      <c r="B2053">
        <v>401.61953735351562</v>
      </c>
    </row>
    <row r="2054" spans="1:2" x14ac:dyDescent="0.25">
      <c r="A2054">
        <v>586.7413330078125</v>
      </c>
      <c r="B2054">
        <v>429.864990234375</v>
      </c>
    </row>
    <row r="2055" spans="1:2" x14ac:dyDescent="0.25">
      <c r="A2055">
        <v>556.62762451171875</v>
      </c>
      <c r="B2055">
        <v>523.20294189453125</v>
      </c>
    </row>
    <row r="2056" spans="1:2" x14ac:dyDescent="0.25">
      <c r="A2056">
        <v>531.6695556640625</v>
      </c>
      <c r="B2056">
        <v>527.3414306640625</v>
      </c>
    </row>
    <row r="2057" spans="1:2" x14ac:dyDescent="0.25">
      <c r="A2057">
        <v>446.0264892578125</v>
      </c>
      <c r="B2057">
        <v>519.72613525390625</v>
      </c>
    </row>
    <row r="2058" spans="1:2" x14ac:dyDescent="0.25">
      <c r="A2058">
        <v>433.4466552734375</v>
      </c>
      <c r="B2058">
        <v>479.09371948242187</v>
      </c>
    </row>
    <row r="2059" spans="1:2" x14ac:dyDescent="0.25">
      <c r="A2059">
        <v>469.46408081054687</v>
      </c>
      <c r="B2059">
        <v>460.97225952148437</v>
      </c>
    </row>
    <row r="2060" spans="1:2" x14ac:dyDescent="0.25">
      <c r="A2060">
        <v>574.3914794921875</v>
      </c>
      <c r="B2060">
        <v>527.81634521484375</v>
      </c>
    </row>
    <row r="2061" spans="1:2" x14ac:dyDescent="0.25">
      <c r="A2061">
        <v>583.561767578125</v>
      </c>
      <c r="B2061">
        <v>531.6253662109375</v>
      </c>
    </row>
    <row r="2062" spans="1:2" x14ac:dyDescent="0.25">
      <c r="A2062">
        <v>581.14666748046875</v>
      </c>
      <c r="B2062">
        <v>471.77590942382813</v>
      </c>
    </row>
    <row r="2063" spans="1:2" x14ac:dyDescent="0.25">
      <c r="A2063">
        <v>539.8292236328125</v>
      </c>
      <c r="B2063">
        <v>409.69525146484375</v>
      </c>
    </row>
    <row r="2064" spans="1:2" x14ac:dyDescent="0.25">
      <c r="A2064">
        <v>539.45733642578125</v>
      </c>
      <c r="B2064">
        <v>448.62277221679687</v>
      </c>
    </row>
    <row r="2065" spans="1:2" x14ac:dyDescent="0.25">
      <c r="A2065">
        <v>627.8023681640625</v>
      </c>
      <c r="B2065">
        <v>530.173828125</v>
      </c>
    </row>
    <row r="2066" spans="1:2" x14ac:dyDescent="0.25">
      <c r="A2066">
        <v>624.24090576171875</v>
      </c>
      <c r="B2066">
        <v>533.75531005859375</v>
      </c>
    </row>
    <row r="2067" spans="1:2" x14ac:dyDescent="0.25">
      <c r="A2067">
        <v>544.04473876953125</v>
      </c>
      <c r="B2067">
        <v>534.1014404296875</v>
      </c>
    </row>
    <row r="2068" spans="1:2" x14ac:dyDescent="0.25">
      <c r="A2068">
        <v>476.36029052734375</v>
      </c>
      <c r="B2068">
        <v>534.3240966796875</v>
      </c>
    </row>
    <row r="2069" spans="1:2" x14ac:dyDescent="0.25">
      <c r="A2069">
        <v>530.9656982421875</v>
      </c>
      <c r="B2069">
        <v>533.24066162109375</v>
      </c>
    </row>
    <row r="2070" spans="1:2" x14ac:dyDescent="0.25">
      <c r="A2070">
        <v>632.2452392578125</v>
      </c>
      <c r="B2070">
        <v>531.87432861328125</v>
      </c>
    </row>
    <row r="2071" spans="1:2" x14ac:dyDescent="0.25">
      <c r="A2071">
        <v>636.83154296875</v>
      </c>
      <c r="B2071">
        <v>524.8751220703125</v>
      </c>
    </row>
    <row r="2072" spans="1:2" x14ac:dyDescent="0.25">
      <c r="A2072">
        <v>635.5472412109375</v>
      </c>
      <c r="B2072">
        <v>475.71731567382812</v>
      </c>
    </row>
    <row r="2073" spans="1:2" x14ac:dyDescent="0.25">
      <c r="A2073">
        <v>637.18096923828125</v>
      </c>
      <c r="B2073">
        <v>386.18170166015625</v>
      </c>
    </row>
    <row r="2074" spans="1:2" x14ac:dyDescent="0.25">
      <c r="A2074">
        <v>634.677001953125</v>
      </c>
      <c r="B2074">
        <v>302.69647216796875</v>
      </c>
    </row>
    <row r="2075" spans="1:2" x14ac:dyDescent="0.25">
      <c r="A2075">
        <v>627.868896484375</v>
      </c>
      <c r="B2075">
        <v>217.86256408691406</v>
      </c>
    </row>
    <row r="2076" spans="1:2" x14ac:dyDescent="0.25">
      <c r="A2076">
        <v>612.7020263671875</v>
      </c>
      <c r="B2076">
        <v>211.28587341308594</v>
      </c>
    </row>
    <row r="2077" spans="1:2" x14ac:dyDescent="0.25">
      <c r="A2077">
        <v>542.38287353515625</v>
      </c>
      <c r="B2077">
        <v>226.28709411621094</v>
      </c>
    </row>
    <row r="2078" spans="1:2" x14ac:dyDescent="0.25">
      <c r="A2078">
        <v>434.14990234375</v>
      </c>
      <c r="B2078">
        <v>241.64558410644531</v>
      </c>
    </row>
    <row r="2079" spans="1:2" x14ac:dyDescent="0.25">
      <c r="A2079">
        <v>342.11917114257812</v>
      </c>
      <c r="B2079">
        <v>360.14306640625</v>
      </c>
    </row>
    <row r="2080" spans="1:2" x14ac:dyDescent="0.25">
      <c r="A2080">
        <v>260.9893798828125</v>
      </c>
      <c r="B2080">
        <v>508.93740844726562</v>
      </c>
    </row>
    <row r="2081" spans="1:2" x14ac:dyDescent="0.25">
      <c r="A2081">
        <v>262.19210815429687</v>
      </c>
      <c r="B2081">
        <v>511.60858154296875</v>
      </c>
    </row>
    <row r="2082" spans="1:2" x14ac:dyDescent="0.25">
      <c r="A2082">
        <v>274.10137939453125</v>
      </c>
      <c r="B2082">
        <v>511.58541870117187</v>
      </c>
    </row>
    <row r="2083" spans="1:2" x14ac:dyDescent="0.25">
      <c r="A2083">
        <v>296.44369506835937</v>
      </c>
      <c r="B2083">
        <v>381.22122192382812</v>
      </c>
    </row>
    <row r="2084" spans="1:2" x14ac:dyDescent="0.25">
      <c r="A2084">
        <v>438.05538940429687</v>
      </c>
      <c r="B2084">
        <v>274.31622314453125</v>
      </c>
    </row>
    <row r="2085" spans="1:2" x14ac:dyDescent="0.25">
      <c r="A2085">
        <v>601.23876953125</v>
      </c>
      <c r="B2085">
        <v>194.61660766601562</v>
      </c>
    </row>
    <row r="2086" spans="1:2" x14ac:dyDescent="0.25">
      <c r="A2086">
        <v>594.17108154296875</v>
      </c>
      <c r="B2086">
        <v>197.35841369628906</v>
      </c>
    </row>
    <row r="2087" spans="1:2" x14ac:dyDescent="0.25">
      <c r="A2087">
        <v>594.09564208984375</v>
      </c>
      <c r="B2087">
        <v>199.1539306640625</v>
      </c>
    </row>
    <row r="2088" spans="1:2" x14ac:dyDescent="0.25">
      <c r="A2088">
        <v>435.47171020507812</v>
      </c>
      <c r="B2088">
        <v>201.36787414550781</v>
      </c>
    </row>
    <row r="2089" spans="1:2" x14ac:dyDescent="0.25">
      <c r="A2089">
        <v>317.155517578125</v>
      </c>
      <c r="B2089">
        <v>199.32618713378906</v>
      </c>
    </row>
    <row r="2090" spans="1:2" x14ac:dyDescent="0.25">
      <c r="A2090">
        <v>242.54180908203125</v>
      </c>
      <c r="B2090">
        <v>199.27543640136719</v>
      </c>
    </row>
    <row r="2091" spans="1:2" x14ac:dyDescent="0.25">
      <c r="A2091">
        <v>249.53089904785156</v>
      </c>
      <c r="B2091">
        <v>204.2113037109375</v>
      </c>
    </row>
    <row r="2092" spans="1:2" x14ac:dyDescent="0.25">
      <c r="A2092">
        <v>251.56013488769531</v>
      </c>
      <c r="B2092">
        <v>203.40898132324219</v>
      </c>
    </row>
    <row r="2093" spans="1:2" x14ac:dyDescent="0.25">
      <c r="A2093">
        <v>251.34442138671875</v>
      </c>
      <c r="B2093">
        <v>236.63633728027344</v>
      </c>
    </row>
    <row r="2094" spans="1:2" x14ac:dyDescent="0.25">
      <c r="A2094">
        <v>251.9595947265625</v>
      </c>
      <c r="B2094">
        <v>267.59552001953125</v>
      </c>
    </row>
    <row r="2095" spans="1:2" x14ac:dyDescent="0.25">
      <c r="A2095">
        <v>254.05339050292969</v>
      </c>
      <c r="B2095">
        <v>356.79498291015625</v>
      </c>
    </row>
    <row r="2096" spans="1:2" x14ac:dyDescent="0.25">
      <c r="A2096">
        <v>260.38137817382812</v>
      </c>
      <c r="B2096">
        <v>435.73052978515625</v>
      </c>
    </row>
    <row r="2097" spans="1:2" x14ac:dyDescent="0.25">
      <c r="A2097">
        <v>257.06411743164062</v>
      </c>
      <c r="B2097">
        <v>484.62689208984375</v>
      </c>
    </row>
    <row r="2098" spans="1:2" x14ac:dyDescent="0.25">
      <c r="A2098">
        <v>295.948974609375</v>
      </c>
      <c r="B2098">
        <v>413.63986206054687</v>
      </c>
    </row>
    <row r="2099" spans="1:2" x14ac:dyDescent="0.25">
      <c r="A2099">
        <v>308.29290771484375</v>
      </c>
      <c r="B2099">
        <v>346.06759643554687</v>
      </c>
    </row>
    <row r="2100" spans="1:2" x14ac:dyDescent="0.25">
      <c r="A2100">
        <v>413.22808837890625</v>
      </c>
      <c r="B2100">
        <v>375.30218505859375</v>
      </c>
    </row>
    <row r="2101" spans="1:2" x14ac:dyDescent="0.25">
      <c r="A2101">
        <v>491.13540649414062</v>
      </c>
      <c r="B2101">
        <v>407.6868896484375</v>
      </c>
    </row>
    <row r="2102" spans="1:2" x14ac:dyDescent="0.25">
      <c r="A2102">
        <v>541.17730712890625</v>
      </c>
      <c r="B2102">
        <v>424.55026245117187</v>
      </c>
    </row>
    <row r="2103" spans="1:2" x14ac:dyDescent="0.25">
      <c r="A2103">
        <v>448.63839721679687</v>
      </c>
      <c r="B2103">
        <v>425.5955810546875</v>
      </c>
    </row>
    <row r="2104" spans="1:2" x14ac:dyDescent="0.25">
      <c r="A2104">
        <v>393.04937744140625</v>
      </c>
      <c r="B2104">
        <v>434.54632568359375</v>
      </c>
    </row>
    <row r="2105" spans="1:2" x14ac:dyDescent="0.25">
      <c r="A2105">
        <v>419.58090209960937</v>
      </c>
      <c r="B2105">
        <v>317.92401123046875</v>
      </c>
    </row>
    <row r="2106" spans="1:2" x14ac:dyDescent="0.25">
      <c r="A2106">
        <v>460.56884765625</v>
      </c>
      <c r="B2106">
        <v>302.63238525390625</v>
      </c>
    </row>
    <row r="2107" spans="1:2" x14ac:dyDescent="0.25">
      <c r="A2107">
        <v>473.70083618164062</v>
      </c>
      <c r="B2107">
        <v>300.58670043945313</v>
      </c>
    </row>
    <row r="2108" spans="1:2" x14ac:dyDescent="0.25">
      <c r="A2108">
        <v>473.90304565429687</v>
      </c>
      <c r="B2108">
        <v>316.73831176757812</v>
      </c>
    </row>
    <row r="2109" spans="1:2" x14ac:dyDescent="0.25">
      <c r="A2109">
        <v>469.60037231445312</v>
      </c>
      <c r="B2109">
        <v>301.13748168945312</v>
      </c>
    </row>
    <row r="2110" spans="1:2" x14ac:dyDescent="0.25">
      <c r="A2110">
        <v>351.50662231445312</v>
      </c>
      <c r="B2110">
        <v>300.2174072265625</v>
      </c>
    </row>
    <row r="2111" spans="1:2" x14ac:dyDescent="0.25">
      <c r="A2111">
        <v>340.78073120117187</v>
      </c>
      <c r="B2111">
        <v>301.82110595703125</v>
      </c>
    </row>
    <row r="2112" spans="1:2" x14ac:dyDescent="0.25">
      <c r="A2112">
        <v>342.81906127929687</v>
      </c>
      <c r="B2112">
        <v>299.82077026367187</v>
      </c>
    </row>
    <row r="2113" spans="1:2" x14ac:dyDescent="0.25">
      <c r="A2113">
        <v>366.4283447265625</v>
      </c>
      <c r="B2113">
        <v>334.05410766601562</v>
      </c>
    </row>
    <row r="2114" spans="1:2" x14ac:dyDescent="0.25">
      <c r="A2114">
        <v>351.47589111328125</v>
      </c>
      <c r="B2114">
        <v>350.33322143554687</v>
      </c>
    </row>
    <row r="2115" spans="1:2" x14ac:dyDescent="0.25">
      <c r="A2115">
        <v>352.50418090820312</v>
      </c>
      <c r="B2115">
        <v>365.08364868164062</v>
      </c>
    </row>
    <row r="2116" spans="1:2" x14ac:dyDescent="0.25">
      <c r="A2116">
        <v>349.68984985351562</v>
      </c>
      <c r="B2116">
        <v>338.90435791015625</v>
      </c>
    </row>
    <row r="2117" spans="1:2" x14ac:dyDescent="0.25">
      <c r="A2117">
        <v>344.72662353515625</v>
      </c>
      <c r="B2117">
        <v>436.7447509765625</v>
      </c>
    </row>
    <row r="2118" spans="1:2" x14ac:dyDescent="0.25">
      <c r="A2118">
        <v>391.748046875</v>
      </c>
      <c r="B2118">
        <v>493.97503662109375</v>
      </c>
    </row>
    <row r="2119" spans="1:2" x14ac:dyDescent="0.25">
      <c r="A2119">
        <v>411.63958740234375</v>
      </c>
      <c r="B2119">
        <v>445.34365844726562</v>
      </c>
    </row>
    <row r="2120" spans="1:2" x14ac:dyDescent="0.25">
      <c r="A2120">
        <v>426.648193359375</v>
      </c>
      <c r="B2120">
        <v>414.20834350585937</v>
      </c>
    </row>
    <row r="2121" spans="1:2" x14ac:dyDescent="0.25">
      <c r="A2121">
        <v>398.57171630859375</v>
      </c>
      <c r="B2121">
        <v>348.60992431640625</v>
      </c>
    </row>
    <row r="2122" spans="1:2" x14ac:dyDescent="0.25">
      <c r="A2122">
        <v>521.02447509765625</v>
      </c>
      <c r="B2122">
        <v>317.85153198242187</v>
      </c>
    </row>
    <row r="2123" spans="1:2" x14ac:dyDescent="0.25">
      <c r="A2123">
        <v>566.75384521484375</v>
      </c>
      <c r="B2123">
        <v>318.41873168945312</v>
      </c>
    </row>
    <row r="2124" spans="1:2" x14ac:dyDescent="0.25">
      <c r="A2124">
        <v>503.7310791015625</v>
      </c>
      <c r="B2124">
        <v>311.83587646484375</v>
      </c>
    </row>
    <row r="2125" spans="1:2" x14ac:dyDescent="0.25">
      <c r="A2125">
        <v>468.47341918945312</v>
      </c>
      <c r="B2125">
        <v>319.09197998046875</v>
      </c>
    </row>
    <row r="2126" spans="1:2" x14ac:dyDescent="0.25">
      <c r="A2126">
        <v>397.30886840820312</v>
      </c>
      <c r="B2126">
        <v>389.9622802734375</v>
      </c>
    </row>
    <row r="2127" spans="1:2" x14ac:dyDescent="0.25">
      <c r="A2127">
        <v>367.65267944335937</v>
      </c>
      <c r="B2127">
        <v>486.15908813476562</v>
      </c>
    </row>
    <row r="2128" spans="1:2" x14ac:dyDescent="0.25">
      <c r="A2128">
        <v>373.76602172851562</v>
      </c>
      <c r="B2128">
        <v>474.92025756835937</v>
      </c>
    </row>
    <row r="2129" spans="1:2" x14ac:dyDescent="0.25">
      <c r="A2129">
        <v>369.25833129882812</v>
      </c>
      <c r="B2129">
        <v>326.71633911132812</v>
      </c>
    </row>
    <row r="2130" spans="1:2" x14ac:dyDescent="0.25">
      <c r="A2130">
        <v>378.58645629882813</v>
      </c>
      <c r="B2130">
        <v>302.46792602539062</v>
      </c>
    </row>
    <row r="2131" spans="1:2" x14ac:dyDescent="0.25">
      <c r="A2131">
        <v>462.636962890625</v>
      </c>
      <c r="B2131">
        <v>305.51470947265625</v>
      </c>
    </row>
    <row r="2132" spans="1:2" x14ac:dyDescent="0.25">
      <c r="A2132">
        <v>573.38623046875</v>
      </c>
      <c r="B2132">
        <v>301.26339721679687</v>
      </c>
    </row>
    <row r="2133" spans="1:2" x14ac:dyDescent="0.25">
      <c r="A2133">
        <v>547.27056884765625</v>
      </c>
      <c r="B2133">
        <v>300.98947143554687</v>
      </c>
    </row>
    <row r="2134" spans="1:2" x14ac:dyDescent="0.25">
      <c r="A2134">
        <v>374.63308715820312</v>
      </c>
      <c r="B2134">
        <v>300.45758056640625</v>
      </c>
    </row>
    <row r="2135" spans="1:2" x14ac:dyDescent="0.25">
      <c r="A2135">
        <v>357.84219360351562</v>
      </c>
      <c r="B2135">
        <v>299.07614135742187</v>
      </c>
    </row>
    <row r="2136" spans="1:2" x14ac:dyDescent="0.25">
      <c r="A2136">
        <v>360.21234130859375</v>
      </c>
      <c r="B2136">
        <v>305.81256103515625</v>
      </c>
    </row>
    <row r="2137" spans="1:2" x14ac:dyDescent="0.25">
      <c r="A2137">
        <v>354.93914794921875</v>
      </c>
      <c r="B2137">
        <v>395.099609375</v>
      </c>
    </row>
    <row r="2138" spans="1:2" x14ac:dyDescent="0.25">
      <c r="A2138">
        <v>354.67941284179687</v>
      </c>
      <c r="B2138">
        <v>507.133544921875</v>
      </c>
    </row>
    <row r="2139" spans="1:2" x14ac:dyDescent="0.25">
      <c r="A2139">
        <v>352.75765991210937</v>
      </c>
      <c r="B2139">
        <v>509.64825439453125</v>
      </c>
    </row>
    <row r="2140" spans="1:2" x14ac:dyDescent="0.25">
      <c r="A2140">
        <v>350.5556640625</v>
      </c>
      <c r="B2140">
        <v>533.25262451171875</v>
      </c>
    </row>
    <row r="2141" spans="1:2" x14ac:dyDescent="0.25">
      <c r="A2141">
        <v>360.94451904296875</v>
      </c>
      <c r="B2141">
        <v>532.96417236328125</v>
      </c>
    </row>
    <row r="2142" spans="1:2" x14ac:dyDescent="0.25">
      <c r="A2142">
        <v>478.79574584960937</v>
      </c>
      <c r="B2142">
        <v>525.51483154296875</v>
      </c>
    </row>
    <row r="2143" spans="1:2" x14ac:dyDescent="0.25">
      <c r="A2143">
        <v>596.46746826171875</v>
      </c>
      <c r="B2143">
        <v>524.9346923828125</v>
      </c>
    </row>
    <row r="2144" spans="1:2" x14ac:dyDescent="0.25">
      <c r="A2144">
        <v>594.71881103515625</v>
      </c>
      <c r="B2144">
        <v>528.7586669921875</v>
      </c>
    </row>
    <row r="2145" spans="1:2" x14ac:dyDescent="0.25">
      <c r="A2145">
        <v>620.82806396484375</v>
      </c>
      <c r="B2145">
        <v>526.32275390625</v>
      </c>
    </row>
    <row r="2146" spans="1:2" x14ac:dyDescent="0.25">
      <c r="A2146">
        <v>616.52789306640625</v>
      </c>
      <c r="B2146">
        <v>513.46142578125</v>
      </c>
    </row>
    <row r="2147" spans="1:2" x14ac:dyDescent="0.25">
      <c r="A2147">
        <v>611.42974853515625</v>
      </c>
      <c r="B2147">
        <v>488.98422241210937</v>
      </c>
    </row>
    <row r="2148" spans="1:2" x14ac:dyDescent="0.25">
      <c r="A2148">
        <v>611.0689697265625</v>
      </c>
      <c r="B2148">
        <v>460.92367553710937</v>
      </c>
    </row>
    <row r="2149" spans="1:2" x14ac:dyDescent="0.25">
      <c r="A2149">
        <v>612.72296142578125</v>
      </c>
      <c r="B2149">
        <v>459.47662353515625</v>
      </c>
    </row>
    <row r="2150" spans="1:2" x14ac:dyDescent="0.25">
      <c r="A2150">
        <v>597.41265869140625</v>
      </c>
      <c r="B2150">
        <v>479.61395263671875</v>
      </c>
    </row>
    <row r="2151" spans="1:2" x14ac:dyDescent="0.25">
      <c r="A2151">
        <v>587.36785888671875</v>
      </c>
      <c r="B2151">
        <v>508.40505981445312</v>
      </c>
    </row>
    <row r="2152" spans="1:2" x14ac:dyDescent="0.25">
      <c r="A2152">
        <v>556.67144775390625</v>
      </c>
      <c r="B2152">
        <v>511.33721923828125</v>
      </c>
    </row>
    <row r="2153" spans="1:2" x14ac:dyDescent="0.25">
      <c r="A2153">
        <v>527.11767578125</v>
      </c>
      <c r="B2153">
        <v>408.608642578125</v>
      </c>
    </row>
    <row r="2154" spans="1:2" x14ac:dyDescent="0.25">
      <c r="A2154">
        <v>528.16259765625</v>
      </c>
      <c r="B2154">
        <v>313.130859375</v>
      </c>
    </row>
    <row r="2155" spans="1:2" x14ac:dyDescent="0.25">
      <c r="A2155">
        <v>548.36578369140625</v>
      </c>
      <c r="B2155">
        <v>305.83209228515625</v>
      </c>
    </row>
    <row r="2156" spans="1:2" x14ac:dyDescent="0.25">
      <c r="A2156">
        <v>586.1644287109375</v>
      </c>
      <c r="B2156">
        <v>301.16348266601562</v>
      </c>
    </row>
    <row r="2157" spans="1:2" x14ac:dyDescent="0.25">
      <c r="A2157">
        <v>580.46429443359375</v>
      </c>
      <c r="B2157">
        <v>299.61776733398438</v>
      </c>
    </row>
    <row r="2158" spans="1:2" x14ac:dyDescent="0.25">
      <c r="A2158">
        <v>452.38327026367187</v>
      </c>
      <c r="B2158">
        <v>300.0302734375</v>
      </c>
    </row>
    <row r="2159" spans="1:2" x14ac:dyDescent="0.25">
      <c r="A2159">
        <v>358.51571655273437</v>
      </c>
      <c r="B2159">
        <v>299.69015502929687</v>
      </c>
    </row>
    <row r="2160" spans="1:2" x14ac:dyDescent="0.25">
      <c r="A2160">
        <v>356.12551879882813</v>
      </c>
      <c r="B2160">
        <v>302.16708374023437</v>
      </c>
    </row>
    <row r="2161" spans="1:2" x14ac:dyDescent="0.25">
      <c r="A2161">
        <v>353.802978515625</v>
      </c>
      <c r="B2161">
        <v>329.33609008789063</v>
      </c>
    </row>
    <row r="2162" spans="1:2" x14ac:dyDescent="0.25">
      <c r="A2162">
        <v>355.44921875</v>
      </c>
      <c r="B2162">
        <v>317.54217529296875</v>
      </c>
    </row>
    <row r="2163" spans="1:2" x14ac:dyDescent="0.25">
      <c r="A2163">
        <v>355.149658203125</v>
      </c>
      <c r="B2163">
        <v>369.08209228515625</v>
      </c>
    </row>
    <row r="2164" spans="1:2" x14ac:dyDescent="0.25">
      <c r="A2164">
        <v>356.26300048828125</v>
      </c>
      <c r="B2164">
        <v>323.587890625</v>
      </c>
    </row>
    <row r="2165" spans="1:2" x14ac:dyDescent="0.25">
      <c r="A2165">
        <v>362.88973999023437</v>
      </c>
      <c r="B2165">
        <v>304.05770874023437</v>
      </c>
    </row>
    <row r="2166" spans="1:2" x14ac:dyDescent="0.25">
      <c r="A2166">
        <v>396.32546997070312</v>
      </c>
      <c r="B2166">
        <v>331.36380004882812</v>
      </c>
    </row>
    <row r="2167" spans="1:2" x14ac:dyDescent="0.25">
      <c r="A2167">
        <v>379.60931396484375</v>
      </c>
      <c r="B2167">
        <v>301.72091674804687</v>
      </c>
    </row>
    <row r="2168" spans="1:2" x14ac:dyDescent="0.25">
      <c r="A2168">
        <v>441.33074951171875</v>
      </c>
      <c r="B2168">
        <v>330.83837890625</v>
      </c>
    </row>
    <row r="2169" spans="1:2" x14ac:dyDescent="0.25">
      <c r="A2169">
        <v>378.4139404296875</v>
      </c>
      <c r="B2169">
        <v>312.61251831054687</v>
      </c>
    </row>
    <row r="2170" spans="1:2" x14ac:dyDescent="0.25">
      <c r="A2170">
        <v>367.8050537109375</v>
      </c>
      <c r="B2170">
        <v>298.21292114257812</v>
      </c>
    </row>
    <row r="2171" spans="1:2" x14ac:dyDescent="0.25">
      <c r="A2171">
        <v>391.00473022460937</v>
      </c>
      <c r="B2171">
        <v>300.47027587890625</v>
      </c>
    </row>
    <row r="2172" spans="1:2" x14ac:dyDescent="0.25">
      <c r="A2172">
        <v>359.56900024414062</v>
      </c>
      <c r="B2172">
        <v>299.6702880859375</v>
      </c>
    </row>
    <row r="2173" spans="1:2" x14ac:dyDescent="0.25">
      <c r="A2173">
        <v>396.04254150390625</v>
      </c>
      <c r="B2173">
        <v>302.65878295898437</v>
      </c>
    </row>
    <row r="2174" spans="1:2" x14ac:dyDescent="0.25">
      <c r="A2174">
        <v>371.56375122070312</v>
      </c>
      <c r="B2174">
        <v>290.46417236328125</v>
      </c>
    </row>
    <row r="2175" spans="1:2" x14ac:dyDescent="0.25">
      <c r="A2175">
        <v>354.56820678710937</v>
      </c>
      <c r="B2175">
        <v>250.53248596191406</v>
      </c>
    </row>
    <row r="2176" spans="1:2" x14ac:dyDescent="0.25">
      <c r="A2176">
        <v>354.1190185546875</v>
      </c>
      <c r="B2176">
        <v>226.28849792480469</v>
      </c>
    </row>
    <row r="2177" spans="1:2" x14ac:dyDescent="0.25">
      <c r="A2177">
        <v>354.26947021484375</v>
      </c>
      <c r="B2177">
        <v>200.51303100585937</v>
      </c>
    </row>
    <row r="2178" spans="1:2" x14ac:dyDescent="0.25">
      <c r="A2178">
        <v>356.093505859375</v>
      </c>
      <c r="B2178">
        <v>223.6273193359375</v>
      </c>
    </row>
    <row r="2179" spans="1:2" x14ac:dyDescent="0.25">
      <c r="A2179">
        <v>340.46630859375</v>
      </c>
      <c r="B2179">
        <v>225.13790893554687</v>
      </c>
    </row>
    <row r="2180" spans="1:2" x14ac:dyDescent="0.25">
      <c r="A2180">
        <v>291.66799926757812</v>
      </c>
      <c r="B2180">
        <v>223.00091552734375</v>
      </c>
    </row>
    <row r="2181" spans="1:2" x14ac:dyDescent="0.25">
      <c r="A2181">
        <v>265.34103393554687</v>
      </c>
      <c r="B2181">
        <v>222.27194213867187</v>
      </c>
    </row>
    <row r="2182" spans="1:2" x14ac:dyDescent="0.25">
      <c r="A2182">
        <v>242.09468078613281</v>
      </c>
      <c r="B2182">
        <v>222.45663452148437</v>
      </c>
    </row>
    <row r="2183" spans="1:2" x14ac:dyDescent="0.25">
      <c r="A2183">
        <v>268.68743896484375</v>
      </c>
      <c r="B2183">
        <v>222.42239379882812</v>
      </c>
    </row>
    <row r="2184" spans="1:2" x14ac:dyDescent="0.25">
      <c r="A2184">
        <v>266.69198608398437</v>
      </c>
      <c r="B2184">
        <v>223.27973937988281</v>
      </c>
    </row>
    <row r="2185" spans="1:2" x14ac:dyDescent="0.25">
      <c r="A2185">
        <v>263.04006958007813</v>
      </c>
      <c r="B2185">
        <v>225.90638732910156</v>
      </c>
    </row>
    <row r="2186" spans="1:2" x14ac:dyDescent="0.25">
      <c r="A2186">
        <v>262.04470825195312</v>
      </c>
      <c r="B2186">
        <v>307.41375732421875</v>
      </c>
    </row>
    <row r="2187" spans="1:2" x14ac:dyDescent="0.25">
      <c r="A2187">
        <v>261.09375</v>
      </c>
      <c r="B2187">
        <v>349.39068603515625</v>
      </c>
    </row>
    <row r="2188" spans="1:2" x14ac:dyDescent="0.25">
      <c r="A2188">
        <v>260.21182250976562</v>
      </c>
      <c r="B2188">
        <v>357.47860717773437</v>
      </c>
    </row>
    <row r="2189" spans="1:2" x14ac:dyDescent="0.25">
      <c r="A2189">
        <v>260.13723754882812</v>
      </c>
      <c r="B2189">
        <v>484.17190551757812</v>
      </c>
    </row>
    <row r="2190" spans="1:2" x14ac:dyDescent="0.25">
      <c r="A2190">
        <v>265.67330932617187</v>
      </c>
      <c r="B2190">
        <v>466.52191162109375</v>
      </c>
    </row>
    <row r="2191" spans="1:2" x14ac:dyDescent="0.25">
      <c r="A2191">
        <v>367.20693969726562</v>
      </c>
      <c r="B2191">
        <v>384.6273193359375</v>
      </c>
    </row>
    <row r="2192" spans="1:2" x14ac:dyDescent="0.25">
      <c r="A2192">
        <v>401.49163818359375</v>
      </c>
      <c r="B2192">
        <v>286.630126953125</v>
      </c>
    </row>
    <row r="2193" spans="1:2" x14ac:dyDescent="0.25">
      <c r="A2193">
        <v>423.56903076171875</v>
      </c>
      <c r="B2193">
        <v>293.66030883789062</v>
      </c>
    </row>
    <row r="2194" spans="1:2" x14ac:dyDescent="0.25">
      <c r="A2194">
        <v>552.9674072265625</v>
      </c>
      <c r="B2194">
        <v>314.18438720703125</v>
      </c>
    </row>
    <row r="2195" spans="1:2" x14ac:dyDescent="0.25">
      <c r="A2195">
        <v>515.78887939453125</v>
      </c>
      <c r="B2195">
        <v>293.21627807617187</v>
      </c>
    </row>
    <row r="2196" spans="1:2" x14ac:dyDescent="0.25">
      <c r="A2196">
        <v>424.89984130859375</v>
      </c>
      <c r="B2196">
        <v>327.55654907226562</v>
      </c>
    </row>
    <row r="2197" spans="1:2" x14ac:dyDescent="0.25">
      <c r="A2197">
        <v>322.89987182617187</v>
      </c>
      <c r="B2197">
        <v>353.68643188476562</v>
      </c>
    </row>
    <row r="2198" spans="1:2" x14ac:dyDescent="0.25">
      <c r="A2198">
        <v>328.09075927734375</v>
      </c>
      <c r="B2198">
        <v>291.55841064453125</v>
      </c>
    </row>
    <row r="2199" spans="1:2" x14ac:dyDescent="0.25">
      <c r="A2199">
        <v>355.44024658203125</v>
      </c>
      <c r="B2199">
        <v>320.18490600585937</v>
      </c>
    </row>
    <row r="2200" spans="1:2" x14ac:dyDescent="0.25">
      <c r="A2200">
        <v>325.9052734375</v>
      </c>
      <c r="B2200">
        <v>390.78515625</v>
      </c>
    </row>
    <row r="2201" spans="1:2" x14ac:dyDescent="0.25">
      <c r="A2201">
        <v>368.35800170898437</v>
      </c>
      <c r="B2201">
        <v>287.78494262695312</v>
      </c>
    </row>
    <row r="2202" spans="1:2" x14ac:dyDescent="0.25">
      <c r="A2202">
        <v>395.13589477539062</v>
      </c>
      <c r="B2202">
        <v>205.13897705078125</v>
      </c>
    </row>
    <row r="2203" spans="1:2" x14ac:dyDescent="0.25">
      <c r="A2203">
        <v>325.20053100585937</v>
      </c>
      <c r="B2203">
        <v>200.2169189453125</v>
      </c>
    </row>
    <row r="2204" spans="1:2" x14ac:dyDescent="0.25">
      <c r="A2204">
        <v>362.20806884765625</v>
      </c>
      <c r="B2204">
        <v>199.8062744140625</v>
      </c>
    </row>
    <row r="2205" spans="1:2" x14ac:dyDescent="0.25">
      <c r="A2205">
        <v>433.99697875976562</v>
      </c>
      <c r="B2205">
        <v>201.04490661621094</v>
      </c>
    </row>
    <row r="2206" spans="1:2" x14ac:dyDescent="0.25">
      <c r="A2206">
        <v>313.034423828125</v>
      </c>
      <c r="B2206">
        <v>202.31855773925781</v>
      </c>
    </row>
    <row r="2207" spans="1:2" x14ac:dyDescent="0.25">
      <c r="A2207">
        <v>236.99775695800781</v>
      </c>
      <c r="B2207">
        <v>201.44187927246094</v>
      </c>
    </row>
    <row r="2208" spans="1:2" x14ac:dyDescent="0.25">
      <c r="A2208">
        <v>239.3253173828125</v>
      </c>
      <c r="B2208">
        <v>202.18901062011719</v>
      </c>
    </row>
    <row r="2209" spans="1:2" x14ac:dyDescent="0.25">
      <c r="A2209">
        <v>244.52409362792969</v>
      </c>
      <c r="B2209">
        <v>207.37066650390625</v>
      </c>
    </row>
    <row r="2210" spans="1:2" x14ac:dyDescent="0.25">
      <c r="A2210">
        <v>249.19419860839844</v>
      </c>
      <c r="B2210">
        <v>218.87052917480469</v>
      </c>
    </row>
    <row r="2211" spans="1:2" x14ac:dyDescent="0.25">
      <c r="A2211">
        <v>250.14179992675781</v>
      </c>
      <c r="B2211">
        <v>211.45329284667969</v>
      </c>
    </row>
    <row r="2212" spans="1:2" x14ac:dyDescent="0.25">
      <c r="A2212">
        <v>250.92483520507812</v>
      </c>
      <c r="B2212">
        <v>234.14801025390625</v>
      </c>
    </row>
    <row r="2213" spans="1:2" x14ac:dyDescent="0.25">
      <c r="A2213">
        <v>252.69087219238281</v>
      </c>
      <c r="B2213">
        <v>340.574462890625</v>
      </c>
    </row>
    <row r="2214" spans="1:2" x14ac:dyDescent="0.25">
      <c r="A2214">
        <v>255.00221252441406</v>
      </c>
      <c r="B2214">
        <v>398.43014526367187</v>
      </c>
    </row>
    <row r="2215" spans="1:2" x14ac:dyDescent="0.25">
      <c r="A2215">
        <v>259.54644775390625</v>
      </c>
      <c r="B2215">
        <v>384.08642578125</v>
      </c>
    </row>
    <row r="2216" spans="1:2" x14ac:dyDescent="0.25">
      <c r="A2216">
        <v>243.65773010253906</v>
      </c>
      <c r="B2216">
        <v>406.18478393554687</v>
      </c>
    </row>
    <row r="2217" spans="1:2" x14ac:dyDescent="0.25">
      <c r="A2217">
        <v>268.43154907226562</v>
      </c>
      <c r="B2217">
        <v>304.57650756835937</v>
      </c>
    </row>
    <row r="2218" spans="1:2" x14ac:dyDescent="0.25">
      <c r="A2218">
        <v>383.44473266601562</v>
      </c>
      <c r="B2218">
        <v>240.89549255371094</v>
      </c>
    </row>
    <row r="2219" spans="1:2" x14ac:dyDescent="0.25">
      <c r="A2219">
        <v>435.63119506835937</v>
      </c>
      <c r="B2219">
        <v>216.25186157226562</v>
      </c>
    </row>
    <row r="2220" spans="1:2" x14ac:dyDescent="0.25">
      <c r="A2220">
        <v>429.850341796875</v>
      </c>
      <c r="B2220">
        <v>200.53753662109375</v>
      </c>
    </row>
    <row r="2221" spans="1:2" x14ac:dyDescent="0.25">
      <c r="A2221">
        <v>444.63067626953125</v>
      </c>
      <c r="B2221">
        <v>206.59895324707031</v>
      </c>
    </row>
    <row r="2222" spans="1:2" x14ac:dyDescent="0.25">
      <c r="A2222">
        <v>331.85498046875</v>
      </c>
      <c r="B2222">
        <v>213.58354187011719</v>
      </c>
    </row>
    <row r="2223" spans="1:2" x14ac:dyDescent="0.25">
      <c r="A2223">
        <v>263.21859741210937</v>
      </c>
      <c r="B2223">
        <v>260.674072265625</v>
      </c>
    </row>
    <row r="2224" spans="1:2" x14ac:dyDescent="0.25">
      <c r="A2224">
        <v>241.31021118164062</v>
      </c>
      <c r="B2224">
        <v>384.31964111328125</v>
      </c>
    </row>
    <row r="2225" spans="1:2" x14ac:dyDescent="0.25">
      <c r="A2225">
        <v>231.25813293457031</v>
      </c>
      <c r="B2225">
        <v>345.46273803710937</v>
      </c>
    </row>
    <row r="2226" spans="1:2" x14ac:dyDescent="0.25">
      <c r="A2226">
        <v>246.45500183105469</v>
      </c>
      <c r="B2226">
        <v>278.04525756835937</v>
      </c>
    </row>
    <row r="2227" spans="1:2" x14ac:dyDescent="0.25">
      <c r="A2227">
        <v>254.55418395996094</v>
      </c>
      <c r="B2227">
        <v>234.3175048828125</v>
      </c>
    </row>
    <row r="2228" spans="1:2" x14ac:dyDescent="0.25">
      <c r="A2228">
        <v>318.676513671875</v>
      </c>
      <c r="B2228">
        <v>219.85173034667969</v>
      </c>
    </row>
    <row r="2229" spans="1:2" x14ac:dyDescent="0.25">
      <c r="A2229">
        <v>449.63824462890625</v>
      </c>
      <c r="B2229">
        <v>206.50311279296875</v>
      </c>
    </row>
    <row r="2230" spans="1:2" x14ac:dyDescent="0.25">
      <c r="A2230">
        <v>396.62057495117187</v>
      </c>
      <c r="B2230">
        <v>205.85452270507812</v>
      </c>
    </row>
    <row r="2231" spans="1:2" x14ac:dyDescent="0.25">
      <c r="A2231">
        <v>322.9781494140625</v>
      </c>
      <c r="B2231">
        <v>206.14167785644531</v>
      </c>
    </row>
    <row r="2232" spans="1:2" x14ac:dyDescent="0.25">
      <c r="A2232">
        <v>276.64456176757812</v>
      </c>
      <c r="B2232">
        <v>210.00038146972656</v>
      </c>
    </row>
    <row r="2233" spans="1:2" x14ac:dyDescent="0.25">
      <c r="A2233">
        <v>260.60452270507812</v>
      </c>
      <c r="B2233">
        <v>266.90252685546875</v>
      </c>
    </row>
    <row r="2234" spans="1:2" x14ac:dyDescent="0.25">
      <c r="A2234">
        <v>248.86343383789062</v>
      </c>
      <c r="B2234">
        <v>392.16110229492187</v>
      </c>
    </row>
    <row r="2235" spans="1:2" x14ac:dyDescent="0.25">
      <c r="A2235">
        <v>248.92926025390625</v>
      </c>
      <c r="B2235">
        <v>412.82415771484375</v>
      </c>
    </row>
    <row r="2236" spans="1:2" x14ac:dyDescent="0.25">
      <c r="A2236">
        <v>247.76779174804687</v>
      </c>
      <c r="B2236">
        <v>493.602294921875</v>
      </c>
    </row>
    <row r="2237" spans="1:2" x14ac:dyDescent="0.25">
      <c r="A2237">
        <v>253.42340087890625</v>
      </c>
      <c r="B2237">
        <v>518.847900390625</v>
      </c>
    </row>
    <row r="2238" spans="1:2" x14ac:dyDescent="0.25">
      <c r="A2238">
        <v>326.69039916992187</v>
      </c>
      <c r="B2238">
        <v>505.37820434570312</v>
      </c>
    </row>
    <row r="2239" spans="1:2" x14ac:dyDescent="0.25">
      <c r="A2239">
        <v>459.45791625976562</v>
      </c>
      <c r="B2239">
        <v>487.970947265625</v>
      </c>
    </row>
    <row r="2240" spans="1:2" x14ac:dyDescent="0.25">
      <c r="A2240">
        <v>470.92584228515625</v>
      </c>
      <c r="B2240">
        <v>423.36334228515625</v>
      </c>
    </row>
    <row r="2241" spans="1:2" x14ac:dyDescent="0.25">
      <c r="A2241">
        <v>561.50823974609375</v>
      </c>
      <c r="B2241">
        <v>264.4661865234375</v>
      </c>
    </row>
    <row r="2242" spans="1:2" x14ac:dyDescent="0.25">
      <c r="A2242">
        <v>586.93328857421875</v>
      </c>
      <c r="B2242">
        <v>208.04035949707031</v>
      </c>
    </row>
    <row r="2243" spans="1:2" x14ac:dyDescent="0.25">
      <c r="A2243">
        <v>570.22039794921875</v>
      </c>
      <c r="B2243">
        <v>201.21197509765625</v>
      </c>
    </row>
    <row r="2244" spans="1:2" x14ac:dyDescent="0.25">
      <c r="A2244">
        <v>549.20904541015625</v>
      </c>
      <c r="B2244">
        <v>215.83001708984375</v>
      </c>
    </row>
    <row r="2245" spans="1:2" x14ac:dyDescent="0.25">
      <c r="A2245">
        <v>468.7755126953125</v>
      </c>
      <c r="B2245">
        <v>213.15963745117187</v>
      </c>
    </row>
    <row r="2246" spans="1:2" x14ac:dyDescent="0.25">
      <c r="A2246">
        <v>297.58587646484375</v>
      </c>
      <c r="B2246">
        <v>211.04206848144531</v>
      </c>
    </row>
    <row r="2247" spans="1:2" x14ac:dyDescent="0.25">
      <c r="A2247">
        <v>247.35395812988281</v>
      </c>
      <c r="B2247">
        <v>252.25337219238281</v>
      </c>
    </row>
    <row r="2248" spans="1:2" x14ac:dyDescent="0.25">
      <c r="A2248">
        <v>241.49301147460937</v>
      </c>
      <c r="B2248">
        <v>267.72244262695312</v>
      </c>
    </row>
    <row r="2249" spans="1:2" x14ac:dyDescent="0.25">
      <c r="A2249">
        <v>255.46015930175781</v>
      </c>
      <c r="B2249">
        <v>210.37861633300781</v>
      </c>
    </row>
    <row r="2250" spans="1:2" x14ac:dyDescent="0.25">
      <c r="A2250">
        <v>247.22959899902344</v>
      </c>
      <c r="B2250">
        <v>200.89767456054687</v>
      </c>
    </row>
    <row r="2251" spans="1:2" x14ac:dyDescent="0.25">
      <c r="A2251">
        <v>244.23782348632812</v>
      </c>
      <c r="B2251">
        <v>214.63348388671875</v>
      </c>
    </row>
    <row r="2252" spans="1:2" x14ac:dyDescent="0.25">
      <c r="A2252">
        <v>294.62326049804687</v>
      </c>
      <c r="B2252">
        <v>201.30137634277344</v>
      </c>
    </row>
    <row r="2253" spans="1:2" x14ac:dyDescent="0.25">
      <c r="A2253">
        <v>296.91976928710937</v>
      </c>
      <c r="B2253">
        <v>201.06845092773437</v>
      </c>
    </row>
    <row r="2254" spans="1:2" x14ac:dyDescent="0.25">
      <c r="A2254">
        <v>245.86216735839844</v>
      </c>
      <c r="B2254">
        <v>200.83807373046875</v>
      </c>
    </row>
    <row r="2255" spans="1:2" x14ac:dyDescent="0.25">
      <c r="A2255">
        <v>241.15299987792969</v>
      </c>
      <c r="B2255">
        <v>201.49380493164062</v>
      </c>
    </row>
    <row r="2256" spans="1:2" x14ac:dyDescent="0.25">
      <c r="A2256">
        <v>254.11912536621094</v>
      </c>
      <c r="B2256">
        <v>201.761962890625</v>
      </c>
    </row>
    <row r="2257" spans="1:2" x14ac:dyDescent="0.25">
      <c r="A2257">
        <v>238.81149291992187</v>
      </c>
      <c r="B2257">
        <v>202.48826599121094</v>
      </c>
    </row>
    <row r="2258" spans="1:2" x14ac:dyDescent="0.25">
      <c r="A2258">
        <v>239.7412109375</v>
      </c>
      <c r="B2258">
        <v>208.82815551757812</v>
      </c>
    </row>
    <row r="2259" spans="1:2" x14ac:dyDescent="0.25">
      <c r="A2259">
        <v>241.67922973632812</v>
      </c>
      <c r="B2259">
        <v>201.03439331054687</v>
      </c>
    </row>
    <row r="2260" spans="1:2" x14ac:dyDescent="0.25">
      <c r="A2260">
        <v>243.84156799316406</v>
      </c>
      <c r="B2260">
        <v>216.11195373535156</v>
      </c>
    </row>
    <row r="2261" spans="1:2" x14ac:dyDescent="0.25">
      <c r="A2261">
        <v>245.07337951660156</v>
      </c>
      <c r="B2261">
        <v>217.49751281738281</v>
      </c>
    </row>
    <row r="2262" spans="1:2" x14ac:dyDescent="0.25">
      <c r="A2262">
        <v>245.31185913085937</v>
      </c>
      <c r="B2262">
        <v>206.78913879394531</v>
      </c>
    </row>
    <row r="2263" spans="1:2" x14ac:dyDescent="0.25">
      <c r="A2263">
        <v>252.71548461914062</v>
      </c>
      <c r="B2263">
        <v>207.41873168945312</v>
      </c>
    </row>
    <row r="2264" spans="1:2" x14ac:dyDescent="0.25">
      <c r="A2264">
        <v>245.69578552246094</v>
      </c>
      <c r="B2264">
        <v>205.02145385742187</v>
      </c>
    </row>
    <row r="2265" spans="1:2" x14ac:dyDescent="0.25">
      <c r="A2265">
        <v>262.07516479492187</v>
      </c>
      <c r="B2265">
        <v>200.82423400878906</v>
      </c>
    </row>
    <row r="2266" spans="1:2" x14ac:dyDescent="0.25">
      <c r="A2266">
        <v>261.999267578125</v>
      </c>
      <c r="B2266">
        <v>200.33415222167969</v>
      </c>
    </row>
    <row r="2267" spans="1:2" x14ac:dyDescent="0.25">
      <c r="A2267">
        <v>251.2100830078125</v>
      </c>
      <c r="B2267">
        <v>200.96702575683594</v>
      </c>
    </row>
    <row r="2268" spans="1:2" x14ac:dyDescent="0.25">
      <c r="A2268">
        <v>247.86642456054687</v>
      </c>
      <c r="B2268">
        <v>201.6358642578125</v>
      </c>
    </row>
    <row r="2269" spans="1:2" x14ac:dyDescent="0.25">
      <c r="A2269">
        <v>244.43925476074219</v>
      </c>
      <c r="B2269">
        <v>201.52015686035156</v>
      </c>
    </row>
    <row r="2270" spans="1:2" x14ac:dyDescent="0.25">
      <c r="A2270">
        <v>241.02204895019531</v>
      </c>
      <c r="B2270">
        <v>207.60307312011719</v>
      </c>
    </row>
    <row r="2271" spans="1:2" x14ac:dyDescent="0.25">
      <c r="A2271">
        <v>244.92314147949219</v>
      </c>
      <c r="B2271">
        <v>224.34698486328125</v>
      </c>
    </row>
    <row r="2272" spans="1:2" x14ac:dyDescent="0.25">
      <c r="A2272">
        <v>246.66806030273437</v>
      </c>
      <c r="B2272">
        <v>235.71437072753906</v>
      </c>
    </row>
    <row r="2273" spans="1:2" x14ac:dyDescent="0.25">
      <c r="A2273">
        <v>247.54083251953125</v>
      </c>
      <c r="B2273">
        <v>202.98832702636719</v>
      </c>
    </row>
    <row r="2274" spans="1:2" x14ac:dyDescent="0.25">
      <c r="A2274">
        <v>247.523193359375</v>
      </c>
      <c r="B2274">
        <v>205.30926513671875</v>
      </c>
    </row>
    <row r="2275" spans="1:2" x14ac:dyDescent="0.25">
      <c r="A2275">
        <v>254.02635192871094</v>
      </c>
      <c r="B2275">
        <v>205.53436279296875</v>
      </c>
    </row>
    <row r="2276" spans="1:2" x14ac:dyDescent="0.25">
      <c r="A2276">
        <v>276.89840698242187</v>
      </c>
      <c r="B2276">
        <v>203.24118041992187</v>
      </c>
    </row>
    <row r="2277" spans="1:2" x14ac:dyDescent="0.25">
      <c r="A2277">
        <v>279.02285766601562</v>
      </c>
      <c r="B2277">
        <v>202.47740173339844</v>
      </c>
    </row>
    <row r="2278" spans="1:2" x14ac:dyDescent="0.25">
      <c r="A2278">
        <v>249.0526123046875</v>
      </c>
      <c r="B2278">
        <v>202.74627685546875</v>
      </c>
    </row>
    <row r="2279" spans="1:2" x14ac:dyDescent="0.25">
      <c r="A2279">
        <v>253.20681762695312</v>
      </c>
      <c r="B2279">
        <v>202.82786560058594</v>
      </c>
    </row>
    <row r="2280" spans="1:2" x14ac:dyDescent="0.25">
      <c r="A2280">
        <v>256.13372802734375</v>
      </c>
      <c r="B2280">
        <v>206.23715209960937</v>
      </c>
    </row>
    <row r="2281" spans="1:2" x14ac:dyDescent="0.25">
      <c r="A2281">
        <v>252.78585815429687</v>
      </c>
      <c r="B2281">
        <v>230.59068298339844</v>
      </c>
    </row>
    <row r="2282" spans="1:2" x14ac:dyDescent="0.25">
      <c r="A2282">
        <v>252.46647644042969</v>
      </c>
      <c r="B2282">
        <v>323.18609619140625</v>
      </c>
    </row>
    <row r="2283" spans="1:2" x14ac:dyDescent="0.25">
      <c r="A2283">
        <v>253.659423828125</v>
      </c>
      <c r="B2283">
        <v>406.61358642578125</v>
      </c>
    </row>
    <row r="2284" spans="1:2" x14ac:dyDescent="0.25">
      <c r="A2284">
        <v>253.01551818847656</v>
      </c>
      <c r="B2284">
        <v>507.25625610351562</v>
      </c>
    </row>
    <row r="2285" spans="1:2" x14ac:dyDescent="0.25">
      <c r="A2285">
        <v>257.83734130859375</v>
      </c>
      <c r="B2285">
        <v>521.6517333984375</v>
      </c>
    </row>
    <row r="2286" spans="1:2" x14ac:dyDescent="0.25">
      <c r="A2286">
        <v>290.90762329101563</v>
      </c>
      <c r="B2286">
        <v>516.68841552734375</v>
      </c>
    </row>
    <row r="2287" spans="1:2" x14ac:dyDescent="0.25">
      <c r="A2287">
        <v>402.32315063476562</v>
      </c>
      <c r="B2287">
        <v>514.54815673828125</v>
      </c>
    </row>
    <row r="2288" spans="1:2" x14ac:dyDescent="0.25">
      <c r="A2288">
        <v>489.87774658203125</v>
      </c>
      <c r="B2288">
        <v>507.70584106445312</v>
      </c>
    </row>
    <row r="2289" spans="1:2" x14ac:dyDescent="0.25">
      <c r="A2289">
        <v>600.89013671875</v>
      </c>
      <c r="B2289">
        <v>510.10049438476562</v>
      </c>
    </row>
    <row r="2290" spans="1:2" x14ac:dyDescent="0.25">
      <c r="A2290">
        <v>610.71710205078125</v>
      </c>
      <c r="B2290">
        <v>477.23724365234375</v>
      </c>
    </row>
    <row r="2291" spans="1:2" x14ac:dyDescent="0.25">
      <c r="A2291">
        <v>594.53778076171875</v>
      </c>
      <c r="B2291">
        <v>436.9505615234375</v>
      </c>
    </row>
    <row r="2292" spans="1:2" x14ac:dyDescent="0.25">
      <c r="A2292">
        <v>584.08636474609375</v>
      </c>
      <c r="B2292">
        <v>335.06976318359375</v>
      </c>
    </row>
    <row r="2293" spans="1:2" x14ac:dyDescent="0.25">
      <c r="A2293">
        <v>580.4652099609375</v>
      </c>
      <c r="B2293">
        <v>394.35650634765625</v>
      </c>
    </row>
    <row r="2294" spans="1:2" x14ac:dyDescent="0.25">
      <c r="A2294">
        <v>589.3167724609375</v>
      </c>
      <c r="B2294">
        <v>465.39468383789062</v>
      </c>
    </row>
    <row r="2295" spans="1:2" x14ac:dyDescent="0.25">
      <c r="A2295">
        <v>542.23614501953125</v>
      </c>
      <c r="B2295">
        <v>456.63833618164062</v>
      </c>
    </row>
    <row r="2296" spans="1:2" x14ac:dyDescent="0.25">
      <c r="A2296">
        <v>485.36422729492187</v>
      </c>
      <c r="B2296">
        <v>471.48223876953125</v>
      </c>
    </row>
    <row r="2297" spans="1:2" x14ac:dyDescent="0.25">
      <c r="A2297">
        <v>374.87640380859375</v>
      </c>
      <c r="B2297">
        <v>363.87826538085937</v>
      </c>
    </row>
    <row r="2298" spans="1:2" x14ac:dyDescent="0.25">
      <c r="A2298">
        <v>448.16802978515625</v>
      </c>
      <c r="B2298">
        <v>248.30030822753906</v>
      </c>
    </row>
    <row r="2299" spans="1:2" x14ac:dyDescent="0.25">
      <c r="A2299">
        <v>517.791015625</v>
      </c>
      <c r="B2299">
        <v>206.52529907226562</v>
      </c>
    </row>
    <row r="2300" spans="1:2" x14ac:dyDescent="0.25">
      <c r="A2300">
        <v>512.09619140625</v>
      </c>
      <c r="B2300">
        <v>199.94842529296875</v>
      </c>
    </row>
    <row r="2301" spans="1:2" x14ac:dyDescent="0.25">
      <c r="A2301">
        <v>523.858642578125</v>
      </c>
      <c r="B2301">
        <v>201.36100769042969</v>
      </c>
    </row>
    <row r="2302" spans="1:2" x14ac:dyDescent="0.25">
      <c r="A2302">
        <v>407.781494140625</v>
      </c>
      <c r="B2302">
        <v>201.7413330078125</v>
      </c>
    </row>
    <row r="2303" spans="1:2" x14ac:dyDescent="0.25">
      <c r="A2303">
        <v>285.23977661132812</v>
      </c>
      <c r="B2303">
        <v>201.96748352050781</v>
      </c>
    </row>
    <row r="2304" spans="1:2" x14ac:dyDescent="0.25">
      <c r="A2304">
        <v>247.90150451660156</v>
      </c>
      <c r="B2304">
        <v>208.41342163085937</v>
      </c>
    </row>
    <row r="2305" spans="1:2" x14ac:dyDescent="0.25">
      <c r="A2305">
        <v>244.83572387695312</v>
      </c>
      <c r="B2305">
        <v>262.02279663085937</v>
      </c>
    </row>
    <row r="2306" spans="1:2" x14ac:dyDescent="0.25">
      <c r="A2306">
        <v>246.75108337402344</v>
      </c>
      <c r="B2306">
        <v>371.08578491210937</v>
      </c>
    </row>
    <row r="2307" spans="1:2" x14ac:dyDescent="0.25">
      <c r="A2307">
        <v>247.6669921875</v>
      </c>
      <c r="B2307">
        <v>478.92056274414062</v>
      </c>
    </row>
    <row r="2308" spans="1:2" x14ac:dyDescent="0.25">
      <c r="A2308">
        <v>249.36412048339844</v>
      </c>
      <c r="B2308">
        <v>520.3284912109375</v>
      </c>
    </row>
    <row r="2309" spans="1:2" x14ac:dyDescent="0.25">
      <c r="A2309">
        <v>256.64517211914062</v>
      </c>
      <c r="B2309">
        <v>501.84323120117187</v>
      </c>
    </row>
    <row r="2310" spans="1:2" x14ac:dyDescent="0.25">
      <c r="A2310">
        <v>317.81524658203125</v>
      </c>
      <c r="B2310">
        <v>484.27154541015625</v>
      </c>
    </row>
    <row r="2311" spans="1:2" x14ac:dyDescent="0.25">
      <c r="A2311">
        <v>427.08795166015625</v>
      </c>
      <c r="B2311">
        <v>469.316650390625</v>
      </c>
    </row>
    <row r="2312" spans="1:2" x14ac:dyDescent="0.25">
      <c r="A2312">
        <v>560.5089111328125</v>
      </c>
      <c r="B2312">
        <v>484.7496337890625</v>
      </c>
    </row>
    <row r="2313" spans="1:2" x14ac:dyDescent="0.25">
      <c r="A2313">
        <v>602.74462890625</v>
      </c>
      <c r="B2313">
        <v>517.46661376953125</v>
      </c>
    </row>
    <row r="2314" spans="1:2" x14ac:dyDescent="0.25">
      <c r="A2314">
        <v>577.1953125</v>
      </c>
      <c r="B2314">
        <v>476.04547119140625</v>
      </c>
    </row>
    <row r="2315" spans="1:2" x14ac:dyDescent="0.25">
      <c r="A2315">
        <v>552.6917724609375</v>
      </c>
      <c r="B2315">
        <v>462.77899169921875</v>
      </c>
    </row>
    <row r="2316" spans="1:2" x14ac:dyDescent="0.25">
      <c r="A2316">
        <v>533.88397216796875</v>
      </c>
      <c r="B2316">
        <v>459.08438110351562</v>
      </c>
    </row>
    <row r="2317" spans="1:2" x14ac:dyDescent="0.25">
      <c r="A2317">
        <v>557.60247802734375</v>
      </c>
      <c r="B2317">
        <v>484.80374145507812</v>
      </c>
    </row>
    <row r="2318" spans="1:2" x14ac:dyDescent="0.25">
      <c r="A2318">
        <v>588.226318359375</v>
      </c>
      <c r="B2318">
        <v>500.97320556640625</v>
      </c>
    </row>
    <row r="2319" spans="1:2" x14ac:dyDescent="0.25">
      <c r="A2319">
        <v>539.77801513671875</v>
      </c>
      <c r="B2319">
        <v>510.51708984375</v>
      </c>
    </row>
    <row r="2320" spans="1:2" x14ac:dyDescent="0.25">
      <c r="A2320">
        <v>525.5135498046875</v>
      </c>
      <c r="B2320">
        <v>496.52688598632812</v>
      </c>
    </row>
    <row r="2321" spans="1:2" x14ac:dyDescent="0.25">
      <c r="A2321">
        <v>518.73626708984375</v>
      </c>
      <c r="B2321">
        <v>477.97970581054687</v>
      </c>
    </row>
    <row r="2322" spans="1:2" x14ac:dyDescent="0.25">
      <c r="A2322">
        <v>549.6937255859375</v>
      </c>
      <c r="B2322">
        <v>353.11691284179687</v>
      </c>
    </row>
    <row r="2323" spans="1:2" x14ac:dyDescent="0.25">
      <c r="A2323">
        <v>567.96575927734375</v>
      </c>
      <c r="B2323">
        <v>237.89070129394531</v>
      </c>
    </row>
    <row r="2324" spans="1:2" x14ac:dyDescent="0.25">
      <c r="A2324">
        <v>577.9688720703125</v>
      </c>
      <c r="B2324">
        <v>204.92707824707031</v>
      </c>
    </row>
    <row r="2325" spans="1:2" x14ac:dyDescent="0.25">
      <c r="A2325">
        <v>552.46221923828125</v>
      </c>
      <c r="B2325">
        <v>201.17835998535156</v>
      </c>
    </row>
    <row r="2326" spans="1:2" x14ac:dyDescent="0.25">
      <c r="A2326">
        <v>534.08544921875</v>
      </c>
      <c r="B2326">
        <v>202.52574157714844</v>
      </c>
    </row>
    <row r="2327" spans="1:2" x14ac:dyDescent="0.25">
      <c r="A2327">
        <v>399.9884033203125</v>
      </c>
      <c r="B2327">
        <v>201.78573608398437</v>
      </c>
    </row>
    <row r="2328" spans="1:2" x14ac:dyDescent="0.25">
      <c r="A2328">
        <v>281.65301513671875</v>
      </c>
      <c r="B2328">
        <v>212.08078002929687</v>
      </c>
    </row>
    <row r="2329" spans="1:2" x14ac:dyDescent="0.25">
      <c r="A2329">
        <v>253.11050415039062</v>
      </c>
      <c r="B2329">
        <v>247.50608825683594</v>
      </c>
    </row>
    <row r="2330" spans="1:2" x14ac:dyDescent="0.25">
      <c r="A2330">
        <v>250.13935852050781</v>
      </c>
      <c r="B2330">
        <v>410.85665893554687</v>
      </c>
    </row>
    <row r="2331" spans="1:2" x14ac:dyDescent="0.25">
      <c r="A2331">
        <v>251.19760131835937</v>
      </c>
      <c r="B2331">
        <v>526.9713134765625</v>
      </c>
    </row>
    <row r="2332" spans="1:2" x14ac:dyDescent="0.25">
      <c r="A2332">
        <v>251.39572143554687</v>
      </c>
      <c r="B2332">
        <v>533.7889404296875</v>
      </c>
    </row>
    <row r="2333" spans="1:2" x14ac:dyDescent="0.25">
      <c r="A2333">
        <v>263.59423828125</v>
      </c>
      <c r="B2333">
        <v>526.71087646484375</v>
      </c>
    </row>
    <row r="2334" spans="1:2" x14ac:dyDescent="0.25">
      <c r="A2334">
        <v>314.58551025390625</v>
      </c>
      <c r="B2334">
        <v>529.43304443359375</v>
      </c>
    </row>
    <row r="2335" spans="1:2" x14ac:dyDescent="0.25">
      <c r="A2335">
        <v>505.8355712890625</v>
      </c>
      <c r="B2335">
        <v>526.93170166015625</v>
      </c>
    </row>
    <row r="2336" spans="1:2" x14ac:dyDescent="0.25">
      <c r="A2336">
        <v>635.7283935546875</v>
      </c>
      <c r="B2336">
        <v>529.88555908203125</v>
      </c>
    </row>
    <row r="2337" spans="1:2" x14ac:dyDescent="0.25">
      <c r="A2337">
        <v>640.8358154296875</v>
      </c>
      <c r="B2337">
        <v>530.5084228515625</v>
      </c>
    </row>
    <row r="2338" spans="1:2" x14ac:dyDescent="0.25">
      <c r="A2338">
        <v>629.66790771484375</v>
      </c>
      <c r="B2338">
        <v>528.8917236328125</v>
      </c>
    </row>
    <row r="2339" spans="1:2" x14ac:dyDescent="0.25">
      <c r="A2339">
        <v>631.16265869140625</v>
      </c>
      <c r="B2339">
        <v>531.2950439453125</v>
      </c>
    </row>
    <row r="2340" spans="1:2" x14ac:dyDescent="0.25">
      <c r="A2340">
        <v>627.77630615234375</v>
      </c>
      <c r="B2340">
        <v>519.3533935546875</v>
      </c>
    </row>
    <row r="2341" spans="1:2" x14ac:dyDescent="0.25">
      <c r="A2341">
        <v>632.67315673828125</v>
      </c>
      <c r="B2341">
        <v>502.92962646484375</v>
      </c>
    </row>
    <row r="2342" spans="1:2" x14ac:dyDescent="0.25">
      <c r="A2342">
        <v>633.306884765625</v>
      </c>
      <c r="B2342">
        <v>475.90545654296875</v>
      </c>
    </row>
    <row r="2343" spans="1:2" x14ac:dyDescent="0.25">
      <c r="A2343">
        <v>620.07177734375</v>
      </c>
      <c r="B2343">
        <v>489.4415283203125</v>
      </c>
    </row>
    <row r="2344" spans="1:2" x14ac:dyDescent="0.25">
      <c r="A2344">
        <v>624.91094970703125</v>
      </c>
      <c r="B2344">
        <v>521.68780517578125</v>
      </c>
    </row>
    <row r="2345" spans="1:2" x14ac:dyDescent="0.25">
      <c r="A2345">
        <v>607.84991455078125</v>
      </c>
      <c r="B2345">
        <v>481.86373901367187</v>
      </c>
    </row>
    <row r="2346" spans="1:2" x14ac:dyDescent="0.25">
      <c r="A2346">
        <v>588.276611328125</v>
      </c>
      <c r="B2346">
        <v>381.10223388671875</v>
      </c>
    </row>
    <row r="2347" spans="1:2" x14ac:dyDescent="0.25">
      <c r="A2347">
        <v>560.8016357421875</v>
      </c>
      <c r="B2347">
        <v>280.4610595703125</v>
      </c>
    </row>
    <row r="2348" spans="1:2" x14ac:dyDescent="0.25">
      <c r="A2348">
        <v>582.939697265625</v>
      </c>
      <c r="B2348">
        <v>214.36839294433594</v>
      </c>
    </row>
    <row r="2349" spans="1:2" x14ac:dyDescent="0.25">
      <c r="A2349">
        <v>619.39581298828125</v>
      </c>
      <c r="B2349">
        <v>198.21536254882812</v>
      </c>
    </row>
    <row r="2350" spans="1:2" x14ac:dyDescent="0.25">
      <c r="A2350">
        <v>564.52545166015625</v>
      </c>
      <c r="B2350">
        <v>199.94955444335938</v>
      </c>
    </row>
    <row r="2351" spans="1:2" x14ac:dyDescent="0.25">
      <c r="A2351">
        <v>440.5430908203125</v>
      </c>
      <c r="B2351">
        <v>200.94551086425781</v>
      </c>
    </row>
    <row r="2352" spans="1:2" x14ac:dyDescent="0.25">
      <c r="A2352">
        <v>328.7119140625</v>
      </c>
      <c r="B2352">
        <v>208.53948974609375</v>
      </c>
    </row>
    <row r="2353" spans="1:2" x14ac:dyDescent="0.25">
      <c r="A2353">
        <v>261.48553466796875</v>
      </c>
      <c r="B2353">
        <v>218.18051147460937</v>
      </c>
    </row>
    <row r="2354" spans="1:2" x14ac:dyDescent="0.25">
      <c r="A2354">
        <v>248.95118713378906</v>
      </c>
      <c r="B2354">
        <v>298.4755859375</v>
      </c>
    </row>
    <row r="2355" spans="1:2" x14ac:dyDescent="0.25">
      <c r="A2355">
        <v>251.13552856445313</v>
      </c>
      <c r="B2355">
        <v>459.4232177734375</v>
      </c>
    </row>
    <row r="2356" spans="1:2" x14ac:dyDescent="0.25">
      <c r="A2356">
        <v>256.9510498046875</v>
      </c>
      <c r="B2356">
        <v>530.9703369140625</v>
      </c>
    </row>
    <row r="2357" spans="1:2" x14ac:dyDescent="0.25">
      <c r="A2357">
        <v>265.9749755859375</v>
      </c>
      <c r="B2357">
        <v>531.7261962890625</v>
      </c>
    </row>
    <row r="2358" spans="1:2" x14ac:dyDescent="0.25">
      <c r="A2358">
        <v>276.09677124023437</v>
      </c>
      <c r="B2358">
        <v>529.8447265625</v>
      </c>
    </row>
    <row r="2359" spans="1:2" x14ac:dyDescent="0.25">
      <c r="A2359">
        <v>374.39898681640625</v>
      </c>
      <c r="B2359">
        <v>532.83819580078125</v>
      </c>
    </row>
    <row r="2360" spans="1:2" x14ac:dyDescent="0.25">
      <c r="A2360">
        <v>559.9444580078125</v>
      </c>
      <c r="B2360">
        <v>529.81488037109375</v>
      </c>
    </row>
    <row r="2361" spans="1:2" x14ac:dyDescent="0.25">
      <c r="A2361">
        <v>636.3800048828125</v>
      </c>
      <c r="B2361">
        <v>529.421875</v>
      </c>
    </row>
    <row r="2362" spans="1:2" x14ac:dyDescent="0.25">
      <c r="A2362">
        <v>634.95086669921875</v>
      </c>
      <c r="B2362">
        <v>524.42291259765625</v>
      </c>
    </row>
    <row r="2363" spans="1:2" x14ac:dyDescent="0.25">
      <c r="A2363">
        <v>628.38909912109375</v>
      </c>
      <c r="B2363">
        <v>534.28924560546875</v>
      </c>
    </row>
    <row r="2364" spans="1:2" x14ac:dyDescent="0.25">
      <c r="A2364">
        <v>633.901611328125</v>
      </c>
      <c r="B2364">
        <v>528.88189697265625</v>
      </c>
    </row>
    <row r="2365" spans="1:2" x14ac:dyDescent="0.25">
      <c r="A2365">
        <v>631.934814453125</v>
      </c>
      <c r="B2365">
        <v>525.569091796875</v>
      </c>
    </row>
    <row r="2366" spans="1:2" x14ac:dyDescent="0.25">
      <c r="A2366">
        <v>613.22991943359375</v>
      </c>
      <c r="B2366">
        <v>533.54193115234375</v>
      </c>
    </row>
    <row r="2367" spans="1:2" x14ac:dyDescent="0.25">
      <c r="A2367">
        <v>620.5263671875</v>
      </c>
      <c r="B2367">
        <v>528.315185546875</v>
      </c>
    </row>
    <row r="2368" spans="1:2" x14ac:dyDescent="0.25">
      <c r="A2368">
        <v>625.3707275390625</v>
      </c>
      <c r="B2368">
        <v>512.90704345703125</v>
      </c>
    </row>
    <row r="2369" spans="1:2" x14ac:dyDescent="0.25">
      <c r="A2369">
        <v>619.572021484375</v>
      </c>
      <c r="B2369">
        <v>450.42681884765625</v>
      </c>
    </row>
    <row r="2370" spans="1:2" x14ac:dyDescent="0.25">
      <c r="A2370">
        <v>616.759765625</v>
      </c>
      <c r="B2370">
        <v>309.29534912109375</v>
      </c>
    </row>
    <row r="2371" spans="1:2" x14ac:dyDescent="0.25">
      <c r="A2371">
        <v>634.08074951171875</v>
      </c>
      <c r="B2371">
        <v>209.77255249023437</v>
      </c>
    </row>
    <row r="2372" spans="1:2" x14ac:dyDescent="0.25">
      <c r="A2372">
        <v>635.58856201171875</v>
      </c>
      <c r="B2372">
        <v>200.01844787597656</v>
      </c>
    </row>
    <row r="2373" spans="1:2" x14ac:dyDescent="0.25">
      <c r="A2373">
        <v>607.1373291015625</v>
      </c>
      <c r="B2373">
        <v>201.09812927246094</v>
      </c>
    </row>
    <row r="2374" spans="1:2" x14ac:dyDescent="0.25">
      <c r="A2374">
        <v>512.1400146484375</v>
      </c>
      <c r="B2374">
        <v>202.90121459960937</v>
      </c>
    </row>
    <row r="2375" spans="1:2" x14ac:dyDescent="0.25">
      <c r="A2375">
        <v>346.23602294921875</v>
      </c>
      <c r="B2375">
        <v>202.46751403808594</v>
      </c>
    </row>
    <row r="2376" spans="1:2" x14ac:dyDescent="0.25">
      <c r="A2376">
        <v>244.51805114746094</v>
      </c>
      <c r="B2376">
        <v>202.72174072265625</v>
      </c>
    </row>
    <row r="2377" spans="1:2" x14ac:dyDescent="0.25">
      <c r="A2377">
        <v>239.71044921875</v>
      </c>
      <c r="B2377">
        <v>212.1943359375</v>
      </c>
    </row>
    <row r="2378" spans="1:2" x14ac:dyDescent="0.25">
      <c r="A2378">
        <v>243.48283386230469</v>
      </c>
      <c r="B2378">
        <v>291.60894775390625</v>
      </c>
    </row>
    <row r="2379" spans="1:2" x14ac:dyDescent="0.25">
      <c r="A2379">
        <v>243.51225280761719</v>
      </c>
      <c r="B2379">
        <v>361.97604370117187</v>
      </c>
    </row>
    <row r="2380" spans="1:2" x14ac:dyDescent="0.25">
      <c r="A2380">
        <v>243.25738525390625</v>
      </c>
      <c r="B2380">
        <v>415.927978515625</v>
      </c>
    </row>
    <row r="2381" spans="1:2" x14ac:dyDescent="0.25">
      <c r="A2381">
        <v>243.25459289550781</v>
      </c>
      <c r="B2381">
        <v>486.59829711914062</v>
      </c>
    </row>
    <row r="2382" spans="1:2" x14ac:dyDescent="0.25">
      <c r="A2382">
        <v>257.56735229492187</v>
      </c>
      <c r="B2382">
        <v>483.72042846679687</v>
      </c>
    </row>
    <row r="2383" spans="1:2" x14ac:dyDescent="0.25">
      <c r="A2383">
        <v>347.65194702148437</v>
      </c>
      <c r="B2383">
        <v>452.82769775390625</v>
      </c>
    </row>
    <row r="2384" spans="1:2" x14ac:dyDescent="0.25">
      <c r="A2384">
        <v>424.40933227539062</v>
      </c>
      <c r="B2384">
        <v>448.12322998046875</v>
      </c>
    </row>
    <row r="2385" spans="1:2" x14ac:dyDescent="0.25">
      <c r="A2385">
        <v>487.20205688476562</v>
      </c>
      <c r="B2385">
        <v>438.65771484375</v>
      </c>
    </row>
    <row r="2386" spans="1:2" x14ac:dyDescent="0.25">
      <c r="A2386">
        <v>560.84619140625</v>
      </c>
      <c r="B2386">
        <v>413.33926391601562</v>
      </c>
    </row>
    <row r="2387" spans="1:2" x14ac:dyDescent="0.25">
      <c r="A2387">
        <v>550.2293701171875</v>
      </c>
      <c r="B2387">
        <v>387.85675048828125</v>
      </c>
    </row>
    <row r="2388" spans="1:2" x14ac:dyDescent="0.25">
      <c r="A2388">
        <v>517.8011474609375</v>
      </c>
      <c r="B2388">
        <v>410.29086303710937</v>
      </c>
    </row>
    <row r="2389" spans="1:2" x14ac:dyDescent="0.25">
      <c r="A2389">
        <v>513.88775634765625</v>
      </c>
      <c r="B2389">
        <v>412.74053955078125</v>
      </c>
    </row>
    <row r="2390" spans="1:2" x14ac:dyDescent="0.25">
      <c r="A2390">
        <v>501.72698974609375</v>
      </c>
      <c r="B2390">
        <v>418.47824096679687</v>
      </c>
    </row>
    <row r="2391" spans="1:2" x14ac:dyDescent="0.25">
      <c r="A2391">
        <v>473.97073364257812</v>
      </c>
      <c r="B2391">
        <v>430.16812133789062</v>
      </c>
    </row>
    <row r="2392" spans="1:2" x14ac:dyDescent="0.25">
      <c r="A2392">
        <v>446.61941528320312</v>
      </c>
      <c r="B2392">
        <v>481.85546875</v>
      </c>
    </row>
    <row r="2393" spans="1:2" x14ac:dyDescent="0.25">
      <c r="A2393">
        <v>477.66064453125</v>
      </c>
      <c r="B2393">
        <v>464.97796630859375</v>
      </c>
    </row>
    <row r="2394" spans="1:2" x14ac:dyDescent="0.25">
      <c r="A2394">
        <v>480.61318969726562</v>
      </c>
      <c r="B2394">
        <v>368.03225708007813</v>
      </c>
    </row>
    <row r="2395" spans="1:2" x14ac:dyDescent="0.25">
      <c r="A2395">
        <v>486.68826293945312</v>
      </c>
      <c r="B2395">
        <v>259.40231323242187</v>
      </c>
    </row>
    <row r="2396" spans="1:2" x14ac:dyDescent="0.25">
      <c r="A2396">
        <v>504.73779296875</v>
      </c>
      <c r="B2396">
        <v>213.19026184082031</v>
      </c>
    </row>
    <row r="2397" spans="1:2" x14ac:dyDescent="0.25">
      <c r="A2397">
        <v>561.1546630859375</v>
      </c>
      <c r="B2397">
        <v>198.87757873535156</v>
      </c>
    </row>
    <row r="2398" spans="1:2" x14ac:dyDescent="0.25">
      <c r="A2398">
        <v>536.8358154296875</v>
      </c>
      <c r="B2398">
        <v>199.6796875</v>
      </c>
    </row>
    <row r="2399" spans="1:2" x14ac:dyDescent="0.25">
      <c r="A2399">
        <v>421.07113647460938</v>
      </c>
      <c r="B2399">
        <v>202.21719360351562</v>
      </c>
    </row>
    <row r="2400" spans="1:2" x14ac:dyDescent="0.25">
      <c r="A2400">
        <v>302.92434692382812</v>
      </c>
      <c r="B2400">
        <v>204.06930541992187</v>
      </c>
    </row>
    <row r="2401" spans="1:2" x14ac:dyDescent="0.25">
      <c r="A2401">
        <v>266.29412841796875</v>
      </c>
      <c r="B2401">
        <v>203.83186340332031</v>
      </c>
    </row>
    <row r="2402" spans="1:2" x14ac:dyDescent="0.25">
      <c r="A2402">
        <v>250.73628234863281</v>
      </c>
      <c r="B2402">
        <v>201.22563171386719</v>
      </c>
    </row>
    <row r="2403" spans="1:2" x14ac:dyDescent="0.25">
      <c r="A2403">
        <v>252.22702026367187</v>
      </c>
      <c r="B2403">
        <v>216.20655822753906</v>
      </c>
    </row>
    <row r="2404" spans="1:2" x14ac:dyDescent="0.25">
      <c r="A2404">
        <v>253.37286376953125</v>
      </c>
      <c r="B2404">
        <v>249.89460754394531</v>
      </c>
    </row>
    <row r="2405" spans="1:2" x14ac:dyDescent="0.25">
      <c r="A2405">
        <v>253.45167541503906</v>
      </c>
      <c r="B2405">
        <v>328.48434448242187</v>
      </c>
    </row>
    <row r="2406" spans="1:2" x14ac:dyDescent="0.25">
      <c r="A2406">
        <v>255.07447814941406</v>
      </c>
      <c r="B2406">
        <v>397.67657470703125</v>
      </c>
    </row>
    <row r="2407" spans="1:2" x14ac:dyDescent="0.25">
      <c r="A2407">
        <v>252.10482788085937</v>
      </c>
      <c r="B2407">
        <v>391.95880126953125</v>
      </c>
    </row>
    <row r="2408" spans="1:2" x14ac:dyDescent="0.25">
      <c r="A2408">
        <v>267.536376953125</v>
      </c>
      <c r="B2408">
        <v>340.34173583984375</v>
      </c>
    </row>
    <row r="2409" spans="1:2" x14ac:dyDescent="0.25">
      <c r="A2409">
        <v>309.90469360351562</v>
      </c>
      <c r="B2409">
        <v>280.53045654296875</v>
      </c>
    </row>
    <row r="2410" spans="1:2" x14ac:dyDescent="0.25">
      <c r="A2410">
        <v>401.04800415039062</v>
      </c>
      <c r="B2410">
        <v>222.80107116699219</v>
      </c>
    </row>
    <row r="2411" spans="1:2" x14ac:dyDescent="0.25">
      <c r="A2411">
        <v>468.99655151367187</v>
      </c>
      <c r="B2411">
        <v>203.98295593261719</v>
      </c>
    </row>
    <row r="2412" spans="1:2" x14ac:dyDescent="0.25">
      <c r="A2412">
        <v>455.26535034179687</v>
      </c>
      <c r="B2412">
        <v>201.26214599609375</v>
      </c>
    </row>
    <row r="2413" spans="1:2" x14ac:dyDescent="0.25">
      <c r="A2413">
        <v>392.0518798828125</v>
      </c>
      <c r="B2413">
        <v>225.88078308105469</v>
      </c>
    </row>
    <row r="2414" spans="1:2" x14ac:dyDescent="0.25">
      <c r="A2414">
        <v>327.48660278320312</v>
      </c>
      <c r="B2414">
        <v>225.61476135253906</v>
      </c>
    </row>
    <row r="2415" spans="1:2" x14ac:dyDescent="0.25">
      <c r="A2415">
        <v>263.59634399414062</v>
      </c>
      <c r="B2415">
        <v>234.41946411132812</v>
      </c>
    </row>
    <row r="2416" spans="1:2" x14ac:dyDescent="0.25">
      <c r="A2416">
        <v>254.00666809082031</v>
      </c>
      <c r="B2416">
        <v>286.40255737304687</v>
      </c>
    </row>
    <row r="2417" spans="1:2" x14ac:dyDescent="0.25">
      <c r="A2417">
        <v>250.64259338378906</v>
      </c>
      <c r="B2417">
        <v>248.37420654296875</v>
      </c>
    </row>
    <row r="2418" spans="1:2" x14ac:dyDescent="0.25">
      <c r="A2418">
        <v>267.11788940429687</v>
      </c>
      <c r="B2418">
        <v>204.63449096679687</v>
      </c>
    </row>
    <row r="2419" spans="1:2" x14ac:dyDescent="0.25">
      <c r="A2419">
        <v>258.05245971679687</v>
      </c>
      <c r="B2419">
        <v>199.54872131347656</v>
      </c>
    </row>
    <row r="2420" spans="1:2" x14ac:dyDescent="0.25">
      <c r="A2420">
        <v>271.22964477539063</v>
      </c>
      <c r="B2420">
        <v>199.62844848632812</v>
      </c>
    </row>
    <row r="2421" spans="1:2" x14ac:dyDescent="0.25">
      <c r="A2421">
        <v>321.816162109375</v>
      </c>
      <c r="B2421">
        <v>198.83265686035156</v>
      </c>
    </row>
    <row r="2422" spans="1:2" x14ac:dyDescent="0.25">
      <c r="A2422">
        <v>284.88613891601562</v>
      </c>
      <c r="B2422">
        <v>199.0948486328125</v>
      </c>
    </row>
    <row r="2423" spans="1:2" x14ac:dyDescent="0.25">
      <c r="A2423">
        <v>240.20787048339844</v>
      </c>
      <c r="B2423">
        <v>198.82379150390625</v>
      </c>
    </row>
    <row r="2424" spans="1:2" x14ac:dyDescent="0.25">
      <c r="A2424">
        <v>238.47726440429687</v>
      </c>
      <c r="B2424">
        <v>199.278564453125</v>
      </c>
    </row>
    <row r="2425" spans="1:2" x14ac:dyDescent="0.25">
      <c r="A2425">
        <v>240.59974670410156</v>
      </c>
      <c r="B2425">
        <v>201.206787109375</v>
      </c>
    </row>
    <row r="2426" spans="1:2" x14ac:dyDescent="0.25">
      <c r="A2426">
        <v>241.95561218261719</v>
      </c>
      <c r="B2426">
        <v>202.91911315917969</v>
      </c>
    </row>
    <row r="2427" spans="1:2" x14ac:dyDescent="0.25">
      <c r="A2427">
        <v>244.16416931152344</v>
      </c>
      <c r="B2427">
        <v>200.85786437988281</v>
      </c>
    </row>
    <row r="2428" spans="1:2" x14ac:dyDescent="0.25">
      <c r="A2428">
        <v>245.55247497558594</v>
      </c>
      <c r="B2428">
        <v>206.23008728027344</v>
      </c>
    </row>
    <row r="2429" spans="1:2" x14ac:dyDescent="0.25">
      <c r="A2429">
        <v>248.23150634765625</v>
      </c>
      <c r="B2429">
        <v>209.34114074707031</v>
      </c>
    </row>
    <row r="2430" spans="1:2" x14ac:dyDescent="0.25">
      <c r="A2430">
        <v>251.06143188476562</v>
      </c>
      <c r="B2430">
        <v>205.01181030273437</v>
      </c>
    </row>
    <row r="2431" spans="1:2" x14ac:dyDescent="0.25">
      <c r="A2431">
        <v>252.8228759765625</v>
      </c>
      <c r="B2431">
        <v>204.90859985351562</v>
      </c>
    </row>
    <row r="2432" spans="1:2" x14ac:dyDescent="0.25">
      <c r="A2432">
        <v>249.24678039550781</v>
      </c>
      <c r="B2432">
        <v>208.85215759277344</v>
      </c>
    </row>
    <row r="2433" spans="1:2" x14ac:dyDescent="0.25">
      <c r="A2433">
        <v>255.61439514160156</v>
      </c>
      <c r="B2433">
        <v>204.71128845214844</v>
      </c>
    </row>
    <row r="2434" spans="1:2" x14ac:dyDescent="0.25">
      <c r="A2434">
        <v>256.65545654296875</v>
      </c>
      <c r="B2434">
        <v>206.17098999023437</v>
      </c>
    </row>
    <row r="2435" spans="1:2" x14ac:dyDescent="0.25">
      <c r="A2435">
        <v>251.12486267089844</v>
      </c>
      <c r="B2435">
        <v>208.2198486328125</v>
      </c>
    </row>
    <row r="2436" spans="1:2" x14ac:dyDescent="0.25">
      <c r="A2436">
        <v>251.43470764160156</v>
      </c>
      <c r="B2436">
        <v>203.36550903320312</v>
      </c>
    </row>
    <row r="2437" spans="1:2" x14ac:dyDescent="0.25">
      <c r="A2437">
        <v>256.24185180664062</v>
      </c>
      <c r="B2437">
        <v>222.06370544433594</v>
      </c>
    </row>
    <row r="2438" spans="1:2" x14ac:dyDescent="0.25">
      <c r="A2438">
        <v>248.63876342773437</v>
      </c>
      <c r="B2438">
        <v>247.41032409667969</v>
      </c>
    </row>
    <row r="2439" spans="1:2" x14ac:dyDescent="0.25">
      <c r="A2439">
        <v>245.19355773925781</v>
      </c>
      <c r="B2439">
        <v>282.69583129882813</v>
      </c>
    </row>
    <row r="2440" spans="1:2" x14ac:dyDescent="0.25">
      <c r="A2440">
        <v>244.02792358398438</v>
      </c>
      <c r="B2440">
        <v>337.13226318359375</v>
      </c>
    </row>
    <row r="2441" spans="1:2" x14ac:dyDescent="0.25">
      <c r="A2441">
        <v>243.17034912109375</v>
      </c>
      <c r="B2441">
        <v>287.93173217773437</v>
      </c>
    </row>
    <row r="2442" spans="1:2" x14ac:dyDescent="0.25">
      <c r="A2442">
        <v>262.03219604492188</v>
      </c>
      <c r="B2442">
        <v>219.60234069824219</v>
      </c>
    </row>
    <row r="2443" spans="1:2" x14ac:dyDescent="0.25">
      <c r="A2443">
        <v>293.1898193359375</v>
      </c>
      <c r="B2443">
        <v>198.05740356445312</v>
      </c>
    </row>
    <row r="2444" spans="1:2" x14ac:dyDescent="0.25">
      <c r="A2444">
        <v>331.5775146484375</v>
      </c>
      <c r="B2444">
        <v>199.58213806152344</v>
      </c>
    </row>
    <row r="2445" spans="1:2" x14ac:dyDescent="0.25">
      <c r="A2445">
        <v>382.60369873046875</v>
      </c>
      <c r="B2445">
        <v>200.36936950683594</v>
      </c>
    </row>
    <row r="2446" spans="1:2" x14ac:dyDescent="0.25">
      <c r="A2446">
        <v>332.01113891601562</v>
      </c>
      <c r="B2446">
        <v>201.10934448242187</v>
      </c>
    </row>
    <row r="2447" spans="1:2" x14ac:dyDescent="0.25">
      <c r="A2447">
        <v>255.35551452636719</v>
      </c>
      <c r="B2447">
        <v>200.9493408203125</v>
      </c>
    </row>
    <row r="2448" spans="1:2" x14ac:dyDescent="0.25">
      <c r="A2448">
        <v>241.43717956542969</v>
      </c>
      <c r="B2448">
        <v>201.98684692382812</v>
      </c>
    </row>
    <row r="2449" spans="1:2" x14ac:dyDescent="0.25">
      <c r="A2449">
        <v>243.61518859863281</v>
      </c>
      <c r="B2449">
        <v>229.08869934082031</v>
      </c>
    </row>
    <row r="2450" spans="1:2" x14ac:dyDescent="0.25">
      <c r="A2450">
        <v>244.39979553222656</v>
      </c>
      <c r="B2450">
        <v>294.82623291015625</v>
      </c>
    </row>
    <row r="2451" spans="1:2" x14ac:dyDescent="0.25">
      <c r="A2451">
        <v>244.04737854003906</v>
      </c>
      <c r="B2451">
        <v>412.04638671875</v>
      </c>
    </row>
    <row r="2452" spans="1:2" x14ac:dyDescent="0.25">
      <c r="A2452">
        <v>244.69033813476562</v>
      </c>
      <c r="B2452">
        <v>487.8624267578125</v>
      </c>
    </row>
    <row r="2453" spans="1:2" x14ac:dyDescent="0.25">
      <c r="A2453">
        <v>247.77647399902344</v>
      </c>
      <c r="B2453">
        <v>499.38064575195312</v>
      </c>
    </row>
    <row r="2454" spans="1:2" x14ac:dyDescent="0.25">
      <c r="A2454">
        <v>277.62127685546875</v>
      </c>
      <c r="B2454">
        <v>487.17584228515625</v>
      </c>
    </row>
    <row r="2455" spans="1:2" x14ac:dyDescent="0.25">
      <c r="A2455">
        <v>347.50369262695312</v>
      </c>
      <c r="B2455">
        <v>468.59893798828125</v>
      </c>
    </row>
    <row r="2456" spans="1:2" x14ac:dyDescent="0.25">
      <c r="A2456">
        <v>476.43746948242187</v>
      </c>
      <c r="B2456">
        <v>496.96624755859375</v>
      </c>
    </row>
    <row r="2457" spans="1:2" x14ac:dyDescent="0.25">
      <c r="A2457">
        <v>555.36126708984375</v>
      </c>
      <c r="B2457">
        <v>529.83734130859375</v>
      </c>
    </row>
    <row r="2458" spans="1:2" x14ac:dyDescent="0.25">
      <c r="A2458">
        <v>564.98211669921875</v>
      </c>
      <c r="B2458">
        <v>510.93359375</v>
      </c>
    </row>
    <row r="2459" spans="1:2" x14ac:dyDescent="0.25">
      <c r="A2459">
        <v>546.59979248046875</v>
      </c>
      <c r="B2459">
        <v>528.7779541015625</v>
      </c>
    </row>
    <row r="2460" spans="1:2" x14ac:dyDescent="0.25">
      <c r="A2460">
        <v>524.17291259765625</v>
      </c>
      <c r="B2460">
        <v>507.72824096679687</v>
      </c>
    </row>
    <row r="2461" spans="1:2" x14ac:dyDescent="0.25">
      <c r="A2461">
        <v>554.91943359375</v>
      </c>
      <c r="B2461">
        <v>473.37222290039062</v>
      </c>
    </row>
    <row r="2462" spans="1:2" x14ac:dyDescent="0.25">
      <c r="A2462">
        <v>586.508544921875</v>
      </c>
      <c r="B2462">
        <v>479.99130249023437</v>
      </c>
    </row>
    <row r="2463" spans="1:2" x14ac:dyDescent="0.25">
      <c r="A2463">
        <v>567.58990478515625</v>
      </c>
      <c r="B2463">
        <v>484.81393432617187</v>
      </c>
    </row>
    <row r="2464" spans="1:2" x14ac:dyDescent="0.25">
      <c r="A2464">
        <v>589.7783203125</v>
      </c>
      <c r="B2464">
        <v>494.26986694335937</v>
      </c>
    </row>
    <row r="2465" spans="1:2" x14ac:dyDescent="0.25">
      <c r="A2465">
        <v>557.58673095703125</v>
      </c>
      <c r="B2465">
        <v>486.39666748046875</v>
      </c>
    </row>
    <row r="2466" spans="1:2" x14ac:dyDescent="0.25">
      <c r="A2466">
        <v>518.4246826171875</v>
      </c>
      <c r="B2466">
        <v>449.90167236328125</v>
      </c>
    </row>
    <row r="2467" spans="1:2" x14ac:dyDescent="0.25">
      <c r="A2467">
        <v>525.25628662109375</v>
      </c>
      <c r="B2467">
        <v>342.74591064453125</v>
      </c>
    </row>
    <row r="2468" spans="1:2" x14ac:dyDescent="0.25">
      <c r="A2468">
        <v>531.19549560546875</v>
      </c>
      <c r="B2468">
        <v>231.88693237304687</v>
      </c>
    </row>
    <row r="2469" spans="1:2" x14ac:dyDescent="0.25">
      <c r="A2469">
        <v>543.88116455078125</v>
      </c>
      <c r="B2469">
        <v>201.65220642089844</v>
      </c>
    </row>
    <row r="2470" spans="1:2" x14ac:dyDescent="0.25">
      <c r="A2470">
        <v>528.64013671875</v>
      </c>
      <c r="B2470">
        <v>206.38551330566406</v>
      </c>
    </row>
    <row r="2471" spans="1:2" x14ac:dyDescent="0.25">
      <c r="A2471">
        <v>483.92355346679687</v>
      </c>
      <c r="B2471">
        <v>203.2069091796875</v>
      </c>
    </row>
    <row r="2472" spans="1:2" x14ac:dyDescent="0.25">
      <c r="A2472">
        <v>369.54281616210937</v>
      </c>
      <c r="B2472">
        <v>213.39683532714844</v>
      </c>
    </row>
    <row r="2473" spans="1:2" x14ac:dyDescent="0.25">
      <c r="A2473">
        <v>257.17477416992187</v>
      </c>
      <c r="B2473">
        <v>260.18258666992187</v>
      </c>
    </row>
    <row r="2474" spans="1:2" x14ac:dyDescent="0.25">
      <c r="A2474">
        <v>243.59323120117187</v>
      </c>
      <c r="B2474">
        <v>403.786376953125</v>
      </c>
    </row>
    <row r="2475" spans="1:2" x14ac:dyDescent="0.25">
      <c r="A2475">
        <v>247.96244812011719</v>
      </c>
      <c r="B2475">
        <v>503.56475830078125</v>
      </c>
    </row>
    <row r="2476" spans="1:2" x14ac:dyDescent="0.25">
      <c r="A2476">
        <v>248.16737365722656</v>
      </c>
      <c r="B2476">
        <v>517.24267578125</v>
      </c>
    </row>
    <row r="2477" spans="1:2" x14ac:dyDescent="0.25">
      <c r="A2477">
        <v>256.26605224609375</v>
      </c>
      <c r="B2477">
        <v>522.638427734375</v>
      </c>
    </row>
    <row r="2478" spans="1:2" x14ac:dyDescent="0.25">
      <c r="A2478">
        <v>313.86209106445312</v>
      </c>
      <c r="B2478">
        <v>504.283935546875</v>
      </c>
    </row>
    <row r="2479" spans="1:2" x14ac:dyDescent="0.25">
      <c r="A2479">
        <v>474.75991821289062</v>
      </c>
      <c r="B2479">
        <v>501.283447265625</v>
      </c>
    </row>
    <row r="2480" spans="1:2" x14ac:dyDescent="0.25">
      <c r="A2480">
        <v>569.46771240234375</v>
      </c>
      <c r="B2480">
        <v>493.36538696289062</v>
      </c>
    </row>
    <row r="2481" spans="1:2" x14ac:dyDescent="0.25">
      <c r="A2481">
        <v>593.64398193359375</v>
      </c>
      <c r="B2481">
        <v>514.8280029296875</v>
      </c>
    </row>
    <row r="2482" spans="1:2" x14ac:dyDescent="0.25">
      <c r="A2482">
        <v>599.51361083984375</v>
      </c>
      <c r="B2482">
        <v>519.1572265625</v>
      </c>
    </row>
    <row r="2483" spans="1:2" x14ac:dyDescent="0.25">
      <c r="A2483">
        <v>573.38909912109375</v>
      </c>
      <c r="B2483">
        <v>509.38772583007812</v>
      </c>
    </row>
    <row r="2484" spans="1:2" x14ac:dyDescent="0.25">
      <c r="A2484">
        <v>569.1494140625</v>
      </c>
      <c r="B2484">
        <v>486.66677856445312</v>
      </c>
    </row>
    <row r="2485" spans="1:2" x14ac:dyDescent="0.25">
      <c r="A2485">
        <v>562.27850341796875</v>
      </c>
      <c r="B2485">
        <v>491.2540283203125</v>
      </c>
    </row>
    <row r="2486" spans="1:2" x14ac:dyDescent="0.25">
      <c r="A2486">
        <v>589.0184326171875</v>
      </c>
      <c r="B2486">
        <v>489.44140625</v>
      </c>
    </row>
    <row r="2487" spans="1:2" x14ac:dyDescent="0.25">
      <c r="A2487">
        <v>592.219970703125</v>
      </c>
      <c r="B2487">
        <v>505.46697998046875</v>
      </c>
    </row>
    <row r="2488" spans="1:2" x14ac:dyDescent="0.25">
      <c r="A2488">
        <v>578.1287841796875</v>
      </c>
      <c r="B2488">
        <v>528.78857421875</v>
      </c>
    </row>
    <row r="2489" spans="1:2" x14ac:dyDescent="0.25">
      <c r="A2489">
        <v>549.28411865234375</v>
      </c>
      <c r="B2489">
        <v>466.17196655273437</v>
      </c>
    </row>
    <row r="2490" spans="1:2" x14ac:dyDescent="0.25">
      <c r="A2490">
        <v>551.108154296875</v>
      </c>
      <c r="B2490">
        <v>348.23431396484375</v>
      </c>
    </row>
    <row r="2491" spans="1:2" x14ac:dyDescent="0.25">
      <c r="A2491">
        <v>553.728515625</v>
      </c>
      <c r="B2491">
        <v>240.32096862792969</v>
      </c>
    </row>
    <row r="2492" spans="1:2" x14ac:dyDescent="0.25">
      <c r="A2492">
        <v>574.544189453125</v>
      </c>
      <c r="B2492">
        <v>199.57383728027344</v>
      </c>
    </row>
    <row r="2493" spans="1:2" x14ac:dyDescent="0.25">
      <c r="A2493">
        <v>595.97119140625</v>
      </c>
      <c r="B2493">
        <v>199.87944030761719</v>
      </c>
    </row>
    <row r="2494" spans="1:2" x14ac:dyDescent="0.25">
      <c r="A2494">
        <v>518.19171142578125</v>
      </c>
      <c r="B2494">
        <v>200.68048095703125</v>
      </c>
    </row>
    <row r="2495" spans="1:2" x14ac:dyDescent="0.25">
      <c r="A2495">
        <v>385.01443481445312</v>
      </c>
      <c r="B2495">
        <v>201.05029296875</v>
      </c>
    </row>
    <row r="2496" spans="1:2" x14ac:dyDescent="0.25">
      <c r="A2496">
        <v>278.69232177734375</v>
      </c>
      <c r="B2496">
        <v>201.37596130371094</v>
      </c>
    </row>
    <row r="2497" spans="1:2" x14ac:dyDescent="0.25">
      <c r="A2497">
        <v>245.17852783203125</v>
      </c>
      <c r="B2497">
        <v>226.43435668945312</v>
      </c>
    </row>
    <row r="2498" spans="1:2" x14ac:dyDescent="0.25">
      <c r="A2498">
        <v>246.32968139648437</v>
      </c>
      <c r="B2498">
        <v>272.3572998046875</v>
      </c>
    </row>
    <row r="2499" spans="1:2" x14ac:dyDescent="0.25">
      <c r="A2499">
        <v>246.44009399414062</v>
      </c>
      <c r="B2499">
        <v>329.66094970703125</v>
      </c>
    </row>
    <row r="2500" spans="1:2" x14ac:dyDescent="0.25">
      <c r="A2500">
        <v>245.4404296875</v>
      </c>
      <c r="B2500">
        <v>383.16748046875</v>
      </c>
    </row>
    <row r="2501" spans="1:2" x14ac:dyDescent="0.25">
      <c r="A2501">
        <v>246.31434631347656</v>
      </c>
      <c r="B2501">
        <v>464.1776123046875</v>
      </c>
    </row>
    <row r="2502" spans="1:2" x14ac:dyDescent="0.25">
      <c r="A2502">
        <v>271.3192138671875</v>
      </c>
      <c r="B2502">
        <v>429.20904541015625</v>
      </c>
    </row>
    <row r="2503" spans="1:2" x14ac:dyDescent="0.25">
      <c r="A2503">
        <v>327.0859375</v>
      </c>
      <c r="B2503">
        <v>412.50918579101563</v>
      </c>
    </row>
    <row r="2504" spans="1:2" x14ac:dyDescent="0.25">
      <c r="A2504">
        <v>383.10748291015625</v>
      </c>
      <c r="B2504">
        <v>445.46475219726562</v>
      </c>
    </row>
    <row r="2505" spans="1:2" x14ac:dyDescent="0.25">
      <c r="A2505">
        <v>449.48004150390625</v>
      </c>
      <c r="B2505">
        <v>475.58169555664062</v>
      </c>
    </row>
    <row r="2506" spans="1:2" x14ac:dyDescent="0.25">
      <c r="A2506">
        <v>528.01715087890625</v>
      </c>
      <c r="B2506">
        <v>508.61480712890625</v>
      </c>
    </row>
    <row r="2507" spans="1:2" x14ac:dyDescent="0.25">
      <c r="A2507">
        <v>482.81948852539062</v>
      </c>
      <c r="B2507">
        <v>510.99148559570312</v>
      </c>
    </row>
    <row r="2508" spans="1:2" x14ac:dyDescent="0.25">
      <c r="A2508">
        <v>472.00140380859375</v>
      </c>
      <c r="B2508">
        <v>402.67123413085937</v>
      </c>
    </row>
    <row r="2509" spans="1:2" x14ac:dyDescent="0.25">
      <c r="A2509">
        <v>503.12496948242187</v>
      </c>
      <c r="B2509">
        <v>344.2342529296875</v>
      </c>
    </row>
    <row r="2510" spans="1:2" x14ac:dyDescent="0.25">
      <c r="A2510">
        <v>539.34686279296875</v>
      </c>
      <c r="B2510">
        <v>382.70657348632812</v>
      </c>
    </row>
    <row r="2511" spans="1:2" x14ac:dyDescent="0.25">
      <c r="A2511">
        <v>578.94775390625</v>
      </c>
      <c r="B2511">
        <v>408.69827270507812</v>
      </c>
    </row>
    <row r="2512" spans="1:2" x14ac:dyDescent="0.25">
      <c r="A2512">
        <v>572.57000732421875</v>
      </c>
      <c r="B2512">
        <v>504.07293701171875</v>
      </c>
    </row>
    <row r="2513" spans="1:2" x14ac:dyDescent="0.25">
      <c r="A2513">
        <v>449.22296142578125</v>
      </c>
      <c r="B2513">
        <v>475.72268676757812</v>
      </c>
    </row>
    <row r="2514" spans="1:2" x14ac:dyDescent="0.25">
      <c r="A2514">
        <v>390.5150146484375</v>
      </c>
      <c r="B2514">
        <v>326.04666137695312</v>
      </c>
    </row>
    <row r="2515" spans="1:2" x14ac:dyDescent="0.25">
      <c r="A2515">
        <v>434.5565185546875</v>
      </c>
      <c r="B2515">
        <v>215.68452453613281</v>
      </c>
    </row>
    <row r="2516" spans="1:2" x14ac:dyDescent="0.25">
      <c r="A2516">
        <v>471.21002197265625</v>
      </c>
      <c r="B2516">
        <v>198.64915466308594</v>
      </c>
    </row>
    <row r="2517" spans="1:2" x14ac:dyDescent="0.25">
      <c r="A2517">
        <v>575.543212890625</v>
      </c>
      <c r="B2517">
        <v>200.35676574707031</v>
      </c>
    </row>
    <row r="2518" spans="1:2" x14ac:dyDescent="0.25">
      <c r="A2518">
        <v>527.49090576171875</v>
      </c>
      <c r="B2518">
        <v>202.24087524414062</v>
      </c>
    </row>
    <row r="2519" spans="1:2" x14ac:dyDescent="0.25">
      <c r="A2519">
        <v>358.16329956054687</v>
      </c>
      <c r="B2519">
        <v>205.41799926757812</v>
      </c>
    </row>
    <row r="2520" spans="1:2" x14ac:dyDescent="0.25">
      <c r="A2520">
        <v>246.10733032226562</v>
      </c>
      <c r="B2520">
        <v>203.15475463867187</v>
      </c>
    </row>
    <row r="2521" spans="1:2" x14ac:dyDescent="0.25">
      <c r="A2521">
        <v>236.83433532714844</v>
      </c>
      <c r="B2521">
        <v>229.32258605957031</v>
      </c>
    </row>
    <row r="2522" spans="1:2" x14ac:dyDescent="0.25">
      <c r="A2522">
        <v>240.01129150390625</v>
      </c>
      <c r="B2522">
        <v>331.6851806640625</v>
      </c>
    </row>
    <row r="2523" spans="1:2" x14ac:dyDescent="0.25">
      <c r="A2523">
        <v>242.55523681640625</v>
      </c>
      <c r="B2523">
        <v>464.16448974609375</v>
      </c>
    </row>
    <row r="2524" spans="1:2" x14ac:dyDescent="0.25">
      <c r="A2524">
        <v>245.69769287109375</v>
      </c>
      <c r="B2524">
        <v>501.89114379882813</v>
      </c>
    </row>
    <row r="2525" spans="1:2" x14ac:dyDescent="0.25">
      <c r="A2525">
        <v>243.39306640625</v>
      </c>
      <c r="B2525">
        <v>525.1065673828125</v>
      </c>
    </row>
    <row r="2526" spans="1:2" x14ac:dyDescent="0.25">
      <c r="A2526">
        <v>278.13214111328125</v>
      </c>
      <c r="B2526">
        <v>527.51763916015625</v>
      </c>
    </row>
    <row r="2527" spans="1:2" x14ac:dyDescent="0.25">
      <c r="A2527">
        <v>396.58102416992187</v>
      </c>
      <c r="B2527">
        <v>527.1328125</v>
      </c>
    </row>
    <row r="2528" spans="1:2" x14ac:dyDescent="0.25">
      <c r="A2528">
        <v>536.791748046875</v>
      </c>
      <c r="B2528">
        <v>531.3309326171875</v>
      </c>
    </row>
    <row r="2529" spans="1:2" x14ac:dyDescent="0.25">
      <c r="A2529">
        <v>576.23406982421875</v>
      </c>
      <c r="B2529">
        <v>532.29669189453125</v>
      </c>
    </row>
    <row r="2530" spans="1:2" x14ac:dyDescent="0.25">
      <c r="A2530">
        <v>594.9261474609375</v>
      </c>
      <c r="B2530">
        <v>530.5029296875</v>
      </c>
    </row>
    <row r="2531" spans="1:2" x14ac:dyDescent="0.25">
      <c r="A2531">
        <v>596.37445068359375</v>
      </c>
      <c r="B2531">
        <v>528.67266845703125</v>
      </c>
    </row>
    <row r="2532" spans="1:2" x14ac:dyDescent="0.25">
      <c r="A2532">
        <v>597.37841796875</v>
      </c>
      <c r="B2532">
        <v>528.01422119140625</v>
      </c>
    </row>
    <row r="2533" spans="1:2" x14ac:dyDescent="0.25">
      <c r="A2533">
        <v>599.1405029296875</v>
      </c>
      <c r="B2533">
        <v>520.04962158203125</v>
      </c>
    </row>
    <row r="2534" spans="1:2" x14ac:dyDescent="0.25">
      <c r="A2534">
        <v>600.76031494140625</v>
      </c>
      <c r="B2534">
        <v>522.3917236328125</v>
      </c>
    </row>
    <row r="2535" spans="1:2" x14ac:dyDescent="0.25">
      <c r="A2535">
        <v>598.83245849609375</v>
      </c>
      <c r="B2535">
        <v>520.95025634765625</v>
      </c>
    </row>
    <row r="2536" spans="1:2" x14ac:dyDescent="0.25">
      <c r="A2536">
        <v>581.908203125</v>
      </c>
      <c r="B2536">
        <v>527.5526123046875</v>
      </c>
    </row>
    <row r="2537" spans="1:2" x14ac:dyDescent="0.25">
      <c r="A2537">
        <v>574.15411376953125</v>
      </c>
      <c r="B2537">
        <v>505.68606567382812</v>
      </c>
    </row>
    <row r="2538" spans="1:2" x14ac:dyDescent="0.25">
      <c r="A2538">
        <v>586.5074462890625</v>
      </c>
      <c r="B2538">
        <v>426.89340209960937</v>
      </c>
    </row>
    <row r="2539" spans="1:2" x14ac:dyDescent="0.25">
      <c r="A2539">
        <v>587.2747802734375</v>
      </c>
      <c r="B2539">
        <v>302.50485229492187</v>
      </c>
    </row>
    <row r="2540" spans="1:2" x14ac:dyDescent="0.25">
      <c r="A2540">
        <v>591.11688232421875</v>
      </c>
      <c r="B2540">
        <v>217.17242431640625</v>
      </c>
    </row>
    <row r="2541" spans="1:2" x14ac:dyDescent="0.25">
      <c r="A2541">
        <v>588.40484619140625</v>
      </c>
      <c r="B2541">
        <v>200.17304992675781</v>
      </c>
    </row>
    <row r="2542" spans="1:2" x14ac:dyDescent="0.25">
      <c r="A2542">
        <v>556.96697998046875</v>
      </c>
      <c r="B2542">
        <v>200.57087707519531</v>
      </c>
    </row>
    <row r="2543" spans="1:2" x14ac:dyDescent="0.25">
      <c r="A2543">
        <v>462.50421142578125</v>
      </c>
      <c r="B2543">
        <v>201.28773498535156</v>
      </c>
    </row>
    <row r="2544" spans="1:2" x14ac:dyDescent="0.25">
      <c r="A2544">
        <v>328.123046875</v>
      </c>
      <c r="B2544">
        <v>204.11808776855469</v>
      </c>
    </row>
    <row r="2545" spans="1:2" x14ac:dyDescent="0.25">
      <c r="A2545">
        <v>245.54144287109375</v>
      </c>
      <c r="B2545">
        <v>265.0418701171875</v>
      </c>
    </row>
    <row r="2546" spans="1:2" x14ac:dyDescent="0.25">
      <c r="A2546">
        <v>235.54646301269531</v>
      </c>
      <c r="B2546">
        <v>364.04318237304687</v>
      </c>
    </row>
    <row r="2547" spans="1:2" x14ac:dyDescent="0.25">
      <c r="A2547">
        <v>236.37806701660156</v>
      </c>
      <c r="B2547">
        <v>487.05670166015625</v>
      </c>
    </row>
    <row r="2548" spans="1:2" x14ac:dyDescent="0.25">
      <c r="A2548">
        <v>238.79151916503906</v>
      </c>
      <c r="B2548">
        <v>521.07684326171875</v>
      </c>
    </row>
    <row r="2549" spans="1:2" x14ac:dyDescent="0.25">
      <c r="A2549">
        <v>243.20042419433594</v>
      </c>
      <c r="B2549">
        <v>532.4278564453125</v>
      </c>
    </row>
    <row r="2550" spans="1:2" x14ac:dyDescent="0.25">
      <c r="A2550">
        <v>315.16485595703125</v>
      </c>
      <c r="B2550">
        <v>524.9105224609375</v>
      </c>
    </row>
    <row r="2551" spans="1:2" x14ac:dyDescent="0.25">
      <c r="A2551">
        <v>421.67379760742187</v>
      </c>
      <c r="B2551">
        <v>532.7628173828125</v>
      </c>
    </row>
    <row r="2552" spans="1:2" x14ac:dyDescent="0.25">
      <c r="A2552">
        <v>541.6773681640625</v>
      </c>
      <c r="B2552">
        <v>534.71636962890625</v>
      </c>
    </row>
    <row r="2553" spans="1:2" x14ac:dyDescent="0.25">
      <c r="A2553">
        <v>576.4095458984375</v>
      </c>
      <c r="B2553">
        <v>533.54901123046875</v>
      </c>
    </row>
    <row r="2554" spans="1:2" x14ac:dyDescent="0.25">
      <c r="A2554">
        <v>589.03082275390625</v>
      </c>
      <c r="B2554">
        <v>530.81817626953125</v>
      </c>
    </row>
    <row r="2555" spans="1:2" x14ac:dyDescent="0.25">
      <c r="A2555">
        <v>582.7828369140625</v>
      </c>
      <c r="B2555">
        <v>530.91632080078125</v>
      </c>
    </row>
    <row r="2556" spans="1:2" x14ac:dyDescent="0.25">
      <c r="A2556">
        <v>585.57733154296875</v>
      </c>
      <c r="B2556">
        <v>531.49188232421875</v>
      </c>
    </row>
    <row r="2557" spans="1:2" x14ac:dyDescent="0.25">
      <c r="A2557">
        <v>588.3826904296875</v>
      </c>
      <c r="B2557">
        <v>523.54815673828125</v>
      </c>
    </row>
    <row r="2558" spans="1:2" x14ac:dyDescent="0.25">
      <c r="A2558">
        <v>584.87579345703125</v>
      </c>
      <c r="B2558">
        <v>516.285888671875</v>
      </c>
    </row>
    <row r="2559" spans="1:2" x14ac:dyDescent="0.25">
      <c r="A2559">
        <v>585.56854248046875</v>
      </c>
      <c r="B2559">
        <v>520.76434326171875</v>
      </c>
    </row>
    <row r="2560" spans="1:2" x14ac:dyDescent="0.25">
      <c r="A2560">
        <v>589.55889892578125</v>
      </c>
      <c r="B2560">
        <v>521.56597900390625</v>
      </c>
    </row>
    <row r="2561" spans="1:2" x14ac:dyDescent="0.25">
      <c r="A2561">
        <v>589.45465087890625</v>
      </c>
      <c r="B2561">
        <v>511.254638671875</v>
      </c>
    </row>
    <row r="2562" spans="1:2" x14ac:dyDescent="0.25">
      <c r="A2562">
        <v>584.00701904296875</v>
      </c>
      <c r="B2562">
        <v>434.07998657226563</v>
      </c>
    </row>
    <row r="2563" spans="1:2" x14ac:dyDescent="0.25">
      <c r="A2563">
        <v>577.44287109375</v>
      </c>
      <c r="B2563">
        <v>299.76541137695312</v>
      </c>
    </row>
    <row r="2564" spans="1:2" x14ac:dyDescent="0.25">
      <c r="A2564">
        <v>585.28973388671875</v>
      </c>
      <c r="B2564">
        <v>226.38185119628906</v>
      </c>
    </row>
    <row r="2565" spans="1:2" x14ac:dyDescent="0.25">
      <c r="A2565">
        <v>580.94195556640625</v>
      </c>
      <c r="B2565">
        <v>199.1346435546875</v>
      </c>
    </row>
    <row r="2566" spans="1:2" x14ac:dyDescent="0.25">
      <c r="A2566">
        <v>565.99285888671875</v>
      </c>
      <c r="B2566">
        <v>201.11306762695312</v>
      </c>
    </row>
    <row r="2567" spans="1:2" x14ac:dyDescent="0.25">
      <c r="A2567">
        <v>475.06256103515625</v>
      </c>
      <c r="B2567">
        <v>200.15219116210937</v>
      </c>
    </row>
    <row r="2568" spans="1:2" x14ac:dyDescent="0.25">
      <c r="A2568">
        <v>329.43984985351562</v>
      </c>
      <c r="B2568">
        <v>201.51321411132812</v>
      </c>
    </row>
    <row r="2569" spans="1:2" x14ac:dyDescent="0.25">
      <c r="A2569">
        <v>260.67303466796875</v>
      </c>
      <c r="B2569">
        <v>202.41413879394531</v>
      </c>
    </row>
    <row r="2570" spans="1:2" x14ac:dyDescent="0.25">
      <c r="A2570">
        <v>241.87176513671875</v>
      </c>
      <c r="B2570">
        <v>199.78707885742187</v>
      </c>
    </row>
    <row r="2571" spans="1:2" x14ac:dyDescent="0.25">
      <c r="A2571">
        <v>241.54618835449219</v>
      </c>
      <c r="B2571">
        <v>216.87237548828125</v>
      </c>
    </row>
    <row r="2572" spans="1:2" x14ac:dyDescent="0.25">
      <c r="A2572">
        <v>241.384521484375</v>
      </c>
      <c r="B2572">
        <v>318.35421752929687</v>
      </c>
    </row>
    <row r="2573" spans="1:2" x14ac:dyDescent="0.25">
      <c r="A2573">
        <v>240.67005920410156</v>
      </c>
      <c r="B2573">
        <v>389.08831787109375</v>
      </c>
    </row>
    <row r="2574" spans="1:2" x14ac:dyDescent="0.25">
      <c r="A2574">
        <v>236.41777038574219</v>
      </c>
      <c r="B2574">
        <v>395.25</v>
      </c>
    </row>
    <row r="2575" spans="1:2" x14ac:dyDescent="0.25">
      <c r="A2575">
        <v>236.22589111328125</v>
      </c>
      <c r="B2575">
        <v>360.93630981445312</v>
      </c>
    </row>
    <row r="2576" spans="1:2" x14ac:dyDescent="0.25">
      <c r="A2576">
        <v>260.24838256835937</v>
      </c>
      <c r="B2576">
        <v>394.857177734375</v>
      </c>
    </row>
    <row r="2577" spans="1:2" x14ac:dyDescent="0.25">
      <c r="A2577">
        <v>378.15863037109375</v>
      </c>
      <c r="B2577">
        <v>427.92840576171875</v>
      </c>
    </row>
    <row r="2578" spans="1:2" x14ac:dyDescent="0.25">
      <c r="A2578">
        <v>446.43667602539062</v>
      </c>
      <c r="B2578">
        <v>436.9208984375</v>
      </c>
    </row>
    <row r="2579" spans="1:2" x14ac:dyDescent="0.25">
      <c r="A2579">
        <v>447.78887939453125</v>
      </c>
      <c r="B2579">
        <v>435.70046997070312</v>
      </c>
    </row>
    <row r="2580" spans="1:2" x14ac:dyDescent="0.25">
      <c r="A2580">
        <v>403.09176635742187</v>
      </c>
      <c r="B2580">
        <v>445.76742553710937</v>
      </c>
    </row>
    <row r="2581" spans="1:2" x14ac:dyDescent="0.25">
      <c r="A2581">
        <v>453.8931884765625</v>
      </c>
      <c r="B2581">
        <v>426.81314086914062</v>
      </c>
    </row>
    <row r="2582" spans="1:2" x14ac:dyDescent="0.25">
      <c r="A2582">
        <v>486.49832153320312</v>
      </c>
      <c r="B2582">
        <v>426.57284545898437</v>
      </c>
    </row>
    <row r="2583" spans="1:2" x14ac:dyDescent="0.25">
      <c r="A2583">
        <v>495.49575805664062</v>
      </c>
      <c r="B2583">
        <v>474.4857177734375</v>
      </c>
    </row>
    <row r="2584" spans="1:2" x14ac:dyDescent="0.25">
      <c r="A2584">
        <v>489.42098999023437</v>
      </c>
      <c r="B2584">
        <v>497.98974609375</v>
      </c>
    </row>
    <row r="2585" spans="1:2" x14ac:dyDescent="0.25">
      <c r="A2585">
        <v>501.57730102539062</v>
      </c>
      <c r="B2585">
        <v>431.12728881835937</v>
      </c>
    </row>
    <row r="2586" spans="1:2" x14ac:dyDescent="0.25">
      <c r="A2586">
        <v>476.96224975585938</v>
      </c>
      <c r="B2586">
        <v>313.48687744140625</v>
      </c>
    </row>
    <row r="2587" spans="1:2" x14ac:dyDescent="0.25">
      <c r="A2587">
        <v>479.23812866210937</v>
      </c>
      <c r="B2587">
        <v>218.81439208984375</v>
      </c>
    </row>
    <row r="2588" spans="1:2" x14ac:dyDescent="0.25">
      <c r="A2588">
        <v>534.21417236328125</v>
      </c>
      <c r="B2588">
        <v>215.69488525390625</v>
      </c>
    </row>
    <row r="2589" spans="1:2" x14ac:dyDescent="0.25">
      <c r="A2589">
        <v>555.927978515625</v>
      </c>
      <c r="B2589">
        <v>200.85176086425781</v>
      </c>
    </row>
    <row r="2590" spans="1:2" x14ac:dyDescent="0.25">
      <c r="A2590">
        <v>477.01901245117187</v>
      </c>
      <c r="B2590">
        <v>199.954833984375</v>
      </c>
    </row>
    <row r="2591" spans="1:2" x14ac:dyDescent="0.25">
      <c r="A2591">
        <v>347.22756958007812</v>
      </c>
      <c r="B2591">
        <v>200.66960144042969</v>
      </c>
    </row>
    <row r="2592" spans="1:2" x14ac:dyDescent="0.25">
      <c r="A2592">
        <v>253.77728271484375</v>
      </c>
      <c r="B2592">
        <v>201.0169677734375</v>
      </c>
    </row>
    <row r="2593" spans="1:2" x14ac:dyDescent="0.25">
      <c r="A2593">
        <v>254.48664855957031</v>
      </c>
      <c r="B2593">
        <v>200.92449951171875</v>
      </c>
    </row>
    <row r="2594" spans="1:2" x14ac:dyDescent="0.25">
      <c r="A2594">
        <v>243.45457458496094</v>
      </c>
      <c r="B2594">
        <v>206.02740478515625</v>
      </c>
    </row>
    <row r="2595" spans="1:2" x14ac:dyDescent="0.25">
      <c r="A2595">
        <v>244.26744079589844</v>
      </c>
      <c r="B2595">
        <v>210.96817016601562</v>
      </c>
    </row>
    <row r="2596" spans="1:2" x14ac:dyDescent="0.25">
      <c r="A2596">
        <v>243.01287841796875</v>
      </c>
      <c r="B2596">
        <v>218.67739868164062</v>
      </c>
    </row>
    <row r="2597" spans="1:2" x14ac:dyDescent="0.25">
      <c r="A2597">
        <v>242.00373840332031</v>
      </c>
      <c r="B2597">
        <v>234.34942626953125</v>
      </c>
    </row>
    <row r="2598" spans="1:2" x14ac:dyDescent="0.25">
      <c r="A2598">
        <v>244.09040832519531</v>
      </c>
      <c r="B2598">
        <v>265.23092651367187</v>
      </c>
    </row>
    <row r="2599" spans="1:2" x14ac:dyDescent="0.25">
      <c r="A2599">
        <v>248.64079284667969</v>
      </c>
      <c r="B2599">
        <v>301.0872802734375</v>
      </c>
    </row>
    <row r="2600" spans="1:2" x14ac:dyDescent="0.25">
      <c r="A2600">
        <v>255.99203491210937</v>
      </c>
      <c r="B2600">
        <v>304.48342895507812</v>
      </c>
    </row>
    <row r="2601" spans="1:2" x14ac:dyDescent="0.25">
      <c r="A2601">
        <v>264.21939086914062</v>
      </c>
      <c r="B2601">
        <v>252.4893798828125</v>
      </c>
    </row>
    <row r="2602" spans="1:2" x14ac:dyDescent="0.25">
      <c r="A2602">
        <v>284.7484130859375</v>
      </c>
      <c r="B2602">
        <v>214.65850830078125</v>
      </c>
    </row>
    <row r="2603" spans="1:2" x14ac:dyDescent="0.25">
      <c r="A2603">
        <v>319.810546875</v>
      </c>
      <c r="B2603">
        <v>210.21429443359375</v>
      </c>
    </row>
    <row r="2604" spans="1:2" x14ac:dyDescent="0.25">
      <c r="A2604">
        <v>359.116455078125</v>
      </c>
      <c r="B2604">
        <v>211.46614074707031</v>
      </c>
    </row>
    <row r="2605" spans="1:2" x14ac:dyDescent="0.25">
      <c r="A2605">
        <v>349.0960693359375</v>
      </c>
      <c r="B2605">
        <v>253.04393005371094</v>
      </c>
    </row>
    <row r="2606" spans="1:2" x14ac:dyDescent="0.25">
      <c r="A2606">
        <v>290.00836181640625</v>
      </c>
      <c r="B2606">
        <v>281.67825317382812</v>
      </c>
    </row>
    <row r="2607" spans="1:2" x14ac:dyDescent="0.25">
      <c r="A2607">
        <v>251.06025695800781</v>
      </c>
      <c r="B2607">
        <v>328.33682250976562</v>
      </c>
    </row>
    <row r="2608" spans="1:2" x14ac:dyDescent="0.25">
      <c r="A2608">
        <v>247.34175109863281</v>
      </c>
      <c r="B2608">
        <v>408.98379516601562</v>
      </c>
    </row>
    <row r="2609" spans="1:2" x14ac:dyDescent="0.25">
      <c r="A2609">
        <v>250.44331359863281</v>
      </c>
      <c r="B2609">
        <v>375.87277221679687</v>
      </c>
    </row>
    <row r="2610" spans="1:2" x14ac:dyDescent="0.25">
      <c r="A2610">
        <v>296.27633666992187</v>
      </c>
      <c r="B2610">
        <v>279.33441162109375</v>
      </c>
    </row>
    <row r="2611" spans="1:2" x14ac:dyDescent="0.25">
      <c r="A2611">
        <v>322.67514038085937</v>
      </c>
      <c r="B2611">
        <v>205.78799438476562</v>
      </c>
    </row>
    <row r="2612" spans="1:2" x14ac:dyDescent="0.25">
      <c r="A2612">
        <v>384.9232177734375</v>
      </c>
      <c r="B2612">
        <v>200.33097839355469</v>
      </c>
    </row>
    <row r="2613" spans="1:2" x14ac:dyDescent="0.25">
      <c r="A2613">
        <v>458.4351806640625</v>
      </c>
      <c r="B2613">
        <v>201.28388977050781</v>
      </c>
    </row>
    <row r="2614" spans="1:2" x14ac:dyDescent="0.25">
      <c r="A2614">
        <v>422.65914916992187</v>
      </c>
      <c r="B2614">
        <v>200.32772827148437</v>
      </c>
    </row>
    <row r="2615" spans="1:2" x14ac:dyDescent="0.25">
      <c r="A2615">
        <v>310.36932373046875</v>
      </c>
      <c r="B2615">
        <v>201.59117126464844</v>
      </c>
    </row>
    <row r="2616" spans="1:2" x14ac:dyDescent="0.25">
      <c r="A2616">
        <v>240.58074951171875</v>
      </c>
      <c r="B2616">
        <v>202.40963745117187</v>
      </c>
    </row>
    <row r="2617" spans="1:2" x14ac:dyDescent="0.25">
      <c r="A2617">
        <v>242.58746337890625</v>
      </c>
      <c r="B2617">
        <v>230.3533935546875</v>
      </c>
    </row>
    <row r="2618" spans="1:2" x14ac:dyDescent="0.25">
      <c r="A2618">
        <v>242.13253784179687</v>
      </c>
      <c r="B2618">
        <v>256.97845458984375</v>
      </c>
    </row>
    <row r="2619" spans="1:2" x14ac:dyDescent="0.25">
      <c r="A2619">
        <v>242.63304138183594</v>
      </c>
      <c r="B2619">
        <v>333.55062866210937</v>
      </c>
    </row>
    <row r="2620" spans="1:2" x14ac:dyDescent="0.25">
      <c r="A2620">
        <v>242.49253845214844</v>
      </c>
      <c r="B2620">
        <v>377.72708129882812</v>
      </c>
    </row>
    <row r="2621" spans="1:2" x14ac:dyDescent="0.25">
      <c r="A2621">
        <v>242.47291564941406</v>
      </c>
      <c r="B2621">
        <v>367.29403686523437</v>
      </c>
    </row>
    <row r="2622" spans="1:2" x14ac:dyDescent="0.25">
      <c r="A2622">
        <v>271.73193359375</v>
      </c>
      <c r="B2622">
        <v>305.41152954101562</v>
      </c>
    </row>
    <row r="2623" spans="1:2" x14ac:dyDescent="0.25">
      <c r="A2623">
        <v>306.36737060546875</v>
      </c>
      <c r="B2623">
        <v>351.97128295898437</v>
      </c>
    </row>
    <row r="2624" spans="1:2" x14ac:dyDescent="0.25">
      <c r="A2624">
        <v>383.35064697265625</v>
      </c>
      <c r="B2624">
        <v>317.14703369140625</v>
      </c>
    </row>
    <row r="2625" spans="1:2" x14ac:dyDescent="0.25">
      <c r="A2625">
        <v>432.19515991210937</v>
      </c>
      <c r="B2625">
        <v>313.6285400390625</v>
      </c>
    </row>
    <row r="2626" spans="1:2" x14ac:dyDescent="0.25">
      <c r="A2626">
        <v>412.28298950195312</v>
      </c>
      <c r="B2626">
        <v>316.75070190429687</v>
      </c>
    </row>
    <row r="2627" spans="1:2" x14ac:dyDescent="0.25">
      <c r="A2627">
        <v>354.56289672851562</v>
      </c>
      <c r="B2627">
        <v>271.38693237304687</v>
      </c>
    </row>
    <row r="2628" spans="1:2" x14ac:dyDescent="0.25">
      <c r="A2628">
        <v>403.4615478515625</v>
      </c>
      <c r="B2628">
        <v>250.49934387207031</v>
      </c>
    </row>
    <row r="2629" spans="1:2" x14ac:dyDescent="0.25">
      <c r="A2629">
        <v>363.67965698242187</v>
      </c>
      <c r="B2629">
        <v>250.11822509765625</v>
      </c>
    </row>
    <row r="2630" spans="1:2" x14ac:dyDescent="0.25">
      <c r="A2630">
        <v>358.73446655273437</v>
      </c>
      <c r="B2630">
        <v>250.74317932128906</v>
      </c>
    </row>
    <row r="2631" spans="1:2" x14ac:dyDescent="0.25">
      <c r="A2631">
        <v>366.35922241210937</v>
      </c>
      <c r="B2631">
        <v>268.64599609375</v>
      </c>
    </row>
    <row r="2632" spans="1:2" x14ac:dyDescent="0.25">
      <c r="A2632">
        <v>312.18209838867187</v>
      </c>
      <c r="B2632">
        <v>393.1436767578125</v>
      </c>
    </row>
    <row r="2633" spans="1:2" x14ac:dyDescent="0.25">
      <c r="A2633">
        <v>292.61642456054687</v>
      </c>
      <c r="B2633">
        <v>445.62234497070312</v>
      </c>
    </row>
    <row r="2634" spans="1:2" x14ac:dyDescent="0.25">
      <c r="A2634">
        <v>298.13528442382812</v>
      </c>
      <c r="B2634">
        <v>316.33013916015625</v>
      </c>
    </row>
    <row r="2635" spans="1:2" x14ac:dyDescent="0.25">
      <c r="A2635">
        <v>294.25949096679688</v>
      </c>
      <c r="B2635">
        <v>214.45057678222656</v>
      </c>
    </row>
    <row r="2636" spans="1:2" x14ac:dyDescent="0.25">
      <c r="A2636">
        <v>319.08981323242187</v>
      </c>
      <c r="B2636">
        <v>199.86248779296875</v>
      </c>
    </row>
    <row r="2637" spans="1:2" x14ac:dyDescent="0.25">
      <c r="A2637">
        <v>465.90972900390625</v>
      </c>
      <c r="B2637">
        <v>201.123779296875</v>
      </c>
    </row>
    <row r="2638" spans="1:2" x14ac:dyDescent="0.25">
      <c r="A2638">
        <v>502.05911254882812</v>
      </c>
      <c r="B2638">
        <v>201.36903381347656</v>
      </c>
    </row>
    <row r="2639" spans="1:2" x14ac:dyDescent="0.25">
      <c r="A2639">
        <v>355.57522583007812</v>
      </c>
      <c r="B2639">
        <v>200.92613220214844</v>
      </c>
    </row>
    <row r="2640" spans="1:2" x14ac:dyDescent="0.25">
      <c r="A2640">
        <v>247.68742370605469</v>
      </c>
      <c r="B2640">
        <v>202.04617309570312</v>
      </c>
    </row>
    <row r="2641" spans="1:2" x14ac:dyDescent="0.25">
      <c r="A2641">
        <v>239.55825805664062</v>
      </c>
      <c r="B2641">
        <v>209.58906555175781</v>
      </c>
    </row>
    <row r="2642" spans="1:2" x14ac:dyDescent="0.25">
      <c r="A2642">
        <v>240.65010070800781</v>
      </c>
      <c r="B2642">
        <v>294.42068481445312</v>
      </c>
    </row>
    <row r="2643" spans="1:2" x14ac:dyDescent="0.25">
      <c r="A2643">
        <v>241.45367431640625</v>
      </c>
      <c r="B2643">
        <v>400.25811767578125</v>
      </c>
    </row>
    <row r="2644" spans="1:2" x14ac:dyDescent="0.25">
      <c r="A2644">
        <v>243.48750305175781</v>
      </c>
      <c r="B2644">
        <v>441.04827880859375</v>
      </c>
    </row>
    <row r="2645" spans="1:2" x14ac:dyDescent="0.25">
      <c r="A2645">
        <v>245.02528381347656</v>
      </c>
      <c r="B2645">
        <v>481.40032958984375</v>
      </c>
    </row>
    <row r="2646" spans="1:2" x14ac:dyDescent="0.25">
      <c r="A2646">
        <v>253.46087646484375</v>
      </c>
      <c r="B2646">
        <v>533.80828857421875</v>
      </c>
    </row>
    <row r="2647" spans="1:2" x14ac:dyDescent="0.25">
      <c r="A2647">
        <v>344.35830688476562</v>
      </c>
      <c r="B2647">
        <v>530.36370849609375</v>
      </c>
    </row>
    <row r="2648" spans="1:2" x14ac:dyDescent="0.25">
      <c r="A2648">
        <v>464.9881591796875</v>
      </c>
      <c r="B2648">
        <v>525.943115234375</v>
      </c>
    </row>
    <row r="2649" spans="1:2" x14ac:dyDescent="0.25">
      <c r="A2649">
        <v>505.17422485351562</v>
      </c>
      <c r="B2649">
        <v>482.16989135742187</v>
      </c>
    </row>
    <row r="2650" spans="1:2" x14ac:dyDescent="0.25">
      <c r="A2650">
        <v>553.2222900390625</v>
      </c>
      <c r="B2650">
        <v>341.15396118164062</v>
      </c>
    </row>
    <row r="2651" spans="1:2" x14ac:dyDescent="0.25">
      <c r="A2651">
        <v>610.953369140625</v>
      </c>
      <c r="B2651">
        <v>248.61465454101562</v>
      </c>
    </row>
    <row r="2652" spans="1:2" x14ac:dyDescent="0.25">
      <c r="A2652">
        <v>599.3138427734375</v>
      </c>
      <c r="B2652">
        <v>200.30052185058594</v>
      </c>
    </row>
    <row r="2653" spans="1:2" x14ac:dyDescent="0.25">
      <c r="A2653">
        <v>608.6943359375</v>
      </c>
      <c r="B2653">
        <v>210.20967102050781</v>
      </c>
    </row>
    <row r="2654" spans="1:2" x14ac:dyDescent="0.25">
      <c r="A2654">
        <v>550.28106689453125</v>
      </c>
      <c r="B2654">
        <v>211.55264282226562</v>
      </c>
    </row>
    <row r="2655" spans="1:2" x14ac:dyDescent="0.25">
      <c r="A2655">
        <v>388.71270751953125</v>
      </c>
      <c r="B2655">
        <v>229.30043029785156</v>
      </c>
    </row>
    <row r="2656" spans="1:2" x14ac:dyDescent="0.25">
      <c r="A2656">
        <v>290.63674926757812</v>
      </c>
      <c r="B2656">
        <v>347.42868041992187</v>
      </c>
    </row>
    <row r="2657" spans="1:2" x14ac:dyDescent="0.25">
      <c r="A2657">
        <v>246.82400512695312</v>
      </c>
      <c r="B2657">
        <v>406.55264282226562</v>
      </c>
    </row>
    <row r="2658" spans="1:2" x14ac:dyDescent="0.25">
      <c r="A2658">
        <v>256.7923583984375</v>
      </c>
      <c r="B2658">
        <v>295.44851684570312</v>
      </c>
    </row>
    <row r="2659" spans="1:2" x14ac:dyDescent="0.25">
      <c r="A2659">
        <v>258.22528076171875</v>
      </c>
      <c r="B2659">
        <v>202.98562622070312</v>
      </c>
    </row>
    <row r="2660" spans="1:2" x14ac:dyDescent="0.25">
      <c r="A2660">
        <v>286.2901611328125</v>
      </c>
      <c r="B2660">
        <v>198.38453674316406</v>
      </c>
    </row>
    <row r="2661" spans="1:2" x14ac:dyDescent="0.25">
      <c r="A2661">
        <v>419.52285766601562</v>
      </c>
      <c r="B2661">
        <v>200.84062194824219</v>
      </c>
    </row>
    <row r="2662" spans="1:2" x14ac:dyDescent="0.25">
      <c r="A2662">
        <v>475.39581298828125</v>
      </c>
      <c r="B2662">
        <v>201.74972534179687</v>
      </c>
    </row>
    <row r="2663" spans="1:2" x14ac:dyDescent="0.25">
      <c r="A2663">
        <v>342.28887939453125</v>
      </c>
      <c r="B2663">
        <v>201.83866882324219</v>
      </c>
    </row>
    <row r="2664" spans="1:2" x14ac:dyDescent="0.25">
      <c r="A2664">
        <v>247.22207641601562</v>
      </c>
      <c r="B2664">
        <v>201.92855834960937</v>
      </c>
    </row>
    <row r="2665" spans="1:2" x14ac:dyDescent="0.25">
      <c r="A2665">
        <v>249.15980529785156</v>
      </c>
      <c r="B2665">
        <v>213.88798522949219</v>
      </c>
    </row>
    <row r="2666" spans="1:2" x14ac:dyDescent="0.25">
      <c r="A2666">
        <v>251.99566650390625</v>
      </c>
      <c r="B2666">
        <v>318.78091430664062</v>
      </c>
    </row>
    <row r="2667" spans="1:2" x14ac:dyDescent="0.25">
      <c r="A2667">
        <v>252.12652587890625</v>
      </c>
      <c r="B2667">
        <v>451.8148193359375</v>
      </c>
    </row>
    <row r="2668" spans="1:2" x14ac:dyDescent="0.25">
      <c r="A2668">
        <v>253.10911560058594</v>
      </c>
      <c r="B2668">
        <v>500.30514526367188</v>
      </c>
    </row>
    <row r="2669" spans="1:2" x14ac:dyDescent="0.25">
      <c r="A2669">
        <v>253.86689758300781</v>
      </c>
      <c r="B2669">
        <v>460.86138916015625</v>
      </c>
    </row>
    <row r="2670" spans="1:2" x14ac:dyDescent="0.25">
      <c r="A2670">
        <v>271.43264770507812</v>
      </c>
      <c r="B2670">
        <v>520.36407470703125</v>
      </c>
    </row>
    <row r="2671" spans="1:2" x14ac:dyDescent="0.25">
      <c r="A2671">
        <v>393.11553955078125</v>
      </c>
      <c r="B2671">
        <v>531.82000732421875</v>
      </c>
    </row>
    <row r="2672" spans="1:2" x14ac:dyDescent="0.25">
      <c r="A2672">
        <v>544.97637939453125</v>
      </c>
      <c r="B2672">
        <v>518.86431884765625</v>
      </c>
    </row>
    <row r="2673" spans="1:2" x14ac:dyDescent="0.25">
      <c r="A2673">
        <v>587.30889892578125</v>
      </c>
      <c r="B2673">
        <v>493.998291015625</v>
      </c>
    </row>
    <row r="2674" spans="1:2" x14ac:dyDescent="0.25">
      <c r="A2674">
        <v>542.862060546875</v>
      </c>
      <c r="B2674">
        <v>435.7313232421875</v>
      </c>
    </row>
    <row r="2675" spans="1:2" x14ac:dyDescent="0.25">
      <c r="A2675">
        <v>619.90179443359375</v>
      </c>
      <c r="B2675">
        <v>407.26300048828125</v>
      </c>
    </row>
    <row r="2676" spans="1:2" x14ac:dyDescent="0.25">
      <c r="A2676">
        <v>628.5643310546875</v>
      </c>
      <c r="B2676">
        <v>376.74533081054687</v>
      </c>
    </row>
    <row r="2677" spans="1:2" x14ac:dyDescent="0.25">
      <c r="A2677">
        <v>605.95269775390625</v>
      </c>
      <c r="B2677">
        <v>318.56549072265625</v>
      </c>
    </row>
    <row r="2678" spans="1:2" x14ac:dyDescent="0.25">
      <c r="A2678">
        <v>567.6622314453125</v>
      </c>
      <c r="B2678">
        <v>292.31967163085937</v>
      </c>
    </row>
    <row r="2679" spans="1:2" x14ac:dyDescent="0.25">
      <c r="A2679">
        <v>490.66891479492187</v>
      </c>
      <c r="B2679">
        <v>297.7598876953125</v>
      </c>
    </row>
    <row r="2680" spans="1:2" x14ac:dyDescent="0.25">
      <c r="A2680">
        <v>454.96624755859375</v>
      </c>
      <c r="B2680">
        <v>448.81494140625</v>
      </c>
    </row>
    <row r="2681" spans="1:2" x14ac:dyDescent="0.25">
      <c r="A2681">
        <v>413.73019409179687</v>
      </c>
      <c r="B2681">
        <v>497.51162719726562</v>
      </c>
    </row>
    <row r="2682" spans="1:2" x14ac:dyDescent="0.25">
      <c r="A2682">
        <v>359.33499145507812</v>
      </c>
      <c r="B2682">
        <v>420.89794921875</v>
      </c>
    </row>
    <row r="2683" spans="1:2" x14ac:dyDescent="0.25">
      <c r="A2683">
        <v>321.80926513671875</v>
      </c>
      <c r="B2683">
        <v>300.32571411132812</v>
      </c>
    </row>
    <row r="2684" spans="1:2" x14ac:dyDescent="0.25">
      <c r="A2684">
        <v>337.85763549804687</v>
      </c>
      <c r="B2684">
        <v>218.51387023925781</v>
      </c>
    </row>
    <row r="2685" spans="1:2" x14ac:dyDescent="0.25">
      <c r="A2685">
        <v>508.88729858398437</v>
      </c>
      <c r="B2685">
        <v>200.6298828125</v>
      </c>
    </row>
    <row r="2686" spans="1:2" x14ac:dyDescent="0.25">
      <c r="A2686">
        <v>549.3033447265625</v>
      </c>
      <c r="B2686">
        <v>203.6854248046875</v>
      </c>
    </row>
    <row r="2687" spans="1:2" x14ac:dyDescent="0.25">
      <c r="A2687">
        <v>451.08688354492187</v>
      </c>
      <c r="B2687">
        <v>202.68966674804687</v>
      </c>
    </row>
    <row r="2688" spans="1:2" x14ac:dyDescent="0.25">
      <c r="A2688">
        <v>324.97628784179687</v>
      </c>
      <c r="B2688">
        <v>211.68394470214844</v>
      </c>
    </row>
    <row r="2689" spans="1:2" x14ac:dyDescent="0.25">
      <c r="A2689">
        <v>243.25439453125</v>
      </c>
      <c r="B2689">
        <v>223.81607055664062</v>
      </c>
    </row>
    <row r="2690" spans="1:2" x14ac:dyDescent="0.25">
      <c r="A2690">
        <v>231.21347045898437</v>
      </c>
      <c r="B2690">
        <v>359.6414794921875</v>
      </c>
    </row>
    <row r="2691" spans="1:2" x14ac:dyDescent="0.25">
      <c r="A2691">
        <v>234.67645263671875</v>
      </c>
      <c r="B2691">
        <v>513.16461181640625</v>
      </c>
    </row>
    <row r="2692" spans="1:2" x14ac:dyDescent="0.25">
      <c r="A2692">
        <v>233.39732360839844</v>
      </c>
      <c r="B2692">
        <v>530.5565185546875</v>
      </c>
    </row>
    <row r="2693" spans="1:2" x14ac:dyDescent="0.25">
      <c r="A2693">
        <v>243.68649291992187</v>
      </c>
      <c r="B2693">
        <v>528.26531982421875</v>
      </c>
    </row>
    <row r="2694" spans="1:2" x14ac:dyDescent="0.25">
      <c r="A2694">
        <v>264.31790161132812</v>
      </c>
      <c r="B2694">
        <v>516.94940185546875</v>
      </c>
    </row>
    <row r="2695" spans="1:2" x14ac:dyDescent="0.25">
      <c r="A2695">
        <v>417.7489013671875</v>
      </c>
      <c r="B2695">
        <v>521.3704833984375</v>
      </c>
    </row>
    <row r="2696" spans="1:2" x14ac:dyDescent="0.25">
      <c r="A2696">
        <v>581.5740966796875</v>
      </c>
      <c r="B2696">
        <v>510.45208740234375</v>
      </c>
    </row>
    <row r="2697" spans="1:2" x14ac:dyDescent="0.25">
      <c r="A2697">
        <v>591.0054931640625</v>
      </c>
      <c r="B2697">
        <v>516.15936279296875</v>
      </c>
    </row>
    <row r="2698" spans="1:2" x14ac:dyDescent="0.25">
      <c r="A2698">
        <v>584.8211669921875</v>
      </c>
      <c r="B2698">
        <v>503.25619506835937</v>
      </c>
    </row>
    <row r="2699" spans="1:2" x14ac:dyDescent="0.25">
      <c r="A2699">
        <v>567.99932861328125</v>
      </c>
      <c r="B2699">
        <v>486.65457153320312</v>
      </c>
    </row>
    <row r="2700" spans="1:2" x14ac:dyDescent="0.25">
      <c r="A2700">
        <v>574.78326416015625</v>
      </c>
      <c r="B2700">
        <v>445.70675659179687</v>
      </c>
    </row>
    <row r="2701" spans="1:2" x14ac:dyDescent="0.25">
      <c r="A2701">
        <v>559.25616455078125</v>
      </c>
      <c r="B2701">
        <v>401.27505493164062</v>
      </c>
    </row>
    <row r="2702" spans="1:2" x14ac:dyDescent="0.25">
      <c r="A2702">
        <v>567.6495361328125</v>
      </c>
      <c r="B2702">
        <v>347.056884765625</v>
      </c>
    </row>
    <row r="2703" spans="1:2" x14ac:dyDescent="0.25">
      <c r="A2703">
        <v>551.2369384765625</v>
      </c>
      <c r="B2703">
        <v>349.92510986328125</v>
      </c>
    </row>
    <row r="2704" spans="1:2" x14ac:dyDescent="0.25">
      <c r="A2704">
        <v>536.78790283203125</v>
      </c>
      <c r="B2704">
        <v>460.900146484375</v>
      </c>
    </row>
    <row r="2705" spans="1:2" x14ac:dyDescent="0.25">
      <c r="A2705">
        <v>492.82977294921875</v>
      </c>
      <c r="B2705">
        <v>484.68121337890625</v>
      </c>
    </row>
    <row r="2706" spans="1:2" x14ac:dyDescent="0.25">
      <c r="A2706">
        <v>441.87911987304687</v>
      </c>
      <c r="B2706">
        <v>355.19354248046875</v>
      </c>
    </row>
    <row r="2707" spans="1:2" x14ac:dyDescent="0.25">
      <c r="A2707">
        <v>383.453857421875</v>
      </c>
      <c r="B2707">
        <v>227.61532592773437</v>
      </c>
    </row>
    <row r="2708" spans="1:2" x14ac:dyDescent="0.25">
      <c r="A2708">
        <v>399.15682983398438</v>
      </c>
      <c r="B2708">
        <v>200.17825317382812</v>
      </c>
    </row>
    <row r="2709" spans="1:2" x14ac:dyDescent="0.25">
      <c r="A2709">
        <v>520.69647216796875</v>
      </c>
      <c r="B2709">
        <v>200.79074096679687</v>
      </c>
    </row>
    <row r="2710" spans="1:2" x14ac:dyDescent="0.25">
      <c r="A2710">
        <v>538.22052001953125</v>
      </c>
      <c r="B2710">
        <v>201.86085510253906</v>
      </c>
    </row>
    <row r="2711" spans="1:2" x14ac:dyDescent="0.25">
      <c r="A2711">
        <v>385.31964111328125</v>
      </c>
      <c r="B2711">
        <v>201.66079711914062</v>
      </c>
    </row>
    <row r="2712" spans="1:2" x14ac:dyDescent="0.25">
      <c r="A2712">
        <v>251.01594543457031</v>
      </c>
      <c r="B2712">
        <v>202.07095336914063</v>
      </c>
    </row>
    <row r="2713" spans="1:2" x14ac:dyDescent="0.25">
      <c r="A2713">
        <v>235.06355285644531</v>
      </c>
      <c r="B2713">
        <v>219.45658874511719</v>
      </c>
    </row>
    <row r="2714" spans="1:2" x14ac:dyDescent="0.25">
      <c r="A2714">
        <v>235.76399230957031</v>
      </c>
      <c r="B2714">
        <v>271.50799560546875</v>
      </c>
    </row>
    <row r="2715" spans="1:2" x14ac:dyDescent="0.25">
      <c r="A2715">
        <v>237.92047119140625</v>
      </c>
      <c r="B2715">
        <v>394.79592895507812</v>
      </c>
    </row>
    <row r="2716" spans="1:2" x14ac:dyDescent="0.25">
      <c r="A2716">
        <v>238.97212219238281</v>
      </c>
      <c r="B2716">
        <v>496.11721801757813</v>
      </c>
    </row>
    <row r="2717" spans="1:2" x14ac:dyDescent="0.25">
      <c r="A2717">
        <v>237.70553588867187</v>
      </c>
      <c r="B2717">
        <v>490.49917602539062</v>
      </c>
    </row>
    <row r="2718" spans="1:2" x14ac:dyDescent="0.25">
      <c r="A2718">
        <v>261.34552001953125</v>
      </c>
      <c r="B2718">
        <v>402.68765258789063</v>
      </c>
    </row>
    <row r="2719" spans="1:2" x14ac:dyDescent="0.25">
      <c r="A2719">
        <v>320.86862182617187</v>
      </c>
      <c r="B2719">
        <v>418.89675903320312</v>
      </c>
    </row>
    <row r="2720" spans="1:2" x14ac:dyDescent="0.25">
      <c r="A2720">
        <v>459.32427978515625</v>
      </c>
      <c r="B2720">
        <v>367.54684448242187</v>
      </c>
    </row>
    <row r="2721" spans="1:2" x14ac:dyDescent="0.25">
      <c r="A2721">
        <v>558.9439697265625</v>
      </c>
      <c r="B2721">
        <v>397.05288696289062</v>
      </c>
    </row>
    <row r="2722" spans="1:2" x14ac:dyDescent="0.25">
      <c r="A2722">
        <v>538.51824951171875</v>
      </c>
      <c r="B2722">
        <v>374.66299438476562</v>
      </c>
    </row>
    <row r="2723" spans="1:2" x14ac:dyDescent="0.25">
      <c r="A2723">
        <v>436.85543823242187</v>
      </c>
      <c r="B2723">
        <v>320.47915649414063</v>
      </c>
    </row>
    <row r="2724" spans="1:2" x14ac:dyDescent="0.25">
      <c r="A2724">
        <v>465.16650390625</v>
      </c>
      <c r="B2724">
        <v>243.00605773925781</v>
      </c>
    </row>
    <row r="2725" spans="1:2" x14ac:dyDescent="0.25">
      <c r="A2725">
        <v>399.10720825195312</v>
      </c>
      <c r="B2725">
        <v>238.2694091796875</v>
      </c>
    </row>
    <row r="2726" spans="1:2" x14ac:dyDescent="0.25">
      <c r="A2726">
        <v>444.3121337890625</v>
      </c>
      <c r="B2726">
        <v>285.7025146484375</v>
      </c>
    </row>
    <row r="2727" spans="1:2" x14ac:dyDescent="0.25">
      <c r="A2727">
        <v>408.07089233398437</v>
      </c>
      <c r="B2727">
        <v>327.01068115234375</v>
      </c>
    </row>
    <row r="2728" spans="1:2" x14ac:dyDescent="0.25">
      <c r="A2728">
        <v>348.66506958007812</v>
      </c>
      <c r="B2728">
        <v>385.1536865234375</v>
      </c>
    </row>
    <row r="2729" spans="1:2" x14ac:dyDescent="0.25">
      <c r="A2729">
        <v>266.853271484375</v>
      </c>
      <c r="B2729">
        <v>340.64584350585937</v>
      </c>
    </row>
    <row r="2730" spans="1:2" x14ac:dyDescent="0.25">
      <c r="A2730">
        <v>275.50918579101562</v>
      </c>
      <c r="B2730">
        <v>267.65777587890625</v>
      </c>
    </row>
    <row r="2731" spans="1:2" x14ac:dyDescent="0.25">
      <c r="A2731">
        <v>321.55133056640625</v>
      </c>
      <c r="B2731">
        <v>203.9410400390625</v>
      </c>
    </row>
    <row r="2732" spans="1:2" x14ac:dyDescent="0.25">
      <c r="A2732">
        <v>370.41378784179687</v>
      </c>
      <c r="B2732">
        <v>217.37553405761719</v>
      </c>
    </row>
    <row r="2733" spans="1:2" x14ac:dyDescent="0.25">
      <c r="A2733">
        <v>425.76669311523437</v>
      </c>
      <c r="B2733">
        <v>199.31964111328125</v>
      </c>
    </row>
    <row r="2734" spans="1:2" x14ac:dyDescent="0.25">
      <c r="A2734">
        <v>375.47598266601562</v>
      </c>
      <c r="B2734">
        <v>200.04866027832031</v>
      </c>
    </row>
    <row r="2735" spans="1:2" x14ac:dyDescent="0.25">
      <c r="A2735">
        <v>294.74563598632812</v>
      </c>
      <c r="B2735">
        <v>201.20344543457031</v>
      </c>
    </row>
    <row r="2736" spans="1:2" x14ac:dyDescent="0.25">
      <c r="A2736">
        <v>236.44023132324219</v>
      </c>
      <c r="B2736">
        <v>213.98625183105469</v>
      </c>
    </row>
    <row r="2737" spans="1:2" x14ac:dyDescent="0.25">
      <c r="A2737">
        <v>253.37800598144531</v>
      </c>
      <c r="B2737">
        <v>204.12577819824219</v>
      </c>
    </row>
    <row r="2738" spans="1:2" x14ac:dyDescent="0.25">
      <c r="A2738">
        <v>235.19905090332031</v>
      </c>
      <c r="B2738">
        <v>215.04133605957031</v>
      </c>
    </row>
    <row r="2739" spans="1:2" x14ac:dyDescent="0.25">
      <c r="A2739">
        <v>237.56639099121094</v>
      </c>
      <c r="B2739">
        <v>225.60171508789063</v>
      </c>
    </row>
    <row r="2740" spans="1:2" x14ac:dyDescent="0.25">
      <c r="A2740">
        <v>237.85919189453125</v>
      </c>
      <c r="B2740">
        <v>346.89309692382812</v>
      </c>
    </row>
    <row r="2741" spans="1:2" x14ac:dyDescent="0.25">
      <c r="A2741">
        <v>253.13130187988281</v>
      </c>
      <c r="B2741">
        <v>417.32073974609375</v>
      </c>
    </row>
    <row r="2742" spans="1:2" x14ac:dyDescent="0.25">
      <c r="A2742">
        <v>241.73652648925781</v>
      </c>
      <c r="B2742">
        <v>440.40457153320312</v>
      </c>
    </row>
    <row r="2743" spans="1:2" x14ac:dyDescent="0.25">
      <c r="A2743">
        <v>256.79425048828125</v>
      </c>
      <c r="B2743">
        <v>421.460205078125</v>
      </c>
    </row>
    <row r="2744" spans="1:2" x14ac:dyDescent="0.25">
      <c r="A2744">
        <v>278.42877197265625</v>
      </c>
      <c r="B2744">
        <v>380.01104736328125</v>
      </c>
    </row>
    <row r="2745" spans="1:2" x14ac:dyDescent="0.25">
      <c r="A2745">
        <v>411.7763671875</v>
      </c>
      <c r="B2745">
        <v>288.06689453125</v>
      </c>
    </row>
    <row r="2746" spans="1:2" x14ac:dyDescent="0.25">
      <c r="A2746">
        <v>481.98785400390625</v>
      </c>
      <c r="B2746">
        <v>243.52738952636719</v>
      </c>
    </row>
    <row r="2747" spans="1:2" x14ac:dyDescent="0.25">
      <c r="A2747">
        <v>501.29891967773437</v>
      </c>
      <c r="B2747">
        <v>234.43069458007812</v>
      </c>
    </row>
    <row r="2748" spans="1:2" x14ac:dyDescent="0.25">
      <c r="A2748">
        <v>476.83602905273438</v>
      </c>
      <c r="B2748">
        <v>219.14826965332031</v>
      </c>
    </row>
    <row r="2749" spans="1:2" x14ac:dyDescent="0.25">
      <c r="A2749">
        <v>424.14071655273438</v>
      </c>
      <c r="B2749">
        <v>262.906982421875</v>
      </c>
    </row>
    <row r="2750" spans="1:2" x14ac:dyDescent="0.25">
      <c r="A2750">
        <v>323.83822631835937</v>
      </c>
      <c r="B2750">
        <v>297.5787353515625</v>
      </c>
    </row>
    <row r="2751" spans="1:2" x14ac:dyDescent="0.25">
      <c r="A2751">
        <v>278.21737670898437</v>
      </c>
      <c r="B2751">
        <v>370.9925537109375</v>
      </c>
    </row>
    <row r="2752" spans="1:2" x14ac:dyDescent="0.25">
      <c r="A2752">
        <v>272.84359741210937</v>
      </c>
      <c r="B2752">
        <v>426.496337890625</v>
      </c>
    </row>
    <row r="2753" spans="1:2" x14ac:dyDescent="0.25">
      <c r="A2753">
        <v>261.00466918945312</v>
      </c>
      <c r="B2753">
        <v>441.33428955078125</v>
      </c>
    </row>
    <row r="2754" spans="1:2" x14ac:dyDescent="0.25">
      <c r="A2754">
        <v>308.52340698242187</v>
      </c>
      <c r="B2754">
        <v>402.76416015625</v>
      </c>
    </row>
    <row r="2755" spans="1:2" x14ac:dyDescent="0.25">
      <c r="A2755">
        <v>343.23977661132812</v>
      </c>
      <c r="B2755">
        <v>325.91677856445312</v>
      </c>
    </row>
    <row r="2756" spans="1:2" x14ac:dyDescent="0.25">
      <c r="A2756">
        <v>430.20095825195312</v>
      </c>
      <c r="B2756">
        <v>250.164306640625</v>
      </c>
    </row>
    <row r="2757" spans="1:2" x14ac:dyDescent="0.25">
      <c r="A2757">
        <v>488.13494873046875</v>
      </c>
      <c r="B2757">
        <v>209.43728637695312</v>
      </c>
    </row>
    <row r="2758" spans="1:2" x14ac:dyDescent="0.25">
      <c r="A2758">
        <v>491.16787719726562</v>
      </c>
      <c r="B2758">
        <v>209.68202209472656</v>
      </c>
    </row>
    <row r="2759" spans="1:2" x14ac:dyDescent="0.25">
      <c r="A2759">
        <v>442.97268676757812</v>
      </c>
      <c r="B2759">
        <v>210.15524291992187</v>
      </c>
    </row>
    <row r="2760" spans="1:2" x14ac:dyDescent="0.25">
      <c r="A2760">
        <v>353.12423706054687</v>
      </c>
      <c r="B2760">
        <v>211.91899108886719</v>
      </c>
    </row>
    <row r="2761" spans="1:2" x14ac:dyDescent="0.25">
      <c r="A2761">
        <v>274.2327880859375</v>
      </c>
      <c r="B2761">
        <v>206.92073059082031</v>
      </c>
    </row>
    <row r="2762" spans="1:2" x14ac:dyDescent="0.25">
      <c r="A2762">
        <v>237.78767395019531</v>
      </c>
      <c r="B2762">
        <v>213.76541137695312</v>
      </c>
    </row>
    <row r="2763" spans="1:2" x14ac:dyDescent="0.25">
      <c r="A2763">
        <v>240.63923645019531</v>
      </c>
      <c r="B2763">
        <v>241.18287658691406</v>
      </c>
    </row>
    <row r="2764" spans="1:2" x14ac:dyDescent="0.25">
      <c r="A2764">
        <v>244.76188659667969</v>
      </c>
      <c r="B2764">
        <v>354.45858764648437</v>
      </c>
    </row>
    <row r="2765" spans="1:2" x14ac:dyDescent="0.25">
      <c r="A2765">
        <v>244.58001708984375</v>
      </c>
      <c r="B2765">
        <v>368.02593994140625</v>
      </c>
    </row>
    <row r="2766" spans="1:2" x14ac:dyDescent="0.25">
      <c r="A2766">
        <v>238.05940246582031</v>
      </c>
      <c r="B2766">
        <v>394.46884155273437</v>
      </c>
    </row>
    <row r="2767" spans="1:2" x14ac:dyDescent="0.25">
      <c r="A2767">
        <v>246.33514404296875</v>
      </c>
      <c r="B2767">
        <v>374.54000854492187</v>
      </c>
    </row>
    <row r="2768" spans="1:2" x14ac:dyDescent="0.25">
      <c r="A2768">
        <v>276.17807006835937</v>
      </c>
      <c r="B2768">
        <v>305.03717041015625</v>
      </c>
    </row>
    <row r="2769" spans="1:2" x14ac:dyDescent="0.25">
      <c r="A2769">
        <v>403.64935302734375</v>
      </c>
      <c r="B2769">
        <v>235.41262817382812</v>
      </c>
    </row>
    <row r="2770" spans="1:2" x14ac:dyDescent="0.25">
      <c r="A2770">
        <v>407.6510009765625</v>
      </c>
      <c r="B2770">
        <v>206.10826110839844</v>
      </c>
    </row>
    <row r="2771" spans="1:2" x14ac:dyDescent="0.25">
      <c r="A2771">
        <v>436.86215209960937</v>
      </c>
      <c r="B2771">
        <v>215.37130737304687</v>
      </c>
    </row>
    <row r="2772" spans="1:2" x14ac:dyDescent="0.25">
      <c r="A2772">
        <v>409.380859375</v>
      </c>
      <c r="B2772">
        <v>212.02154541015625</v>
      </c>
    </row>
    <row r="2773" spans="1:2" x14ac:dyDescent="0.25">
      <c r="A2773">
        <v>334.161865234375</v>
      </c>
      <c r="B2773">
        <v>259.919677734375</v>
      </c>
    </row>
    <row r="2774" spans="1:2" x14ac:dyDescent="0.25">
      <c r="A2774">
        <v>257.22894287109375</v>
      </c>
      <c r="B2774">
        <v>324.75479125976562</v>
      </c>
    </row>
    <row r="2775" spans="1:2" x14ac:dyDescent="0.25">
      <c r="A2775">
        <v>236.52078247070312</v>
      </c>
      <c r="B2775">
        <v>380.79550170898437</v>
      </c>
    </row>
    <row r="2776" spans="1:2" x14ac:dyDescent="0.25">
      <c r="A2776">
        <v>243.15837097167969</v>
      </c>
      <c r="B2776">
        <v>465.54226684570312</v>
      </c>
    </row>
    <row r="2777" spans="1:2" x14ac:dyDescent="0.25">
      <c r="A2777">
        <v>242.32685852050781</v>
      </c>
      <c r="B2777">
        <v>433.3304443359375</v>
      </c>
    </row>
    <row r="2778" spans="1:2" x14ac:dyDescent="0.25">
      <c r="A2778">
        <v>298.9954833984375</v>
      </c>
      <c r="B2778">
        <v>326.96432495117187</v>
      </c>
    </row>
    <row r="2779" spans="1:2" x14ac:dyDescent="0.25">
      <c r="A2779">
        <v>362.61395263671875</v>
      </c>
      <c r="B2779">
        <v>229.23426818847656</v>
      </c>
    </row>
    <row r="2780" spans="1:2" x14ac:dyDescent="0.25">
      <c r="A2780">
        <v>425.43408203125</v>
      </c>
      <c r="B2780">
        <v>200.39590454101562</v>
      </c>
    </row>
    <row r="2781" spans="1:2" x14ac:dyDescent="0.25">
      <c r="A2781">
        <v>513.64788818359375</v>
      </c>
      <c r="B2781">
        <v>201.29013061523438</v>
      </c>
    </row>
    <row r="2782" spans="1:2" x14ac:dyDescent="0.25">
      <c r="A2782">
        <v>474.482421875</v>
      </c>
      <c r="B2782">
        <v>201.3494873046875</v>
      </c>
    </row>
    <row r="2783" spans="1:2" x14ac:dyDescent="0.25">
      <c r="A2783">
        <v>357.84869384765625</v>
      </c>
      <c r="B2783">
        <v>286.74777221679687</v>
      </c>
    </row>
    <row r="2784" spans="1:2" x14ac:dyDescent="0.25">
      <c r="A2784">
        <v>257.47116088867187</v>
      </c>
      <c r="B2784">
        <v>324.01019287109375</v>
      </c>
    </row>
    <row r="2785" spans="1:2" x14ac:dyDescent="0.25">
      <c r="A2785">
        <v>232.57757568359375</v>
      </c>
      <c r="B2785">
        <v>390.04879760742187</v>
      </c>
    </row>
    <row r="2786" spans="1:2" x14ac:dyDescent="0.25">
      <c r="A2786">
        <v>232.96595764160156</v>
      </c>
      <c r="B2786">
        <v>517.03436279296875</v>
      </c>
    </row>
    <row r="2787" spans="1:2" x14ac:dyDescent="0.25">
      <c r="A2787">
        <v>235.27310180664062</v>
      </c>
      <c r="B2787">
        <v>531.12384033203125</v>
      </c>
    </row>
    <row r="2788" spans="1:2" x14ac:dyDescent="0.25">
      <c r="A2788">
        <v>332.90289306640625</v>
      </c>
      <c r="B2788">
        <v>524.9901123046875</v>
      </c>
    </row>
    <row r="2789" spans="1:2" x14ac:dyDescent="0.25">
      <c r="A2789">
        <v>361.344482421875</v>
      </c>
      <c r="B2789">
        <v>522.4404296875</v>
      </c>
    </row>
    <row r="2790" spans="1:2" x14ac:dyDescent="0.25">
      <c r="A2790">
        <v>438.29034423828125</v>
      </c>
      <c r="B2790">
        <v>534.4052734375</v>
      </c>
    </row>
    <row r="2791" spans="1:2" x14ac:dyDescent="0.25">
      <c r="A2791">
        <v>581.05230712890625</v>
      </c>
      <c r="B2791">
        <v>528.53759765625</v>
      </c>
    </row>
    <row r="2792" spans="1:2" x14ac:dyDescent="0.25">
      <c r="A2792">
        <v>593.1412353515625</v>
      </c>
      <c r="B2792">
        <v>521.742919921875</v>
      </c>
    </row>
    <row r="2793" spans="1:2" x14ac:dyDescent="0.25">
      <c r="A2793">
        <v>583.90191650390625</v>
      </c>
      <c r="B2793">
        <v>519.8131103515625</v>
      </c>
    </row>
    <row r="2794" spans="1:2" x14ac:dyDescent="0.25">
      <c r="A2794">
        <v>580.58477783203125</v>
      </c>
      <c r="B2794">
        <v>530.17364501953125</v>
      </c>
    </row>
    <row r="2795" spans="1:2" x14ac:dyDescent="0.25">
      <c r="A2795">
        <v>589.75146484375</v>
      </c>
      <c r="B2795">
        <v>522.03173828125</v>
      </c>
    </row>
    <row r="2796" spans="1:2" x14ac:dyDescent="0.25">
      <c r="A2796">
        <v>580.22686767578125</v>
      </c>
      <c r="B2796">
        <v>475.23361206054687</v>
      </c>
    </row>
    <row r="2797" spans="1:2" x14ac:dyDescent="0.25">
      <c r="A2797">
        <v>572.57843017578125</v>
      </c>
      <c r="B2797">
        <v>424.78347778320312</v>
      </c>
    </row>
    <row r="2798" spans="1:2" x14ac:dyDescent="0.25">
      <c r="A2798">
        <v>571.1849365234375</v>
      </c>
      <c r="B2798">
        <v>421.80023193359375</v>
      </c>
    </row>
    <row r="2799" spans="1:2" x14ac:dyDescent="0.25">
      <c r="A2799">
        <v>580.76226806640625</v>
      </c>
      <c r="B2799">
        <v>446.04598999023437</v>
      </c>
    </row>
    <row r="2800" spans="1:2" x14ac:dyDescent="0.25">
      <c r="A2800">
        <v>568.28778076171875</v>
      </c>
      <c r="B2800">
        <v>498.75555419921875</v>
      </c>
    </row>
    <row r="2801" spans="1:2" x14ac:dyDescent="0.25">
      <c r="A2801">
        <v>512.15838623046875</v>
      </c>
      <c r="B2801">
        <v>496.42330932617187</v>
      </c>
    </row>
    <row r="2802" spans="1:2" x14ac:dyDescent="0.25">
      <c r="A2802">
        <v>460.134033203125</v>
      </c>
      <c r="B2802">
        <v>380.53790283203125</v>
      </c>
    </row>
    <row r="2803" spans="1:2" x14ac:dyDescent="0.25">
      <c r="A2803">
        <v>454.5965576171875</v>
      </c>
      <c r="B2803">
        <v>341.47433471679687</v>
      </c>
    </row>
    <row r="2804" spans="1:2" x14ac:dyDescent="0.25">
      <c r="A2804">
        <v>485.89593505859375</v>
      </c>
      <c r="B2804">
        <v>296.800048828125</v>
      </c>
    </row>
    <row r="2805" spans="1:2" x14ac:dyDescent="0.25">
      <c r="A2805">
        <v>552.5567626953125</v>
      </c>
      <c r="B2805">
        <v>289.00283813476562</v>
      </c>
    </row>
    <row r="2806" spans="1:2" x14ac:dyDescent="0.25">
      <c r="A2806">
        <v>534.9940185546875</v>
      </c>
      <c r="B2806">
        <v>286.292236328125</v>
      </c>
    </row>
    <row r="2807" spans="1:2" x14ac:dyDescent="0.25">
      <c r="A2807">
        <v>424.63058471679687</v>
      </c>
      <c r="B2807">
        <v>285.5797119140625</v>
      </c>
    </row>
    <row r="2808" spans="1:2" x14ac:dyDescent="0.25">
      <c r="A2808">
        <v>393.42037963867187</v>
      </c>
      <c r="B2808">
        <v>288.30712890625</v>
      </c>
    </row>
    <row r="2809" spans="1:2" x14ac:dyDescent="0.25">
      <c r="A2809">
        <v>347.82095336914062</v>
      </c>
      <c r="B2809">
        <v>297.52801513671875</v>
      </c>
    </row>
    <row r="2810" spans="1:2" x14ac:dyDescent="0.25">
      <c r="A2810">
        <v>339.63125610351562</v>
      </c>
      <c r="B2810">
        <v>389.88192749023437</v>
      </c>
    </row>
    <row r="2811" spans="1:2" x14ac:dyDescent="0.25">
      <c r="A2811">
        <v>339.95742797851562</v>
      </c>
      <c r="B2811">
        <v>462.89096069335937</v>
      </c>
    </row>
    <row r="2812" spans="1:2" x14ac:dyDescent="0.25">
      <c r="A2812">
        <v>342.32022094726562</v>
      </c>
      <c r="B2812">
        <v>483.85043334960937</v>
      </c>
    </row>
    <row r="2813" spans="1:2" x14ac:dyDescent="0.25">
      <c r="A2813">
        <v>345.69171142578125</v>
      </c>
      <c r="B2813">
        <v>521.32501220703125</v>
      </c>
    </row>
    <row r="2814" spans="1:2" x14ac:dyDescent="0.25">
      <c r="A2814">
        <v>350.52932739257812</v>
      </c>
      <c r="B2814">
        <v>521.986328125</v>
      </c>
    </row>
    <row r="2815" spans="1:2" x14ac:dyDescent="0.25">
      <c r="A2815">
        <v>443.72854614257812</v>
      </c>
      <c r="B2815">
        <v>486.87509155273437</v>
      </c>
    </row>
    <row r="2816" spans="1:2" x14ac:dyDescent="0.25">
      <c r="A2816">
        <v>522.30682373046875</v>
      </c>
      <c r="B2816">
        <v>499.81060791015625</v>
      </c>
    </row>
    <row r="2817" spans="1:2" x14ac:dyDescent="0.25">
      <c r="A2817">
        <v>545.54071044921875</v>
      </c>
      <c r="B2817">
        <v>470.12619018554687</v>
      </c>
    </row>
    <row r="2818" spans="1:2" x14ac:dyDescent="0.25">
      <c r="A2818">
        <v>571.20025634765625</v>
      </c>
      <c r="B2818">
        <v>373.80548095703125</v>
      </c>
    </row>
    <row r="2819" spans="1:2" x14ac:dyDescent="0.25">
      <c r="A2819">
        <v>579.7960205078125</v>
      </c>
      <c r="B2819">
        <v>339.22332763671875</v>
      </c>
    </row>
    <row r="2820" spans="1:2" x14ac:dyDescent="0.25">
      <c r="A2820">
        <v>537.1416015625</v>
      </c>
      <c r="B2820">
        <v>327.20028686523437</v>
      </c>
    </row>
    <row r="2821" spans="1:2" x14ac:dyDescent="0.25">
      <c r="A2821">
        <v>551.5538330078125</v>
      </c>
      <c r="B2821">
        <v>293.31521606445312</v>
      </c>
    </row>
    <row r="2822" spans="1:2" x14ac:dyDescent="0.25">
      <c r="A2822">
        <v>516.152099609375</v>
      </c>
      <c r="B2822">
        <v>299.45986938476562</v>
      </c>
    </row>
    <row r="2823" spans="1:2" x14ac:dyDescent="0.25">
      <c r="A2823">
        <v>405.50759887695312</v>
      </c>
      <c r="B2823">
        <v>319.68798828125</v>
      </c>
    </row>
    <row r="2824" spans="1:2" x14ac:dyDescent="0.25">
      <c r="A2824">
        <v>377.10916137695312</v>
      </c>
      <c r="B2824">
        <v>422.26983642578125</v>
      </c>
    </row>
    <row r="2825" spans="1:2" x14ac:dyDescent="0.25">
      <c r="A2825">
        <v>360.70745849609375</v>
      </c>
      <c r="B2825">
        <v>391.56613159179687</v>
      </c>
    </row>
    <row r="2826" spans="1:2" x14ac:dyDescent="0.25">
      <c r="A2826">
        <v>327.9075927734375</v>
      </c>
      <c r="B2826">
        <v>298.6990966796875</v>
      </c>
    </row>
    <row r="2827" spans="1:2" x14ac:dyDescent="0.25">
      <c r="A2827">
        <v>336.09396362304688</v>
      </c>
      <c r="B2827">
        <v>285.83135986328125</v>
      </c>
    </row>
    <row r="2828" spans="1:2" x14ac:dyDescent="0.25">
      <c r="A2828">
        <v>359.8662109375</v>
      </c>
      <c r="B2828">
        <v>228.572021484375</v>
      </c>
    </row>
    <row r="2829" spans="1:2" x14ac:dyDescent="0.25">
      <c r="A2829">
        <v>467.97125244140625</v>
      </c>
      <c r="B2829">
        <v>197.00881958007813</v>
      </c>
    </row>
    <row r="2830" spans="1:2" x14ac:dyDescent="0.25">
      <c r="A2830">
        <v>423.51165771484375</v>
      </c>
      <c r="B2830">
        <v>199.16510009765625</v>
      </c>
    </row>
    <row r="2831" spans="1:2" x14ac:dyDescent="0.25">
      <c r="A2831">
        <v>334.73193359375</v>
      </c>
      <c r="B2831">
        <v>200.75254821777344</v>
      </c>
    </row>
    <row r="2832" spans="1:2" x14ac:dyDescent="0.25">
      <c r="A2832">
        <v>338.50259399414062</v>
      </c>
      <c r="B2832">
        <v>202.32099914550781</v>
      </c>
    </row>
    <row r="2833" spans="1:2" x14ac:dyDescent="0.25">
      <c r="A2833">
        <v>270.32769775390625</v>
      </c>
      <c r="B2833">
        <v>205.78411865234375</v>
      </c>
    </row>
    <row r="2834" spans="1:2" x14ac:dyDescent="0.25">
      <c r="A2834">
        <v>243.92558288574219</v>
      </c>
      <c r="B2834">
        <v>227.26676940917969</v>
      </c>
    </row>
    <row r="2835" spans="1:2" x14ac:dyDescent="0.25">
      <c r="A2835">
        <v>246.59902954101562</v>
      </c>
      <c r="B2835">
        <v>297.21182250976562</v>
      </c>
    </row>
    <row r="2836" spans="1:2" x14ac:dyDescent="0.25">
      <c r="A2836">
        <v>250.05162048339844</v>
      </c>
      <c r="B2836">
        <v>394.45162963867187</v>
      </c>
    </row>
    <row r="2837" spans="1:2" x14ac:dyDescent="0.25">
      <c r="A2837">
        <v>250.18011474609375</v>
      </c>
      <c r="B2837">
        <v>424.67184448242187</v>
      </c>
    </row>
    <row r="2838" spans="1:2" x14ac:dyDescent="0.25">
      <c r="A2838">
        <v>246.37188720703125</v>
      </c>
      <c r="B2838">
        <v>390.44940185546875</v>
      </c>
    </row>
    <row r="2839" spans="1:2" x14ac:dyDescent="0.25">
      <c r="A2839">
        <v>271.53854370117187</v>
      </c>
      <c r="B2839">
        <v>326.91488647460937</v>
      </c>
    </row>
    <row r="2840" spans="1:2" x14ac:dyDescent="0.25">
      <c r="A2840">
        <v>337.8443603515625</v>
      </c>
      <c r="B2840">
        <v>362.808349609375</v>
      </c>
    </row>
    <row r="2841" spans="1:2" x14ac:dyDescent="0.25">
      <c r="A2841">
        <v>455.184814453125</v>
      </c>
      <c r="B2841">
        <v>403.98410034179687</v>
      </c>
    </row>
    <row r="2842" spans="1:2" x14ac:dyDescent="0.25">
      <c r="A2842">
        <v>482.85763549804687</v>
      </c>
      <c r="B2842">
        <v>372.72085571289062</v>
      </c>
    </row>
    <row r="2843" spans="1:2" x14ac:dyDescent="0.25">
      <c r="A2843">
        <v>440.9820556640625</v>
      </c>
      <c r="B2843">
        <v>342.42050170898437</v>
      </c>
    </row>
    <row r="2844" spans="1:2" x14ac:dyDescent="0.25">
      <c r="A2844">
        <v>368.22198486328125</v>
      </c>
      <c r="B2844">
        <v>317.19094848632812</v>
      </c>
    </row>
    <row r="2845" spans="1:2" x14ac:dyDescent="0.25">
      <c r="A2845">
        <v>422.88134765625</v>
      </c>
      <c r="B2845">
        <v>291.39971923828125</v>
      </c>
    </row>
    <row r="2846" spans="1:2" x14ac:dyDescent="0.25">
      <c r="A2846">
        <v>464.04937744140625</v>
      </c>
      <c r="B2846">
        <v>245.56268310546875</v>
      </c>
    </row>
    <row r="2847" spans="1:2" x14ac:dyDescent="0.25">
      <c r="A2847">
        <v>421.22933959960937</v>
      </c>
      <c r="B2847">
        <v>263.90213012695312</v>
      </c>
    </row>
    <row r="2848" spans="1:2" x14ac:dyDescent="0.25">
      <c r="A2848">
        <v>383.5482177734375</v>
      </c>
      <c r="B2848">
        <v>366.69189453125</v>
      </c>
    </row>
    <row r="2849" spans="1:2" x14ac:dyDescent="0.25">
      <c r="A2849">
        <v>362.87655639648438</v>
      </c>
      <c r="B2849">
        <v>334.15200805664062</v>
      </c>
    </row>
    <row r="2850" spans="1:2" x14ac:dyDescent="0.25">
      <c r="A2850">
        <v>326.4598388671875</v>
      </c>
      <c r="B2850">
        <v>243.76860046386719</v>
      </c>
    </row>
    <row r="2851" spans="1:2" x14ac:dyDescent="0.25">
      <c r="A2851">
        <v>280.75823974609375</v>
      </c>
      <c r="B2851">
        <v>197.5347900390625</v>
      </c>
    </row>
    <row r="2852" spans="1:2" x14ac:dyDescent="0.25">
      <c r="A2852">
        <v>308.87319946289062</v>
      </c>
      <c r="B2852">
        <v>201.81376647949219</v>
      </c>
    </row>
    <row r="2853" spans="1:2" x14ac:dyDescent="0.25">
      <c r="A2853">
        <v>417.61697387695312</v>
      </c>
      <c r="B2853">
        <v>203.15696716308594</v>
      </c>
    </row>
    <row r="2854" spans="1:2" x14ac:dyDescent="0.25">
      <c r="A2854">
        <v>376.152099609375</v>
      </c>
      <c r="B2854">
        <v>199.17085266113281</v>
      </c>
    </row>
    <row r="2855" spans="1:2" x14ac:dyDescent="0.25">
      <c r="A2855">
        <v>281.28094482421875</v>
      </c>
      <c r="B2855">
        <v>199.63211059570312</v>
      </c>
    </row>
    <row r="2856" spans="1:2" x14ac:dyDescent="0.25">
      <c r="A2856">
        <v>242.6025390625</v>
      </c>
      <c r="B2856">
        <v>201.33668518066406</v>
      </c>
    </row>
    <row r="2857" spans="1:2" x14ac:dyDescent="0.25">
      <c r="A2857">
        <v>242.1737060546875</v>
      </c>
      <c r="B2857">
        <v>201.61529541015625</v>
      </c>
    </row>
    <row r="2858" spans="1:2" x14ac:dyDescent="0.25">
      <c r="A2858">
        <v>238.66242980957031</v>
      </c>
      <c r="B2858">
        <v>209.68946838378906</v>
      </c>
    </row>
    <row r="2859" spans="1:2" x14ac:dyDescent="0.25">
      <c r="A2859">
        <v>241.43374633789062</v>
      </c>
      <c r="B2859">
        <v>254.82826232910156</v>
      </c>
    </row>
    <row r="2860" spans="1:2" x14ac:dyDescent="0.25">
      <c r="A2860">
        <v>248.43997192382812</v>
      </c>
      <c r="B2860">
        <v>339.2205810546875</v>
      </c>
    </row>
    <row r="2861" spans="1:2" x14ac:dyDescent="0.25">
      <c r="A2861">
        <v>250.94497680664062</v>
      </c>
      <c r="B2861">
        <v>366.33847045898437</v>
      </c>
    </row>
    <row r="2862" spans="1:2" x14ac:dyDescent="0.25">
      <c r="A2862">
        <v>250.19764709472656</v>
      </c>
      <c r="B2862">
        <v>392.40609741210937</v>
      </c>
    </row>
    <row r="2863" spans="1:2" x14ac:dyDescent="0.25">
      <c r="A2863">
        <v>260.56277465820312</v>
      </c>
      <c r="B2863">
        <v>414.80484008789063</v>
      </c>
    </row>
    <row r="2864" spans="1:2" x14ac:dyDescent="0.25">
      <c r="A2864">
        <v>317.15435791015625</v>
      </c>
      <c r="B2864">
        <v>413.36431884765625</v>
      </c>
    </row>
    <row r="2865" spans="1:2" x14ac:dyDescent="0.25">
      <c r="A2865">
        <v>399.18948364257812</v>
      </c>
      <c r="B2865">
        <v>405.71554565429687</v>
      </c>
    </row>
    <row r="2866" spans="1:2" x14ac:dyDescent="0.25">
      <c r="A2866">
        <v>425.096435546875</v>
      </c>
      <c r="B2866">
        <v>386.58343505859375</v>
      </c>
    </row>
    <row r="2867" spans="1:2" x14ac:dyDescent="0.25">
      <c r="A2867">
        <v>454.09011840820312</v>
      </c>
      <c r="B2867">
        <v>321.54562377929687</v>
      </c>
    </row>
    <row r="2868" spans="1:2" x14ac:dyDescent="0.25">
      <c r="A2868">
        <v>475.08013916015625</v>
      </c>
      <c r="B2868">
        <v>357.48748779296875</v>
      </c>
    </row>
    <row r="2869" spans="1:2" x14ac:dyDescent="0.25">
      <c r="A2869">
        <v>464.81900024414062</v>
      </c>
      <c r="B2869">
        <v>356.18215942382813</v>
      </c>
    </row>
    <row r="2870" spans="1:2" x14ac:dyDescent="0.25">
      <c r="A2870">
        <v>455.63150024414062</v>
      </c>
      <c r="B2870">
        <v>315.2578125</v>
      </c>
    </row>
    <row r="2871" spans="1:2" x14ac:dyDescent="0.25">
      <c r="A2871">
        <v>431.24813842773437</v>
      </c>
      <c r="B2871">
        <v>296.20462036132812</v>
      </c>
    </row>
    <row r="2872" spans="1:2" x14ac:dyDescent="0.25">
      <c r="A2872">
        <v>363.62417602539062</v>
      </c>
      <c r="B2872">
        <v>404.52529907226562</v>
      </c>
    </row>
    <row r="2873" spans="1:2" x14ac:dyDescent="0.25">
      <c r="A2873">
        <v>409.84814453125</v>
      </c>
      <c r="B2873">
        <v>389.82589721679687</v>
      </c>
    </row>
    <row r="2874" spans="1:2" x14ac:dyDescent="0.25">
      <c r="A2874">
        <v>405.58200073242187</v>
      </c>
      <c r="B2874">
        <v>267.28759765625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Input Sheet</vt:lpstr>
      <vt:lpstr>Autocorrelate</vt:lpstr>
      <vt:lpstr>Cross Correlate</vt:lpstr>
      <vt:lpstr>Linear</vt:lpstr>
      <vt:lpstr>Quadratic</vt:lpstr>
      <vt:lpstr>Cubic</vt:lpstr>
      <vt:lpstr>Logarithmic</vt:lpstr>
      <vt:lpstr>Exponential</vt:lpstr>
      <vt:lpstr>Power</vt:lpstr>
      <vt:lpstr>Graph Sheet</vt:lpstr>
      <vt:lpstr>Output Sheet</vt:lpstr>
      <vt:lpstr>Graph</vt:lpstr>
      <vt:lpstr>Autocorrelate!n_data_points</vt:lpstr>
      <vt:lpstr>'Cross Correlate'!n_data_points</vt:lpstr>
      <vt:lpstr>'Input Sheet'!Print_Area</vt:lpstr>
      <vt:lpstr>Cubic!xrange_deleted</vt:lpstr>
      <vt:lpstr>Exponential!xrange_deleted</vt:lpstr>
      <vt:lpstr>Logarithmic!xrange_deleted</vt:lpstr>
      <vt:lpstr>Power!xrange_deleted</vt:lpstr>
      <vt:lpstr>Quadratic!xrange_deleted</vt:lpstr>
      <vt:lpstr>xrange_deleted</vt:lpstr>
      <vt:lpstr>Cubic!yrange_deleted</vt:lpstr>
      <vt:lpstr>Exponential!yrange_deleted</vt:lpstr>
      <vt:lpstr>Logarithmic!yrange_deleted</vt:lpstr>
      <vt:lpstr>Power!yrange_deleted</vt:lpstr>
      <vt:lpstr>Quadratic!yrange_deleted</vt:lpstr>
      <vt:lpstr>yrange_deleted</vt:lpstr>
    </vt:vector>
  </TitlesOfParts>
  <Company>Alliant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Sonola, Joshua</dc:creator>
  <cp:lastModifiedBy>Josh</cp:lastModifiedBy>
  <cp:lastPrinted>2015-07-30T16:41:23Z</cp:lastPrinted>
  <dcterms:created xsi:type="dcterms:W3CDTF">2015-07-09T19:18:52Z</dcterms:created>
  <dcterms:modified xsi:type="dcterms:W3CDTF">2015-09-17T01:46:40Z</dcterms:modified>
</cp:coreProperties>
</file>